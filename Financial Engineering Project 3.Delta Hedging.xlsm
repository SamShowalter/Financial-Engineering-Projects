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929"/>
  <workbookPr codeName="ThisWorkbook" autoCompressPictures="0"/>
  <bookViews>
    <workbookView xWindow="0" yWindow="-460" windowWidth="25600" windowHeight="16000" activeTab="1"/>
  </bookViews>
  <sheets>
    <sheet name="Brief" sheetId="6" r:id="rId1"/>
    <sheet name="(Q1) Volatility Estimates" sheetId="3" r:id="rId2"/>
    <sheet name="(Q1 and Q2) Black-Scholes Model" sheetId="1" r:id="rId3"/>
    <sheet name="(Q3) Implied Volatility" sheetId="5" r:id="rId4"/>
    <sheet name="(Q1 and Q4) Binomal Model" sheetId="2" r:id="rId5"/>
    <sheet name="(Q5) Static Hedging Portfolio" sheetId="7" r:id="rId6"/>
  </sheets>
  <definedNames>
    <definedName name="solver_adj" localSheetId="3" hidden="1">'(Q3) Implied Volatility'!$C$8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'(Q3) Implied Volatility'!$G$11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1.15</definedName>
    <definedName name="solver_ver" localSheetId="3" hidden="1">3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3" l="1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H7" i="3"/>
  <c r="H8" i="3"/>
  <c r="D11" i="1"/>
  <c r="D10" i="1"/>
  <c r="H7" i="2"/>
  <c r="H8" i="2"/>
  <c r="H9" i="2"/>
  <c r="Q22" i="2"/>
  <c r="R14" i="2"/>
  <c r="H10" i="2"/>
  <c r="S18" i="2"/>
  <c r="T20" i="2"/>
  <c r="U19" i="2"/>
  <c r="U20" i="2"/>
  <c r="U21" i="2"/>
  <c r="U22" i="2"/>
  <c r="V20" i="2"/>
  <c r="V32" i="2"/>
  <c r="Q38" i="2"/>
  <c r="C4" i="7"/>
  <c r="J6" i="7"/>
  <c r="J5" i="7"/>
  <c r="K5" i="7"/>
  <c r="H6" i="7"/>
  <c r="I6" i="7"/>
  <c r="H5" i="7"/>
  <c r="I5" i="7"/>
  <c r="D21" i="1"/>
  <c r="D20" i="1"/>
  <c r="F18" i="1"/>
  <c r="F17" i="1"/>
  <c r="K11" i="1"/>
  <c r="I7" i="7"/>
  <c r="K6" i="7"/>
  <c r="K7" i="7"/>
  <c r="L5" i="7"/>
  <c r="G7" i="5"/>
  <c r="C9" i="5"/>
  <c r="R54" i="2"/>
  <c r="S62" i="2"/>
  <c r="T34" i="2"/>
  <c r="T50" i="2"/>
  <c r="T58" i="2"/>
  <c r="T66" i="2"/>
  <c r="P39" i="2"/>
  <c r="R63" i="2"/>
  <c r="S67" i="2"/>
  <c r="T69" i="2"/>
  <c r="T21" i="2"/>
  <c r="T29" i="2"/>
  <c r="T33" i="2"/>
  <c r="T37" i="2"/>
  <c r="T45" i="2"/>
  <c r="T49" i="2"/>
  <c r="V68" i="2"/>
  <c r="V64" i="2"/>
  <c r="V60" i="2"/>
  <c r="V52" i="2"/>
  <c r="U70" i="2"/>
  <c r="U68" i="2"/>
  <c r="U66" i="2"/>
  <c r="U64" i="2"/>
  <c r="U62" i="2"/>
  <c r="U60" i="2"/>
  <c r="U58" i="2"/>
  <c r="U54" i="2"/>
  <c r="U50" i="2"/>
  <c r="U52" i="2"/>
  <c r="U46" i="2"/>
  <c r="U38" i="2"/>
  <c r="G6" i="5"/>
  <c r="T57" i="2"/>
  <c r="T53" i="2"/>
  <c r="T61" i="2"/>
  <c r="T65" i="2"/>
  <c r="G5" i="5"/>
  <c r="C382" i="3"/>
  <c r="D382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C69" i="3"/>
  <c r="D69" i="3"/>
  <c r="C70" i="3"/>
  <c r="D70" i="3"/>
  <c r="C71" i="3"/>
  <c r="D71" i="3"/>
  <c r="C72" i="3"/>
  <c r="D72" i="3"/>
  <c r="C73" i="3"/>
  <c r="D73" i="3"/>
  <c r="C74" i="3"/>
  <c r="D74" i="3"/>
  <c r="C75" i="3"/>
  <c r="D75" i="3"/>
  <c r="C76" i="3"/>
  <c r="D76" i="3"/>
  <c r="C77" i="3"/>
  <c r="D77" i="3"/>
  <c r="C78" i="3"/>
  <c r="D78" i="3"/>
  <c r="C79" i="3"/>
  <c r="D79" i="3"/>
  <c r="C80" i="3"/>
  <c r="D80" i="3"/>
  <c r="C81" i="3"/>
  <c r="D81" i="3"/>
  <c r="C82" i="3"/>
  <c r="D82" i="3"/>
  <c r="C83" i="3"/>
  <c r="D83" i="3"/>
  <c r="C84" i="3"/>
  <c r="D84" i="3"/>
  <c r="C85" i="3"/>
  <c r="D85" i="3"/>
  <c r="C86" i="3"/>
  <c r="D86" i="3"/>
  <c r="C87" i="3"/>
  <c r="D87" i="3"/>
  <c r="C88" i="3"/>
  <c r="D88" i="3"/>
  <c r="C89" i="3"/>
  <c r="D89" i="3"/>
  <c r="C90" i="3"/>
  <c r="D90" i="3"/>
  <c r="C91" i="3"/>
  <c r="D91" i="3"/>
  <c r="C92" i="3"/>
  <c r="D92" i="3"/>
  <c r="C93" i="3"/>
  <c r="D93" i="3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C118" i="3"/>
  <c r="D118" i="3"/>
  <c r="C119" i="3"/>
  <c r="D119" i="3"/>
  <c r="C120" i="3"/>
  <c r="D120" i="3"/>
  <c r="C121" i="3"/>
  <c r="D121" i="3"/>
  <c r="C122" i="3"/>
  <c r="D122" i="3"/>
  <c r="C123" i="3"/>
  <c r="D123" i="3"/>
  <c r="C124" i="3"/>
  <c r="D124" i="3"/>
  <c r="C125" i="3"/>
  <c r="D125" i="3"/>
  <c r="C126" i="3"/>
  <c r="D126" i="3"/>
  <c r="C127" i="3"/>
  <c r="D127" i="3"/>
  <c r="C128" i="3"/>
  <c r="D128" i="3"/>
  <c r="C129" i="3"/>
  <c r="D129" i="3"/>
  <c r="C130" i="3"/>
  <c r="D130" i="3"/>
  <c r="C131" i="3"/>
  <c r="D131" i="3"/>
  <c r="C132" i="3"/>
  <c r="D132" i="3"/>
  <c r="C133" i="3"/>
  <c r="D133" i="3"/>
  <c r="C134" i="3"/>
  <c r="D134" i="3"/>
  <c r="C135" i="3"/>
  <c r="D135" i="3"/>
  <c r="C136" i="3"/>
  <c r="D136" i="3"/>
  <c r="C137" i="3"/>
  <c r="D137" i="3"/>
  <c r="C138" i="3"/>
  <c r="D138" i="3"/>
  <c r="C139" i="3"/>
  <c r="D139" i="3"/>
  <c r="C140" i="3"/>
  <c r="D140" i="3"/>
  <c r="C141" i="3"/>
  <c r="D141" i="3"/>
  <c r="C142" i="3"/>
  <c r="D142" i="3"/>
  <c r="C143" i="3"/>
  <c r="D143" i="3"/>
  <c r="C144" i="3"/>
  <c r="D144" i="3"/>
  <c r="C145" i="3"/>
  <c r="D145" i="3"/>
  <c r="C146" i="3"/>
  <c r="D146" i="3"/>
  <c r="C147" i="3"/>
  <c r="D147" i="3"/>
  <c r="C148" i="3"/>
  <c r="D148" i="3"/>
  <c r="C149" i="3"/>
  <c r="D149" i="3"/>
  <c r="C150" i="3"/>
  <c r="D150" i="3"/>
  <c r="C151" i="3"/>
  <c r="D151" i="3"/>
  <c r="C152" i="3"/>
  <c r="D152" i="3"/>
  <c r="C153" i="3"/>
  <c r="D153" i="3"/>
  <c r="C154" i="3"/>
  <c r="D154" i="3"/>
  <c r="C155" i="3"/>
  <c r="D155" i="3"/>
  <c r="C156" i="3"/>
  <c r="D156" i="3"/>
  <c r="C157" i="3"/>
  <c r="D157" i="3"/>
  <c r="C158" i="3"/>
  <c r="D158" i="3"/>
  <c r="C159" i="3"/>
  <c r="D159" i="3"/>
  <c r="C160" i="3"/>
  <c r="D160" i="3"/>
  <c r="C161" i="3"/>
  <c r="D161" i="3"/>
  <c r="C162" i="3"/>
  <c r="D162" i="3"/>
  <c r="C163" i="3"/>
  <c r="D163" i="3"/>
  <c r="C164" i="3"/>
  <c r="D164" i="3"/>
  <c r="C165" i="3"/>
  <c r="D165" i="3"/>
  <c r="C166" i="3"/>
  <c r="D166" i="3"/>
  <c r="C167" i="3"/>
  <c r="D167" i="3"/>
  <c r="C168" i="3"/>
  <c r="D168" i="3"/>
  <c r="C169" i="3"/>
  <c r="D169" i="3"/>
  <c r="C170" i="3"/>
  <c r="D170" i="3"/>
  <c r="C171" i="3"/>
  <c r="D171" i="3"/>
  <c r="C172" i="3"/>
  <c r="D172" i="3"/>
  <c r="C173" i="3"/>
  <c r="D173" i="3"/>
  <c r="C174" i="3"/>
  <c r="D174" i="3"/>
  <c r="C175" i="3"/>
  <c r="D175" i="3"/>
  <c r="C176" i="3"/>
  <c r="D176" i="3"/>
  <c r="C177" i="3"/>
  <c r="D177" i="3"/>
  <c r="C178" i="3"/>
  <c r="D178" i="3"/>
  <c r="C179" i="3"/>
  <c r="D179" i="3"/>
  <c r="C180" i="3"/>
  <c r="D180" i="3"/>
  <c r="C181" i="3"/>
  <c r="D181" i="3"/>
  <c r="C182" i="3"/>
  <c r="D182" i="3"/>
  <c r="C183" i="3"/>
  <c r="D183" i="3"/>
  <c r="C184" i="3"/>
  <c r="D184" i="3"/>
  <c r="C185" i="3"/>
  <c r="D185" i="3"/>
  <c r="C186" i="3"/>
  <c r="D186" i="3"/>
  <c r="C187" i="3"/>
  <c r="D187" i="3"/>
  <c r="C188" i="3"/>
  <c r="D188" i="3"/>
  <c r="C189" i="3"/>
  <c r="D189" i="3"/>
  <c r="C190" i="3"/>
  <c r="D190" i="3"/>
  <c r="C191" i="3"/>
  <c r="D191" i="3"/>
  <c r="C192" i="3"/>
  <c r="D192" i="3"/>
  <c r="C193" i="3"/>
  <c r="D193" i="3"/>
  <c r="C194" i="3"/>
  <c r="D194" i="3"/>
  <c r="C195" i="3"/>
  <c r="D195" i="3"/>
  <c r="C196" i="3"/>
  <c r="D196" i="3"/>
  <c r="C197" i="3"/>
  <c r="D197" i="3"/>
  <c r="C198" i="3"/>
  <c r="D198" i="3"/>
  <c r="C199" i="3"/>
  <c r="D199" i="3"/>
  <c r="C200" i="3"/>
  <c r="D200" i="3"/>
  <c r="C201" i="3"/>
  <c r="D201" i="3"/>
  <c r="C202" i="3"/>
  <c r="D202" i="3"/>
  <c r="C203" i="3"/>
  <c r="D203" i="3"/>
  <c r="C204" i="3"/>
  <c r="D204" i="3"/>
  <c r="C205" i="3"/>
  <c r="D205" i="3"/>
  <c r="C206" i="3"/>
  <c r="D206" i="3"/>
  <c r="C207" i="3"/>
  <c r="D207" i="3"/>
  <c r="C208" i="3"/>
  <c r="D208" i="3"/>
  <c r="C209" i="3"/>
  <c r="D209" i="3"/>
  <c r="C210" i="3"/>
  <c r="D210" i="3"/>
  <c r="C211" i="3"/>
  <c r="D211" i="3"/>
  <c r="C212" i="3"/>
  <c r="D212" i="3"/>
  <c r="C213" i="3"/>
  <c r="D213" i="3"/>
  <c r="C214" i="3"/>
  <c r="D214" i="3"/>
  <c r="C215" i="3"/>
  <c r="D215" i="3"/>
  <c r="C216" i="3"/>
  <c r="D216" i="3"/>
  <c r="C217" i="3"/>
  <c r="D217" i="3"/>
  <c r="C218" i="3"/>
  <c r="D218" i="3"/>
  <c r="C219" i="3"/>
  <c r="D219" i="3"/>
  <c r="C220" i="3"/>
  <c r="D220" i="3"/>
  <c r="C221" i="3"/>
  <c r="D221" i="3"/>
  <c r="C222" i="3"/>
  <c r="D222" i="3"/>
  <c r="C223" i="3"/>
  <c r="D223" i="3"/>
  <c r="C224" i="3"/>
  <c r="D224" i="3"/>
  <c r="C225" i="3"/>
  <c r="D225" i="3"/>
  <c r="C226" i="3"/>
  <c r="D226" i="3"/>
  <c r="C227" i="3"/>
  <c r="D227" i="3"/>
  <c r="C228" i="3"/>
  <c r="D228" i="3"/>
  <c r="C229" i="3"/>
  <c r="D229" i="3"/>
  <c r="C230" i="3"/>
  <c r="D230" i="3"/>
  <c r="C231" i="3"/>
  <c r="D231" i="3"/>
  <c r="C232" i="3"/>
  <c r="D232" i="3"/>
  <c r="C233" i="3"/>
  <c r="D233" i="3"/>
  <c r="C234" i="3"/>
  <c r="D234" i="3"/>
  <c r="C235" i="3"/>
  <c r="D235" i="3"/>
  <c r="C236" i="3"/>
  <c r="D236" i="3"/>
  <c r="C237" i="3"/>
  <c r="D237" i="3"/>
  <c r="C238" i="3"/>
  <c r="D238" i="3"/>
  <c r="C239" i="3"/>
  <c r="D239" i="3"/>
  <c r="C240" i="3"/>
  <c r="D240" i="3"/>
  <c r="C241" i="3"/>
  <c r="D241" i="3"/>
  <c r="C242" i="3"/>
  <c r="D242" i="3"/>
  <c r="C243" i="3"/>
  <c r="D243" i="3"/>
  <c r="C244" i="3"/>
  <c r="D244" i="3"/>
  <c r="C245" i="3"/>
  <c r="D245" i="3"/>
  <c r="C246" i="3"/>
  <c r="D246" i="3"/>
  <c r="C247" i="3"/>
  <c r="D247" i="3"/>
  <c r="C248" i="3"/>
  <c r="D248" i="3"/>
  <c r="C249" i="3"/>
  <c r="D249" i="3"/>
  <c r="C250" i="3"/>
  <c r="D250" i="3"/>
  <c r="C251" i="3"/>
  <c r="D251" i="3"/>
  <c r="C252" i="3"/>
  <c r="D252" i="3"/>
  <c r="C253" i="3"/>
  <c r="D253" i="3"/>
  <c r="C254" i="3"/>
  <c r="D254" i="3"/>
  <c r="C255" i="3"/>
  <c r="D255" i="3"/>
  <c r="C256" i="3"/>
  <c r="D256" i="3"/>
  <c r="C257" i="3"/>
  <c r="D257" i="3"/>
  <c r="C258" i="3"/>
  <c r="D258" i="3"/>
  <c r="C259" i="3"/>
  <c r="D259" i="3"/>
  <c r="C260" i="3"/>
  <c r="D260" i="3"/>
  <c r="C261" i="3"/>
  <c r="D261" i="3"/>
  <c r="C262" i="3"/>
  <c r="D262" i="3"/>
  <c r="C263" i="3"/>
  <c r="D263" i="3"/>
  <c r="C264" i="3"/>
  <c r="D264" i="3"/>
  <c r="C265" i="3"/>
  <c r="D265" i="3"/>
  <c r="C266" i="3"/>
  <c r="D266" i="3"/>
  <c r="C267" i="3"/>
  <c r="D267" i="3"/>
  <c r="C268" i="3"/>
  <c r="D268" i="3"/>
  <c r="C269" i="3"/>
  <c r="D269" i="3"/>
  <c r="C270" i="3"/>
  <c r="D270" i="3"/>
  <c r="C271" i="3"/>
  <c r="D271" i="3"/>
  <c r="C272" i="3"/>
  <c r="D272" i="3"/>
  <c r="C273" i="3"/>
  <c r="D273" i="3"/>
  <c r="C274" i="3"/>
  <c r="D274" i="3"/>
  <c r="C275" i="3"/>
  <c r="D275" i="3"/>
  <c r="C276" i="3"/>
  <c r="D276" i="3"/>
  <c r="C277" i="3"/>
  <c r="D277" i="3"/>
  <c r="C278" i="3"/>
  <c r="D278" i="3"/>
  <c r="C279" i="3"/>
  <c r="D279" i="3"/>
  <c r="C280" i="3"/>
  <c r="D280" i="3"/>
  <c r="C281" i="3"/>
  <c r="D281" i="3"/>
  <c r="C282" i="3"/>
  <c r="D282" i="3"/>
  <c r="C283" i="3"/>
  <c r="D283" i="3"/>
  <c r="C284" i="3"/>
  <c r="D284" i="3"/>
  <c r="C285" i="3"/>
  <c r="D285" i="3"/>
  <c r="C286" i="3"/>
  <c r="D286" i="3"/>
  <c r="C287" i="3"/>
  <c r="D287" i="3"/>
  <c r="C288" i="3"/>
  <c r="D288" i="3"/>
  <c r="C289" i="3"/>
  <c r="D289" i="3"/>
  <c r="C290" i="3"/>
  <c r="D290" i="3"/>
  <c r="C291" i="3"/>
  <c r="D291" i="3"/>
  <c r="C292" i="3"/>
  <c r="D292" i="3"/>
  <c r="C293" i="3"/>
  <c r="D293" i="3"/>
  <c r="C294" i="3"/>
  <c r="D294" i="3"/>
  <c r="C295" i="3"/>
  <c r="D295" i="3"/>
  <c r="C296" i="3"/>
  <c r="D296" i="3"/>
  <c r="C297" i="3"/>
  <c r="D297" i="3"/>
  <c r="C298" i="3"/>
  <c r="D298" i="3"/>
  <c r="C299" i="3"/>
  <c r="D299" i="3"/>
  <c r="C300" i="3"/>
  <c r="D300" i="3"/>
  <c r="C301" i="3"/>
  <c r="D301" i="3"/>
  <c r="C302" i="3"/>
  <c r="D302" i="3"/>
  <c r="C303" i="3"/>
  <c r="D303" i="3"/>
  <c r="C304" i="3"/>
  <c r="D304" i="3"/>
  <c r="C305" i="3"/>
  <c r="D305" i="3"/>
  <c r="C306" i="3"/>
  <c r="D306" i="3"/>
  <c r="C307" i="3"/>
  <c r="D307" i="3"/>
  <c r="C308" i="3"/>
  <c r="D308" i="3"/>
  <c r="C309" i="3"/>
  <c r="D309" i="3"/>
  <c r="C310" i="3"/>
  <c r="D310" i="3"/>
  <c r="C311" i="3"/>
  <c r="D311" i="3"/>
  <c r="C312" i="3"/>
  <c r="D312" i="3"/>
  <c r="C313" i="3"/>
  <c r="D313" i="3"/>
  <c r="C314" i="3"/>
  <c r="D314" i="3"/>
  <c r="C315" i="3"/>
  <c r="D315" i="3"/>
  <c r="C316" i="3"/>
  <c r="D316" i="3"/>
  <c r="C317" i="3"/>
  <c r="D317" i="3"/>
  <c r="C318" i="3"/>
  <c r="D318" i="3"/>
  <c r="C319" i="3"/>
  <c r="D319" i="3"/>
  <c r="C320" i="3"/>
  <c r="D320" i="3"/>
  <c r="C321" i="3"/>
  <c r="D321" i="3"/>
  <c r="C322" i="3"/>
  <c r="D322" i="3"/>
  <c r="C323" i="3"/>
  <c r="D323" i="3"/>
  <c r="C324" i="3"/>
  <c r="D324" i="3"/>
  <c r="C325" i="3"/>
  <c r="D325" i="3"/>
  <c r="C326" i="3"/>
  <c r="D326" i="3"/>
  <c r="C327" i="3"/>
  <c r="D327" i="3"/>
  <c r="C328" i="3"/>
  <c r="D328" i="3"/>
  <c r="C329" i="3"/>
  <c r="D329" i="3"/>
  <c r="C330" i="3"/>
  <c r="D330" i="3"/>
  <c r="C331" i="3"/>
  <c r="D331" i="3"/>
  <c r="C332" i="3"/>
  <c r="D332" i="3"/>
  <c r="C333" i="3"/>
  <c r="D333" i="3"/>
  <c r="C334" i="3"/>
  <c r="D334" i="3"/>
  <c r="C335" i="3"/>
  <c r="D335" i="3"/>
  <c r="C336" i="3"/>
  <c r="D336" i="3"/>
  <c r="C337" i="3"/>
  <c r="D337" i="3"/>
  <c r="C338" i="3"/>
  <c r="D338" i="3"/>
  <c r="C339" i="3"/>
  <c r="D339" i="3"/>
  <c r="C340" i="3"/>
  <c r="D340" i="3"/>
  <c r="C341" i="3"/>
  <c r="D341" i="3"/>
  <c r="C342" i="3"/>
  <c r="D342" i="3"/>
  <c r="C343" i="3"/>
  <c r="D343" i="3"/>
  <c r="C344" i="3"/>
  <c r="D344" i="3"/>
  <c r="C345" i="3"/>
  <c r="D345" i="3"/>
  <c r="C346" i="3"/>
  <c r="D346" i="3"/>
  <c r="C347" i="3"/>
  <c r="D347" i="3"/>
  <c r="C348" i="3"/>
  <c r="D348" i="3"/>
  <c r="C349" i="3"/>
  <c r="D349" i="3"/>
  <c r="C350" i="3"/>
  <c r="D350" i="3"/>
  <c r="C351" i="3"/>
  <c r="D351" i="3"/>
  <c r="C352" i="3"/>
  <c r="D352" i="3"/>
  <c r="C353" i="3"/>
  <c r="D353" i="3"/>
  <c r="C354" i="3"/>
  <c r="D354" i="3"/>
  <c r="C355" i="3"/>
  <c r="D355" i="3"/>
  <c r="C356" i="3"/>
  <c r="D356" i="3"/>
  <c r="C357" i="3"/>
  <c r="D357" i="3"/>
  <c r="C358" i="3"/>
  <c r="D358" i="3"/>
  <c r="C359" i="3"/>
  <c r="D359" i="3"/>
  <c r="C360" i="3"/>
  <c r="D360" i="3"/>
  <c r="C361" i="3"/>
  <c r="D361" i="3"/>
  <c r="C362" i="3"/>
  <c r="D362" i="3"/>
  <c r="C363" i="3"/>
  <c r="D363" i="3"/>
  <c r="C364" i="3"/>
  <c r="D364" i="3"/>
  <c r="C365" i="3"/>
  <c r="D365" i="3"/>
  <c r="C366" i="3"/>
  <c r="D366" i="3"/>
  <c r="C367" i="3"/>
  <c r="D367" i="3"/>
  <c r="C368" i="3"/>
  <c r="D368" i="3"/>
  <c r="C369" i="3"/>
  <c r="D369" i="3"/>
  <c r="C370" i="3"/>
  <c r="D370" i="3"/>
  <c r="C371" i="3"/>
  <c r="D371" i="3"/>
  <c r="C372" i="3"/>
  <c r="D372" i="3"/>
  <c r="C373" i="3"/>
  <c r="D373" i="3"/>
  <c r="C374" i="3"/>
  <c r="D374" i="3"/>
  <c r="C375" i="3"/>
  <c r="D375" i="3"/>
  <c r="C376" i="3"/>
  <c r="D376" i="3"/>
  <c r="C377" i="3"/>
  <c r="D377" i="3"/>
  <c r="C378" i="3"/>
  <c r="D378" i="3"/>
  <c r="C379" i="3"/>
  <c r="D379" i="3"/>
  <c r="C380" i="3"/>
  <c r="D380" i="3"/>
  <c r="C381" i="3"/>
  <c r="D381" i="3"/>
  <c r="C383" i="3"/>
  <c r="D383" i="3"/>
  <c r="C384" i="3"/>
  <c r="D384" i="3"/>
  <c r="C385" i="3"/>
  <c r="D385" i="3"/>
  <c r="C386" i="3"/>
  <c r="D386" i="3"/>
  <c r="C387" i="3"/>
  <c r="D387" i="3"/>
  <c r="C388" i="3"/>
  <c r="D388" i="3"/>
  <c r="C389" i="3"/>
  <c r="D389" i="3"/>
  <c r="C390" i="3"/>
  <c r="D390" i="3"/>
  <c r="C391" i="3"/>
  <c r="D391" i="3"/>
  <c r="C392" i="3"/>
  <c r="D392" i="3"/>
  <c r="C393" i="3"/>
  <c r="D393" i="3"/>
  <c r="C394" i="3"/>
  <c r="D394" i="3"/>
  <c r="C395" i="3"/>
  <c r="D395" i="3"/>
  <c r="C396" i="3"/>
  <c r="D396" i="3"/>
  <c r="C397" i="3"/>
  <c r="D397" i="3"/>
  <c r="C398" i="3"/>
  <c r="D398" i="3"/>
  <c r="C399" i="3"/>
  <c r="D399" i="3"/>
  <c r="C400" i="3"/>
  <c r="D400" i="3"/>
  <c r="C401" i="3"/>
  <c r="D401" i="3"/>
  <c r="C402" i="3"/>
  <c r="D402" i="3"/>
  <c r="C403" i="3"/>
  <c r="D403" i="3"/>
  <c r="C404" i="3"/>
  <c r="D404" i="3"/>
  <c r="C405" i="3"/>
  <c r="D405" i="3"/>
  <c r="C406" i="3"/>
  <c r="D406" i="3"/>
  <c r="C407" i="3"/>
  <c r="D407" i="3"/>
  <c r="C408" i="3"/>
  <c r="D408" i="3"/>
  <c r="C409" i="3"/>
  <c r="D409" i="3"/>
  <c r="C410" i="3"/>
  <c r="D410" i="3"/>
  <c r="C411" i="3"/>
  <c r="D411" i="3"/>
  <c r="C412" i="3"/>
  <c r="D412" i="3"/>
  <c r="C413" i="3"/>
  <c r="D413" i="3"/>
  <c r="C414" i="3"/>
  <c r="D414" i="3"/>
  <c r="C415" i="3"/>
  <c r="D415" i="3"/>
  <c r="C416" i="3"/>
  <c r="D416" i="3"/>
  <c r="C417" i="3"/>
  <c r="D417" i="3"/>
  <c r="C418" i="3"/>
  <c r="D418" i="3"/>
  <c r="C419" i="3"/>
  <c r="D419" i="3"/>
  <c r="C420" i="3"/>
  <c r="D420" i="3"/>
  <c r="C421" i="3"/>
  <c r="D421" i="3"/>
  <c r="C422" i="3"/>
  <c r="D422" i="3"/>
  <c r="C423" i="3"/>
  <c r="D423" i="3"/>
  <c r="C424" i="3"/>
  <c r="D424" i="3"/>
  <c r="C425" i="3"/>
  <c r="D425" i="3"/>
  <c r="C426" i="3"/>
  <c r="D426" i="3"/>
  <c r="C427" i="3"/>
  <c r="D427" i="3"/>
  <c r="C428" i="3"/>
  <c r="D428" i="3"/>
  <c r="C429" i="3"/>
  <c r="D429" i="3"/>
  <c r="C430" i="3"/>
  <c r="D430" i="3"/>
  <c r="C431" i="3"/>
  <c r="D431" i="3"/>
  <c r="C432" i="3"/>
  <c r="D432" i="3"/>
  <c r="C433" i="3"/>
  <c r="D433" i="3"/>
  <c r="C434" i="3"/>
  <c r="D434" i="3"/>
  <c r="C435" i="3"/>
  <c r="D435" i="3"/>
  <c r="C436" i="3"/>
  <c r="D436" i="3"/>
  <c r="C437" i="3"/>
  <c r="D437" i="3"/>
  <c r="C438" i="3"/>
  <c r="D438" i="3"/>
  <c r="C439" i="3"/>
  <c r="D439" i="3"/>
  <c r="C440" i="3"/>
  <c r="D440" i="3"/>
  <c r="C441" i="3"/>
  <c r="D441" i="3"/>
  <c r="C442" i="3"/>
  <c r="D442" i="3"/>
  <c r="C443" i="3"/>
  <c r="D443" i="3"/>
  <c r="C444" i="3"/>
  <c r="D444" i="3"/>
  <c r="C445" i="3"/>
  <c r="D445" i="3"/>
  <c r="C446" i="3"/>
  <c r="D446" i="3"/>
  <c r="C447" i="3"/>
  <c r="D447" i="3"/>
  <c r="C448" i="3"/>
  <c r="D448" i="3"/>
  <c r="C449" i="3"/>
  <c r="D449" i="3"/>
  <c r="C450" i="3"/>
  <c r="D450" i="3"/>
  <c r="C451" i="3"/>
  <c r="D451" i="3"/>
  <c r="C452" i="3"/>
  <c r="D452" i="3"/>
  <c r="C453" i="3"/>
  <c r="D453" i="3"/>
  <c r="C454" i="3"/>
  <c r="D454" i="3"/>
  <c r="C455" i="3"/>
  <c r="D455" i="3"/>
  <c r="C456" i="3"/>
  <c r="D456" i="3"/>
  <c r="C457" i="3"/>
  <c r="D457" i="3"/>
  <c r="C458" i="3"/>
  <c r="D458" i="3"/>
  <c r="C459" i="3"/>
  <c r="D459" i="3"/>
  <c r="C460" i="3"/>
  <c r="D460" i="3"/>
  <c r="C461" i="3"/>
  <c r="D461" i="3"/>
  <c r="C462" i="3"/>
  <c r="D462" i="3"/>
  <c r="C463" i="3"/>
  <c r="D463" i="3"/>
  <c r="C464" i="3"/>
  <c r="D464" i="3"/>
  <c r="C465" i="3"/>
  <c r="D465" i="3"/>
  <c r="C466" i="3"/>
  <c r="D466" i="3"/>
  <c r="C467" i="3"/>
  <c r="D467" i="3"/>
  <c r="C468" i="3"/>
  <c r="D468" i="3"/>
  <c r="C469" i="3"/>
  <c r="D469" i="3"/>
  <c r="C470" i="3"/>
  <c r="D470" i="3"/>
  <c r="C471" i="3"/>
  <c r="D471" i="3"/>
  <c r="C472" i="3"/>
  <c r="D472" i="3"/>
  <c r="C473" i="3"/>
  <c r="D473" i="3"/>
  <c r="C474" i="3"/>
  <c r="D474" i="3"/>
  <c r="C475" i="3"/>
  <c r="D475" i="3"/>
  <c r="C476" i="3"/>
  <c r="D476" i="3"/>
  <c r="C477" i="3"/>
  <c r="D477" i="3"/>
  <c r="C478" i="3"/>
  <c r="D478" i="3"/>
  <c r="C479" i="3"/>
  <c r="D479" i="3"/>
  <c r="C480" i="3"/>
  <c r="D480" i="3"/>
  <c r="C481" i="3"/>
  <c r="D481" i="3"/>
  <c r="C482" i="3"/>
  <c r="D482" i="3"/>
  <c r="C483" i="3"/>
  <c r="D483" i="3"/>
  <c r="C484" i="3"/>
  <c r="D484" i="3"/>
  <c r="C485" i="3"/>
  <c r="D485" i="3"/>
  <c r="C486" i="3"/>
  <c r="D486" i="3"/>
  <c r="C487" i="3"/>
  <c r="D487" i="3"/>
  <c r="C488" i="3"/>
  <c r="D488" i="3"/>
  <c r="C489" i="3"/>
  <c r="D489" i="3"/>
  <c r="C490" i="3"/>
  <c r="D490" i="3"/>
  <c r="C491" i="3"/>
  <c r="D491" i="3"/>
  <c r="C492" i="3"/>
  <c r="D492" i="3"/>
  <c r="C493" i="3"/>
  <c r="D493" i="3"/>
  <c r="C494" i="3"/>
  <c r="D494" i="3"/>
  <c r="C495" i="3"/>
  <c r="D495" i="3"/>
  <c r="C496" i="3"/>
  <c r="D496" i="3"/>
  <c r="C497" i="3"/>
  <c r="D497" i="3"/>
  <c r="C498" i="3"/>
  <c r="D498" i="3"/>
  <c r="C499" i="3"/>
  <c r="D499" i="3"/>
  <c r="C500" i="3"/>
  <c r="D500" i="3"/>
  <c r="C501" i="3"/>
  <c r="D501" i="3"/>
  <c r="C502" i="3"/>
  <c r="D502" i="3"/>
  <c r="C503" i="3"/>
  <c r="D503" i="3"/>
  <c r="C504" i="3"/>
  <c r="D504" i="3"/>
  <c r="C505" i="3"/>
  <c r="D505" i="3"/>
  <c r="C506" i="3"/>
  <c r="D506" i="3"/>
  <c r="C507" i="3"/>
  <c r="D507" i="3"/>
  <c r="C508" i="3"/>
  <c r="D508" i="3"/>
  <c r="C509" i="3"/>
  <c r="D509" i="3"/>
  <c r="C510" i="3"/>
  <c r="D510" i="3"/>
  <c r="C511" i="3"/>
  <c r="D511" i="3"/>
  <c r="C512" i="3"/>
  <c r="D512" i="3"/>
  <c r="C513" i="3"/>
  <c r="D513" i="3"/>
  <c r="C514" i="3"/>
  <c r="D514" i="3"/>
  <c r="C515" i="3"/>
  <c r="D515" i="3"/>
  <c r="C516" i="3"/>
  <c r="D516" i="3"/>
  <c r="C517" i="3"/>
  <c r="D517" i="3"/>
  <c r="C518" i="3"/>
  <c r="D518" i="3"/>
  <c r="C519" i="3"/>
  <c r="D519" i="3"/>
  <c r="C520" i="3"/>
  <c r="D520" i="3"/>
  <c r="C521" i="3"/>
  <c r="D521" i="3"/>
  <c r="C522" i="3"/>
  <c r="D522" i="3"/>
  <c r="C523" i="3"/>
  <c r="D523" i="3"/>
  <c r="C524" i="3"/>
  <c r="D524" i="3"/>
  <c r="C525" i="3"/>
  <c r="D525" i="3"/>
  <c r="C526" i="3"/>
  <c r="D526" i="3"/>
  <c r="C527" i="3"/>
  <c r="D527" i="3"/>
  <c r="C528" i="3"/>
  <c r="D528" i="3"/>
  <c r="C529" i="3"/>
  <c r="D529" i="3"/>
  <c r="C530" i="3"/>
  <c r="D530" i="3"/>
  <c r="C531" i="3"/>
  <c r="D531" i="3"/>
  <c r="C532" i="3"/>
  <c r="D532" i="3"/>
  <c r="C533" i="3"/>
  <c r="D533" i="3"/>
  <c r="C534" i="3"/>
  <c r="D534" i="3"/>
  <c r="C535" i="3"/>
  <c r="D535" i="3"/>
  <c r="C536" i="3"/>
  <c r="D536" i="3"/>
  <c r="C537" i="3"/>
  <c r="D537" i="3"/>
  <c r="C538" i="3"/>
  <c r="D538" i="3"/>
  <c r="C539" i="3"/>
  <c r="D539" i="3"/>
  <c r="C540" i="3"/>
  <c r="D540" i="3"/>
  <c r="C541" i="3"/>
  <c r="D541" i="3"/>
  <c r="C542" i="3"/>
  <c r="D542" i="3"/>
  <c r="C543" i="3"/>
  <c r="D543" i="3"/>
  <c r="C544" i="3"/>
  <c r="D544" i="3"/>
  <c r="C545" i="3"/>
  <c r="D545" i="3"/>
  <c r="C546" i="3"/>
  <c r="D546" i="3"/>
  <c r="C547" i="3"/>
  <c r="D547" i="3"/>
  <c r="C548" i="3"/>
  <c r="D548" i="3"/>
  <c r="C549" i="3"/>
  <c r="D549" i="3"/>
  <c r="C550" i="3"/>
  <c r="D550" i="3"/>
  <c r="C551" i="3"/>
  <c r="D551" i="3"/>
  <c r="C552" i="3"/>
  <c r="D552" i="3"/>
  <c r="C553" i="3"/>
  <c r="D553" i="3"/>
  <c r="C554" i="3"/>
  <c r="D554" i="3"/>
  <c r="C555" i="3"/>
  <c r="D555" i="3"/>
  <c r="C556" i="3"/>
  <c r="D556" i="3"/>
  <c r="C557" i="3"/>
  <c r="D557" i="3"/>
  <c r="C558" i="3"/>
  <c r="D558" i="3"/>
  <c r="C559" i="3"/>
  <c r="D559" i="3"/>
  <c r="C560" i="3"/>
  <c r="D560" i="3"/>
  <c r="C561" i="3"/>
  <c r="D561" i="3"/>
  <c r="C562" i="3"/>
  <c r="D562" i="3"/>
  <c r="C563" i="3"/>
  <c r="D563" i="3"/>
  <c r="C564" i="3"/>
  <c r="D564" i="3"/>
  <c r="C565" i="3"/>
  <c r="D565" i="3"/>
  <c r="C566" i="3"/>
  <c r="D566" i="3"/>
  <c r="C567" i="3"/>
  <c r="D567" i="3"/>
  <c r="C568" i="3"/>
  <c r="D568" i="3"/>
  <c r="C569" i="3"/>
  <c r="D569" i="3"/>
  <c r="C570" i="3"/>
  <c r="D570" i="3"/>
  <c r="C571" i="3"/>
  <c r="D571" i="3"/>
  <c r="C572" i="3"/>
  <c r="D572" i="3"/>
  <c r="C573" i="3"/>
  <c r="D573" i="3"/>
  <c r="C574" i="3"/>
  <c r="D574" i="3"/>
  <c r="C575" i="3"/>
  <c r="D575" i="3"/>
  <c r="C576" i="3"/>
  <c r="D576" i="3"/>
  <c r="C577" i="3"/>
  <c r="D577" i="3"/>
  <c r="C578" i="3"/>
  <c r="D578" i="3"/>
  <c r="C579" i="3"/>
  <c r="D579" i="3"/>
  <c r="C580" i="3"/>
  <c r="D580" i="3"/>
  <c r="C581" i="3"/>
  <c r="D581" i="3"/>
  <c r="C582" i="3"/>
  <c r="D582" i="3"/>
  <c r="C583" i="3"/>
  <c r="D583" i="3"/>
  <c r="C584" i="3"/>
  <c r="D584" i="3"/>
  <c r="C585" i="3"/>
  <c r="D585" i="3"/>
  <c r="C586" i="3"/>
  <c r="D586" i="3"/>
  <c r="C587" i="3"/>
  <c r="D587" i="3"/>
  <c r="C588" i="3"/>
  <c r="D588" i="3"/>
  <c r="C589" i="3"/>
  <c r="D589" i="3"/>
  <c r="C590" i="3"/>
  <c r="D590" i="3"/>
  <c r="C591" i="3"/>
  <c r="D591" i="3"/>
  <c r="C592" i="3"/>
  <c r="D592" i="3"/>
  <c r="C593" i="3"/>
  <c r="D593" i="3"/>
  <c r="C594" i="3"/>
  <c r="D594" i="3"/>
  <c r="C595" i="3"/>
  <c r="D595" i="3"/>
  <c r="C596" i="3"/>
  <c r="D596" i="3"/>
  <c r="C597" i="3"/>
  <c r="D597" i="3"/>
  <c r="C598" i="3"/>
  <c r="D598" i="3"/>
  <c r="C599" i="3"/>
  <c r="D599" i="3"/>
  <c r="C600" i="3"/>
  <c r="D600" i="3"/>
  <c r="C601" i="3"/>
  <c r="D601" i="3"/>
  <c r="C602" i="3"/>
  <c r="D602" i="3"/>
  <c r="C603" i="3"/>
  <c r="D603" i="3"/>
  <c r="C604" i="3"/>
  <c r="D604" i="3"/>
  <c r="C605" i="3"/>
  <c r="D605" i="3"/>
  <c r="C606" i="3"/>
  <c r="D606" i="3"/>
  <c r="C607" i="3"/>
  <c r="D607" i="3"/>
  <c r="C608" i="3"/>
  <c r="D608" i="3"/>
  <c r="C609" i="3"/>
  <c r="D609" i="3"/>
  <c r="C610" i="3"/>
  <c r="D610" i="3"/>
  <c r="C611" i="3"/>
  <c r="D611" i="3"/>
  <c r="C612" i="3"/>
  <c r="D612" i="3"/>
  <c r="C613" i="3"/>
  <c r="D613" i="3"/>
  <c r="C614" i="3"/>
  <c r="D614" i="3"/>
  <c r="C615" i="3"/>
  <c r="D615" i="3"/>
  <c r="C616" i="3"/>
  <c r="D616" i="3"/>
  <c r="C617" i="3"/>
  <c r="D617" i="3"/>
  <c r="C618" i="3"/>
  <c r="D618" i="3"/>
  <c r="C619" i="3"/>
  <c r="D619" i="3"/>
  <c r="C620" i="3"/>
  <c r="D620" i="3"/>
  <c r="C621" i="3"/>
  <c r="D621" i="3"/>
  <c r="C622" i="3"/>
  <c r="D622" i="3"/>
  <c r="C623" i="3"/>
  <c r="D623" i="3"/>
  <c r="C624" i="3"/>
  <c r="D624" i="3"/>
  <c r="C625" i="3"/>
  <c r="D625" i="3"/>
  <c r="C626" i="3"/>
  <c r="D626" i="3"/>
  <c r="C627" i="3"/>
  <c r="D627" i="3"/>
  <c r="C628" i="3"/>
  <c r="D628" i="3"/>
  <c r="C629" i="3"/>
  <c r="D629" i="3"/>
  <c r="C630" i="3"/>
  <c r="D630" i="3"/>
  <c r="C631" i="3"/>
  <c r="D631" i="3"/>
  <c r="C632" i="3"/>
  <c r="D632" i="3"/>
  <c r="C633" i="3"/>
  <c r="D633" i="3"/>
  <c r="C634" i="3"/>
  <c r="D634" i="3"/>
  <c r="C635" i="3"/>
  <c r="D635" i="3"/>
  <c r="C636" i="3"/>
  <c r="D636" i="3"/>
  <c r="C637" i="3"/>
  <c r="D637" i="3"/>
  <c r="C638" i="3"/>
  <c r="D638" i="3"/>
  <c r="C639" i="3"/>
  <c r="D639" i="3"/>
  <c r="C640" i="3"/>
  <c r="D640" i="3"/>
  <c r="C641" i="3"/>
  <c r="D641" i="3"/>
  <c r="C642" i="3"/>
  <c r="D642" i="3"/>
  <c r="C643" i="3"/>
  <c r="D643" i="3"/>
  <c r="C644" i="3"/>
  <c r="D644" i="3"/>
  <c r="C645" i="3"/>
  <c r="D645" i="3"/>
  <c r="C646" i="3"/>
  <c r="D646" i="3"/>
  <c r="C647" i="3"/>
  <c r="D647" i="3"/>
  <c r="C648" i="3"/>
  <c r="D648" i="3"/>
  <c r="C649" i="3"/>
  <c r="D649" i="3"/>
  <c r="C650" i="3"/>
  <c r="D650" i="3"/>
  <c r="C651" i="3"/>
  <c r="D651" i="3"/>
  <c r="C652" i="3"/>
  <c r="D652" i="3"/>
  <c r="C653" i="3"/>
  <c r="D653" i="3"/>
  <c r="C654" i="3"/>
  <c r="D654" i="3"/>
  <c r="C655" i="3"/>
  <c r="D655" i="3"/>
  <c r="C656" i="3"/>
  <c r="D656" i="3"/>
  <c r="C657" i="3"/>
  <c r="D657" i="3"/>
  <c r="C658" i="3"/>
  <c r="D658" i="3"/>
  <c r="C659" i="3"/>
  <c r="D659" i="3"/>
  <c r="C660" i="3"/>
  <c r="D660" i="3"/>
  <c r="C661" i="3"/>
  <c r="D661" i="3"/>
  <c r="C662" i="3"/>
  <c r="D662" i="3"/>
  <c r="C663" i="3"/>
  <c r="D663" i="3"/>
  <c r="C664" i="3"/>
  <c r="D664" i="3"/>
  <c r="C665" i="3"/>
  <c r="D665" i="3"/>
  <c r="C666" i="3"/>
  <c r="D666" i="3"/>
  <c r="C667" i="3"/>
  <c r="D667" i="3"/>
  <c r="C668" i="3"/>
  <c r="D668" i="3"/>
  <c r="C669" i="3"/>
  <c r="D669" i="3"/>
  <c r="C670" i="3"/>
  <c r="D670" i="3"/>
  <c r="C671" i="3"/>
  <c r="D671" i="3"/>
  <c r="C672" i="3"/>
  <c r="D672" i="3"/>
  <c r="C673" i="3"/>
  <c r="D673" i="3"/>
  <c r="C674" i="3"/>
  <c r="D674" i="3"/>
  <c r="C675" i="3"/>
  <c r="D675" i="3"/>
  <c r="C676" i="3"/>
  <c r="D676" i="3"/>
  <c r="C677" i="3"/>
  <c r="D677" i="3"/>
  <c r="C678" i="3"/>
  <c r="D678" i="3"/>
  <c r="C679" i="3"/>
  <c r="D679" i="3"/>
  <c r="C680" i="3"/>
  <c r="D680" i="3"/>
  <c r="C681" i="3"/>
  <c r="D681" i="3"/>
  <c r="C682" i="3"/>
  <c r="D682" i="3"/>
  <c r="C683" i="3"/>
  <c r="D683" i="3"/>
  <c r="C684" i="3"/>
  <c r="D684" i="3"/>
  <c r="C685" i="3"/>
  <c r="D685" i="3"/>
  <c r="C686" i="3"/>
  <c r="D686" i="3"/>
  <c r="C687" i="3"/>
  <c r="D687" i="3"/>
  <c r="C688" i="3"/>
  <c r="D688" i="3"/>
  <c r="C689" i="3"/>
  <c r="D689" i="3"/>
  <c r="C690" i="3"/>
  <c r="D690" i="3"/>
  <c r="C691" i="3"/>
  <c r="D691" i="3"/>
  <c r="C692" i="3"/>
  <c r="D692" i="3"/>
  <c r="C693" i="3"/>
  <c r="D693" i="3"/>
  <c r="C694" i="3"/>
  <c r="D694" i="3"/>
  <c r="C695" i="3"/>
  <c r="D695" i="3"/>
  <c r="C696" i="3"/>
  <c r="D696" i="3"/>
  <c r="C697" i="3"/>
  <c r="D697" i="3"/>
  <c r="C698" i="3"/>
  <c r="D698" i="3"/>
  <c r="C699" i="3"/>
  <c r="D699" i="3"/>
  <c r="C700" i="3"/>
  <c r="D700" i="3"/>
  <c r="C701" i="3"/>
  <c r="D701" i="3"/>
  <c r="C702" i="3"/>
  <c r="D702" i="3"/>
  <c r="C703" i="3"/>
  <c r="D703" i="3"/>
  <c r="C704" i="3"/>
  <c r="D704" i="3"/>
  <c r="C705" i="3"/>
  <c r="D705" i="3"/>
  <c r="C706" i="3"/>
  <c r="D706" i="3"/>
  <c r="C707" i="3"/>
  <c r="D707" i="3"/>
  <c r="C708" i="3"/>
  <c r="D708" i="3"/>
  <c r="C709" i="3"/>
  <c r="D709" i="3"/>
  <c r="C710" i="3"/>
  <c r="D710" i="3"/>
  <c r="C711" i="3"/>
  <c r="D711" i="3"/>
  <c r="C712" i="3"/>
  <c r="D712" i="3"/>
  <c r="C713" i="3"/>
  <c r="D713" i="3"/>
  <c r="C714" i="3"/>
  <c r="D714" i="3"/>
  <c r="C715" i="3"/>
  <c r="D715" i="3"/>
  <c r="C716" i="3"/>
  <c r="D716" i="3"/>
  <c r="C717" i="3"/>
  <c r="D717" i="3"/>
  <c r="C718" i="3"/>
  <c r="D718" i="3"/>
  <c r="C719" i="3"/>
  <c r="D719" i="3"/>
  <c r="C720" i="3"/>
  <c r="D720" i="3"/>
  <c r="C721" i="3"/>
  <c r="D721" i="3"/>
  <c r="C722" i="3"/>
  <c r="D722" i="3"/>
  <c r="C723" i="3"/>
  <c r="D723" i="3"/>
  <c r="C724" i="3"/>
  <c r="D724" i="3"/>
  <c r="C725" i="3"/>
  <c r="D725" i="3"/>
  <c r="C726" i="3"/>
  <c r="D726" i="3"/>
  <c r="C727" i="3"/>
  <c r="D727" i="3"/>
  <c r="C728" i="3"/>
  <c r="D728" i="3"/>
  <c r="C729" i="3"/>
  <c r="D729" i="3"/>
  <c r="C730" i="3"/>
  <c r="D730" i="3"/>
  <c r="C731" i="3"/>
  <c r="D731" i="3"/>
  <c r="C732" i="3"/>
  <c r="D732" i="3"/>
  <c r="C733" i="3"/>
  <c r="D733" i="3"/>
  <c r="C734" i="3"/>
  <c r="D734" i="3"/>
  <c r="C735" i="3"/>
  <c r="D735" i="3"/>
  <c r="C736" i="3"/>
  <c r="D736" i="3"/>
  <c r="C737" i="3"/>
  <c r="D737" i="3"/>
  <c r="C738" i="3"/>
  <c r="D738" i="3"/>
  <c r="C739" i="3"/>
  <c r="D739" i="3"/>
  <c r="C740" i="3"/>
  <c r="D740" i="3"/>
  <c r="C741" i="3"/>
  <c r="D741" i="3"/>
  <c r="C742" i="3"/>
  <c r="D742" i="3"/>
  <c r="C743" i="3"/>
  <c r="D743" i="3"/>
  <c r="C744" i="3"/>
  <c r="D744" i="3"/>
  <c r="C745" i="3"/>
  <c r="D745" i="3"/>
  <c r="C746" i="3"/>
  <c r="D746" i="3"/>
  <c r="C747" i="3"/>
  <c r="D747" i="3"/>
  <c r="C748" i="3"/>
  <c r="D748" i="3"/>
  <c r="C749" i="3"/>
  <c r="D749" i="3"/>
  <c r="C750" i="3"/>
  <c r="D750" i="3"/>
  <c r="C751" i="3"/>
  <c r="D751" i="3"/>
  <c r="C752" i="3"/>
  <c r="D752" i="3"/>
  <c r="C753" i="3"/>
  <c r="D753" i="3"/>
  <c r="C754" i="3"/>
  <c r="D754" i="3"/>
  <c r="C755" i="3"/>
  <c r="D755" i="3"/>
  <c r="C756" i="3"/>
  <c r="D756" i="3"/>
  <c r="C757" i="3"/>
  <c r="D757" i="3"/>
  <c r="C758" i="3"/>
  <c r="D758" i="3"/>
  <c r="C759" i="3"/>
  <c r="D759" i="3"/>
  <c r="C760" i="3"/>
  <c r="D760" i="3"/>
  <c r="C761" i="3"/>
  <c r="D761" i="3"/>
  <c r="C762" i="3"/>
  <c r="D762" i="3"/>
  <c r="C763" i="3"/>
  <c r="D763" i="3"/>
  <c r="C764" i="3"/>
  <c r="D764" i="3"/>
  <c r="C765" i="3"/>
  <c r="D765" i="3"/>
  <c r="C766" i="3"/>
  <c r="D766" i="3"/>
  <c r="C767" i="3"/>
  <c r="D767" i="3"/>
  <c r="C768" i="3"/>
  <c r="D768" i="3"/>
  <c r="C769" i="3"/>
  <c r="D769" i="3"/>
  <c r="C770" i="3"/>
  <c r="D770" i="3"/>
  <c r="C771" i="3"/>
  <c r="D771" i="3"/>
  <c r="C772" i="3"/>
  <c r="D772" i="3"/>
  <c r="C773" i="3"/>
  <c r="D773" i="3"/>
  <c r="C774" i="3"/>
  <c r="D774" i="3"/>
  <c r="C775" i="3"/>
  <c r="D775" i="3"/>
  <c r="C776" i="3"/>
  <c r="D776" i="3"/>
  <c r="C777" i="3"/>
  <c r="D777" i="3"/>
  <c r="C778" i="3"/>
  <c r="D778" i="3"/>
  <c r="C779" i="3"/>
  <c r="D779" i="3"/>
  <c r="C780" i="3"/>
  <c r="D780" i="3"/>
  <c r="C781" i="3"/>
  <c r="D781" i="3"/>
  <c r="C782" i="3"/>
  <c r="D782" i="3"/>
  <c r="C783" i="3"/>
  <c r="D783" i="3"/>
  <c r="C784" i="3"/>
  <c r="D784" i="3"/>
  <c r="C785" i="3"/>
  <c r="D785" i="3"/>
  <c r="C786" i="3"/>
  <c r="D786" i="3"/>
  <c r="C787" i="3"/>
  <c r="D787" i="3"/>
  <c r="C788" i="3"/>
  <c r="D788" i="3"/>
  <c r="C789" i="3"/>
  <c r="D789" i="3"/>
  <c r="C790" i="3"/>
  <c r="D790" i="3"/>
  <c r="C791" i="3"/>
  <c r="D791" i="3"/>
  <c r="C792" i="3"/>
  <c r="D792" i="3"/>
  <c r="C793" i="3"/>
  <c r="D793" i="3"/>
  <c r="C794" i="3"/>
  <c r="D794" i="3"/>
  <c r="C795" i="3"/>
  <c r="D795" i="3"/>
  <c r="C796" i="3"/>
  <c r="D796" i="3"/>
  <c r="C797" i="3"/>
  <c r="D797" i="3"/>
  <c r="C798" i="3"/>
  <c r="D798" i="3"/>
  <c r="C799" i="3"/>
  <c r="D799" i="3"/>
  <c r="C800" i="3"/>
  <c r="D800" i="3"/>
  <c r="C801" i="3"/>
  <c r="D801" i="3"/>
  <c r="C802" i="3"/>
  <c r="D802" i="3"/>
  <c r="C803" i="3"/>
  <c r="D803" i="3"/>
  <c r="C804" i="3"/>
  <c r="D804" i="3"/>
  <c r="C805" i="3"/>
  <c r="D805" i="3"/>
  <c r="C806" i="3"/>
  <c r="D806" i="3"/>
  <c r="C807" i="3"/>
  <c r="D807" i="3"/>
  <c r="C808" i="3"/>
  <c r="D808" i="3"/>
  <c r="C809" i="3"/>
  <c r="D809" i="3"/>
  <c r="C810" i="3"/>
  <c r="D810" i="3"/>
  <c r="C811" i="3"/>
  <c r="D811" i="3"/>
  <c r="C812" i="3"/>
  <c r="D812" i="3"/>
  <c r="C813" i="3"/>
  <c r="D813" i="3"/>
  <c r="C814" i="3"/>
  <c r="D814" i="3"/>
  <c r="C815" i="3"/>
  <c r="D815" i="3"/>
  <c r="C816" i="3"/>
  <c r="D816" i="3"/>
  <c r="C817" i="3"/>
  <c r="D817" i="3"/>
  <c r="C818" i="3"/>
  <c r="D818" i="3"/>
  <c r="C819" i="3"/>
  <c r="D819" i="3"/>
  <c r="C820" i="3"/>
  <c r="D820" i="3"/>
  <c r="C821" i="3"/>
  <c r="D821" i="3"/>
  <c r="C822" i="3"/>
  <c r="D822" i="3"/>
  <c r="C823" i="3"/>
  <c r="D823" i="3"/>
  <c r="C824" i="3"/>
  <c r="D824" i="3"/>
  <c r="C825" i="3"/>
  <c r="D825" i="3"/>
  <c r="C826" i="3"/>
  <c r="D826" i="3"/>
  <c r="C827" i="3"/>
  <c r="D827" i="3"/>
  <c r="C828" i="3"/>
  <c r="D828" i="3"/>
  <c r="C829" i="3"/>
  <c r="D829" i="3"/>
  <c r="C830" i="3"/>
  <c r="D830" i="3"/>
  <c r="C831" i="3"/>
  <c r="D831" i="3"/>
  <c r="C832" i="3"/>
  <c r="D832" i="3"/>
  <c r="C833" i="3"/>
  <c r="D833" i="3"/>
  <c r="C834" i="3"/>
  <c r="D834" i="3"/>
  <c r="C835" i="3"/>
  <c r="D835" i="3"/>
  <c r="C836" i="3"/>
  <c r="D836" i="3"/>
  <c r="C837" i="3"/>
  <c r="D837" i="3"/>
  <c r="C838" i="3"/>
  <c r="D838" i="3"/>
  <c r="C839" i="3"/>
  <c r="D839" i="3"/>
  <c r="C840" i="3"/>
  <c r="D840" i="3"/>
  <c r="C841" i="3"/>
  <c r="D841" i="3"/>
  <c r="C842" i="3"/>
  <c r="D842" i="3"/>
  <c r="C843" i="3"/>
  <c r="D843" i="3"/>
  <c r="C844" i="3"/>
  <c r="D844" i="3"/>
  <c r="C845" i="3"/>
  <c r="D845" i="3"/>
  <c r="C846" i="3"/>
  <c r="D846" i="3"/>
  <c r="C847" i="3"/>
  <c r="D847" i="3"/>
  <c r="C848" i="3"/>
  <c r="D848" i="3"/>
  <c r="C849" i="3"/>
  <c r="D849" i="3"/>
  <c r="C850" i="3"/>
  <c r="D850" i="3"/>
  <c r="C851" i="3"/>
  <c r="D851" i="3"/>
  <c r="C852" i="3"/>
  <c r="D852" i="3"/>
  <c r="C853" i="3"/>
  <c r="D853" i="3"/>
  <c r="C854" i="3"/>
  <c r="D854" i="3"/>
  <c r="C855" i="3"/>
  <c r="D855" i="3"/>
  <c r="C856" i="3"/>
  <c r="D856" i="3"/>
  <c r="C857" i="3"/>
  <c r="D857" i="3"/>
  <c r="C858" i="3"/>
  <c r="D858" i="3"/>
  <c r="C859" i="3"/>
  <c r="D859" i="3"/>
  <c r="C860" i="3"/>
  <c r="D860" i="3"/>
  <c r="C861" i="3"/>
  <c r="D861" i="3"/>
  <c r="C862" i="3"/>
  <c r="D862" i="3"/>
  <c r="C863" i="3"/>
  <c r="D863" i="3"/>
  <c r="C864" i="3"/>
  <c r="D864" i="3"/>
  <c r="C865" i="3"/>
  <c r="D865" i="3"/>
  <c r="C866" i="3"/>
  <c r="D866" i="3"/>
  <c r="C867" i="3"/>
  <c r="D867" i="3"/>
  <c r="C868" i="3"/>
  <c r="D868" i="3"/>
  <c r="C869" i="3"/>
  <c r="D869" i="3"/>
  <c r="C870" i="3"/>
  <c r="D870" i="3"/>
  <c r="C871" i="3"/>
  <c r="D871" i="3"/>
  <c r="C872" i="3"/>
  <c r="D872" i="3"/>
  <c r="C873" i="3"/>
  <c r="D873" i="3"/>
  <c r="C874" i="3"/>
  <c r="D874" i="3"/>
  <c r="C875" i="3"/>
  <c r="D875" i="3"/>
  <c r="C876" i="3"/>
  <c r="D876" i="3"/>
  <c r="C877" i="3"/>
  <c r="D877" i="3"/>
  <c r="C878" i="3"/>
  <c r="D878" i="3"/>
  <c r="C879" i="3"/>
  <c r="D879" i="3"/>
  <c r="C880" i="3"/>
  <c r="D880" i="3"/>
  <c r="C881" i="3"/>
  <c r="D881" i="3"/>
  <c r="C882" i="3"/>
  <c r="D882" i="3"/>
  <c r="C883" i="3"/>
  <c r="D883" i="3"/>
  <c r="C884" i="3"/>
  <c r="D884" i="3"/>
  <c r="C885" i="3"/>
  <c r="D885" i="3"/>
  <c r="C886" i="3"/>
  <c r="D886" i="3"/>
  <c r="C887" i="3"/>
  <c r="D887" i="3"/>
  <c r="C888" i="3"/>
  <c r="D888" i="3"/>
  <c r="C889" i="3"/>
  <c r="D889" i="3"/>
  <c r="C890" i="3"/>
  <c r="D890" i="3"/>
  <c r="C891" i="3"/>
  <c r="D891" i="3"/>
  <c r="C892" i="3"/>
  <c r="D892" i="3"/>
  <c r="C893" i="3"/>
  <c r="D893" i="3"/>
  <c r="C894" i="3"/>
  <c r="D894" i="3"/>
  <c r="C895" i="3"/>
  <c r="D895" i="3"/>
  <c r="C896" i="3"/>
  <c r="D896" i="3"/>
  <c r="C897" i="3"/>
  <c r="D897" i="3"/>
  <c r="C898" i="3"/>
  <c r="D898" i="3"/>
  <c r="C899" i="3"/>
  <c r="D899" i="3"/>
  <c r="C900" i="3"/>
  <c r="D900" i="3"/>
  <c r="C901" i="3"/>
  <c r="D901" i="3"/>
  <c r="C902" i="3"/>
  <c r="D902" i="3"/>
  <c r="C903" i="3"/>
  <c r="D903" i="3"/>
  <c r="C904" i="3"/>
  <c r="D904" i="3"/>
  <c r="C905" i="3"/>
  <c r="D905" i="3"/>
  <c r="C906" i="3"/>
  <c r="D906" i="3"/>
  <c r="C907" i="3"/>
  <c r="D907" i="3"/>
  <c r="C908" i="3"/>
  <c r="D908" i="3"/>
  <c r="C909" i="3"/>
  <c r="D909" i="3"/>
  <c r="C910" i="3"/>
  <c r="D910" i="3"/>
  <c r="C911" i="3"/>
  <c r="D911" i="3"/>
  <c r="C912" i="3"/>
  <c r="D912" i="3"/>
  <c r="C913" i="3"/>
  <c r="D913" i="3"/>
  <c r="C914" i="3"/>
  <c r="D914" i="3"/>
  <c r="C915" i="3"/>
  <c r="D915" i="3"/>
  <c r="C916" i="3"/>
  <c r="D916" i="3"/>
  <c r="C917" i="3"/>
  <c r="D917" i="3"/>
  <c r="C918" i="3"/>
  <c r="D918" i="3"/>
  <c r="C919" i="3"/>
  <c r="D919" i="3"/>
  <c r="C920" i="3"/>
  <c r="D920" i="3"/>
  <c r="C921" i="3"/>
  <c r="D921" i="3"/>
  <c r="C922" i="3"/>
  <c r="D922" i="3"/>
  <c r="C923" i="3"/>
  <c r="D923" i="3"/>
  <c r="C924" i="3"/>
  <c r="D924" i="3"/>
  <c r="C925" i="3"/>
  <c r="D925" i="3"/>
  <c r="C926" i="3"/>
  <c r="D926" i="3"/>
  <c r="C927" i="3"/>
  <c r="D927" i="3"/>
  <c r="C928" i="3"/>
  <c r="D928" i="3"/>
  <c r="C929" i="3"/>
  <c r="D929" i="3"/>
  <c r="C930" i="3"/>
  <c r="D930" i="3"/>
  <c r="C931" i="3"/>
  <c r="D931" i="3"/>
  <c r="C932" i="3"/>
  <c r="D932" i="3"/>
  <c r="C933" i="3"/>
  <c r="D933" i="3"/>
  <c r="C934" i="3"/>
  <c r="D934" i="3"/>
  <c r="C935" i="3"/>
  <c r="D935" i="3"/>
  <c r="C936" i="3"/>
  <c r="D936" i="3"/>
  <c r="C937" i="3"/>
  <c r="D937" i="3"/>
  <c r="C938" i="3"/>
  <c r="D938" i="3"/>
  <c r="C939" i="3"/>
  <c r="D939" i="3"/>
  <c r="C940" i="3"/>
  <c r="D940" i="3"/>
  <c r="C941" i="3"/>
  <c r="D941" i="3"/>
  <c r="C942" i="3"/>
  <c r="D942" i="3"/>
  <c r="C943" i="3"/>
  <c r="D943" i="3"/>
  <c r="C944" i="3"/>
  <c r="D944" i="3"/>
  <c r="C945" i="3"/>
  <c r="D945" i="3"/>
  <c r="C946" i="3"/>
  <c r="D946" i="3"/>
  <c r="C947" i="3"/>
  <c r="D947" i="3"/>
  <c r="C948" i="3"/>
  <c r="D948" i="3"/>
  <c r="C949" i="3"/>
  <c r="D949" i="3"/>
  <c r="C950" i="3"/>
  <c r="D950" i="3"/>
  <c r="C951" i="3"/>
  <c r="D951" i="3"/>
  <c r="C952" i="3"/>
  <c r="D952" i="3"/>
  <c r="C953" i="3"/>
  <c r="D953" i="3"/>
  <c r="C954" i="3"/>
  <c r="D954" i="3"/>
  <c r="C955" i="3"/>
  <c r="D955" i="3"/>
  <c r="C956" i="3"/>
  <c r="D956" i="3"/>
  <c r="C957" i="3"/>
  <c r="D957" i="3"/>
  <c r="C958" i="3"/>
  <c r="D958" i="3"/>
  <c r="C959" i="3"/>
  <c r="D959" i="3"/>
  <c r="C960" i="3"/>
  <c r="D960" i="3"/>
  <c r="C961" i="3"/>
  <c r="D961" i="3"/>
  <c r="C962" i="3"/>
  <c r="D962" i="3"/>
  <c r="C963" i="3"/>
  <c r="D963" i="3"/>
  <c r="C964" i="3"/>
  <c r="D964" i="3"/>
  <c r="C965" i="3"/>
  <c r="D965" i="3"/>
  <c r="C966" i="3"/>
  <c r="D966" i="3"/>
  <c r="C967" i="3"/>
  <c r="D967" i="3"/>
  <c r="C968" i="3"/>
  <c r="D968" i="3"/>
  <c r="C969" i="3"/>
  <c r="D969" i="3"/>
  <c r="C970" i="3"/>
  <c r="D970" i="3"/>
  <c r="C971" i="3"/>
  <c r="D971" i="3"/>
  <c r="C972" i="3"/>
  <c r="D972" i="3"/>
  <c r="C973" i="3"/>
  <c r="D973" i="3"/>
  <c r="C974" i="3"/>
  <c r="D974" i="3"/>
  <c r="C975" i="3"/>
  <c r="D975" i="3"/>
  <c r="C976" i="3"/>
  <c r="D976" i="3"/>
  <c r="C977" i="3"/>
  <c r="D977" i="3"/>
  <c r="C978" i="3"/>
  <c r="D978" i="3"/>
  <c r="C979" i="3"/>
  <c r="D979" i="3"/>
  <c r="C980" i="3"/>
  <c r="D980" i="3"/>
  <c r="C981" i="3"/>
  <c r="D981" i="3"/>
  <c r="C982" i="3"/>
  <c r="D982" i="3"/>
  <c r="C983" i="3"/>
  <c r="D983" i="3"/>
  <c r="C984" i="3"/>
  <c r="D984" i="3"/>
  <c r="C985" i="3"/>
  <c r="D985" i="3"/>
  <c r="C986" i="3"/>
  <c r="D986" i="3"/>
  <c r="C987" i="3"/>
  <c r="D987" i="3"/>
  <c r="C988" i="3"/>
  <c r="D988" i="3"/>
  <c r="C989" i="3"/>
  <c r="D989" i="3"/>
  <c r="C990" i="3"/>
  <c r="D990" i="3"/>
  <c r="C991" i="3"/>
  <c r="D991" i="3"/>
  <c r="C992" i="3"/>
  <c r="D992" i="3"/>
  <c r="C993" i="3"/>
  <c r="D993" i="3"/>
  <c r="C994" i="3"/>
  <c r="D994" i="3"/>
  <c r="C995" i="3"/>
  <c r="D995" i="3"/>
  <c r="C996" i="3"/>
  <c r="D996" i="3"/>
  <c r="C997" i="3"/>
  <c r="D997" i="3"/>
  <c r="C998" i="3"/>
  <c r="D998" i="3"/>
  <c r="C999" i="3"/>
  <c r="D999" i="3"/>
  <c r="C1000" i="3"/>
  <c r="D1000" i="3"/>
  <c r="C1001" i="3"/>
  <c r="D1001" i="3"/>
  <c r="C1002" i="3"/>
  <c r="D1002" i="3"/>
  <c r="C1003" i="3"/>
  <c r="D1003" i="3"/>
  <c r="C1004" i="3"/>
  <c r="D1004" i="3"/>
  <c r="C1005" i="3"/>
  <c r="D1005" i="3"/>
  <c r="C1006" i="3"/>
  <c r="D1006" i="3"/>
  <c r="C1007" i="3"/>
  <c r="D1007" i="3"/>
  <c r="C1008" i="3"/>
  <c r="D1008" i="3"/>
  <c r="C1009" i="3"/>
  <c r="D1009" i="3"/>
  <c r="C1010" i="3"/>
  <c r="D1010" i="3"/>
  <c r="C1011" i="3"/>
  <c r="D1011" i="3"/>
  <c r="G11" i="5"/>
  <c r="G8" i="5"/>
  <c r="D12" i="1"/>
  <c r="F20" i="1"/>
  <c r="F19" i="1"/>
  <c r="K10" i="1"/>
  <c r="F7" i="1"/>
  <c r="F9" i="1"/>
  <c r="F8" i="1"/>
  <c r="Q23" i="2"/>
  <c r="K8" i="1"/>
  <c r="F10" i="1"/>
  <c r="K7" i="1"/>
  <c r="R30" i="2"/>
  <c r="R31" i="2"/>
  <c r="R47" i="2"/>
  <c r="R15" i="2"/>
  <c r="H11" i="2"/>
  <c r="Q54" i="2"/>
  <c r="Q55" i="2"/>
  <c r="S34" i="2"/>
  <c r="S35" i="2"/>
  <c r="S51" i="2"/>
  <c r="S59" i="2"/>
  <c r="S26" i="2"/>
  <c r="R62" i="2"/>
  <c r="R46" i="2"/>
  <c r="S19" i="2"/>
  <c r="S27" i="2"/>
  <c r="S43" i="2"/>
  <c r="S10" i="2"/>
  <c r="S11" i="2"/>
  <c r="S14" i="2"/>
  <c r="T8" i="2"/>
  <c r="T9" i="2"/>
  <c r="T12" i="2"/>
  <c r="T13" i="2"/>
  <c r="T17" i="2"/>
  <c r="S42" i="2"/>
  <c r="S50" i="2"/>
  <c r="T16" i="2"/>
  <c r="S58" i="2"/>
  <c r="S66" i="2"/>
  <c r="T36" i="2"/>
  <c r="T32" i="2"/>
  <c r="T24" i="2"/>
  <c r="T28" i="2"/>
  <c r="T18" i="2"/>
  <c r="T26" i="2"/>
  <c r="T25" i="2"/>
  <c r="T41" i="2"/>
  <c r="T10" i="2"/>
  <c r="U25" i="2"/>
  <c r="U26" i="2"/>
  <c r="U28" i="2"/>
  <c r="U23" i="2"/>
  <c r="U24" i="2"/>
  <c r="U37" i="2"/>
  <c r="U35" i="2"/>
  <c r="T56" i="2"/>
  <c r="T60" i="2"/>
  <c r="U17" i="2"/>
  <c r="U18" i="2"/>
  <c r="U15" i="2"/>
  <c r="U16" i="2"/>
  <c r="T40" i="2"/>
  <c r="T44" i="2"/>
  <c r="U9" i="2"/>
  <c r="U10" i="2"/>
  <c r="U7" i="2"/>
  <c r="U8" i="2"/>
  <c r="U27" i="2"/>
  <c r="U29" i="2"/>
  <c r="U33" i="2"/>
  <c r="U31" i="2"/>
  <c r="T68" i="2"/>
  <c r="T64" i="2"/>
  <c r="U30" i="2"/>
  <c r="U34" i="2"/>
  <c r="U36" i="2"/>
  <c r="T52" i="2"/>
  <c r="T48" i="2"/>
  <c r="U11" i="2"/>
  <c r="U12" i="2"/>
  <c r="U13" i="2"/>
  <c r="U14" i="2"/>
  <c r="L6" i="2"/>
  <c r="V8" i="2"/>
  <c r="V12" i="2"/>
  <c r="V16" i="2"/>
  <c r="V24" i="2"/>
  <c r="V40" i="2"/>
  <c r="R22" i="2"/>
  <c r="T42" i="2"/>
  <c r="U51" i="2"/>
  <c r="U53" i="2"/>
  <c r="U49" i="2"/>
  <c r="U47" i="2"/>
  <c r="U65" i="2"/>
  <c r="U63" i="2"/>
  <c r="U43" i="2"/>
  <c r="U45" i="2"/>
  <c r="U61" i="2"/>
  <c r="U59" i="2"/>
  <c r="U67" i="2"/>
  <c r="U69" i="2"/>
  <c r="U41" i="2"/>
  <c r="U39" i="2"/>
  <c r="U40" i="2"/>
  <c r="U57" i="2"/>
  <c r="U55" i="2"/>
  <c r="U42" i="2"/>
  <c r="U44" i="2"/>
  <c r="U32" i="2"/>
  <c r="V28" i="2"/>
  <c r="S30" i="2"/>
  <c r="S46" i="2"/>
  <c r="U56" i="2"/>
  <c r="U48" i="2"/>
  <c r="V44" i="2"/>
  <c r="V48" i="2"/>
  <c r="V56" i="2"/>
</calcChain>
</file>

<file path=xl/sharedStrings.xml><?xml version="1.0" encoding="utf-8"?>
<sst xmlns="http://schemas.openxmlformats.org/spreadsheetml/2006/main" count="97" uniqueCount="70">
  <si>
    <t>Inputs</t>
  </si>
  <si>
    <t>Dividend Rate (q)</t>
  </si>
  <si>
    <t>Risk Free Rate (r )</t>
  </si>
  <si>
    <t>Volatility (σ)</t>
  </si>
  <si>
    <t>Time Period (T)</t>
  </si>
  <si>
    <t>Outputs</t>
  </si>
  <si>
    <t>Put Option Premium (p)</t>
  </si>
  <si>
    <t>Call Option Premium (c )</t>
  </si>
  <si>
    <t>Lowest OTM Strike Price (K)</t>
  </si>
  <si>
    <t>Date</t>
  </si>
  <si>
    <t>AT&amp;T (T)</t>
  </si>
  <si>
    <t>Adj. Close</t>
  </si>
  <si>
    <r>
      <t>µ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 xml:space="preserve"> </t>
    </r>
  </si>
  <si>
    <r>
      <t>µ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</si>
  <si>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Step</t>
  </si>
  <si>
    <t>Volatility</t>
  </si>
  <si>
    <t>U</t>
  </si>
  <si>
    <t>D</t>
  </si>
  <si>
    <r>
      <t>Estimated Daily Volatility (s</t>
    </r>
    <r>
      <rPr>
        <b/>
        <vertAlign val="subscript"/>
        <sz val="11"/>
        <color theme="1"/>
        <rFont val="Calibri"/>
        <family val="2"/>
        <scheme val="minor"/>
      </rPr>
      <t>d</t>
    </r>
    <r>
      <rPr>
        <b/>
        <sz val="11"/>
        <color theme="1"/>
        <rFont val="Calibri"/>
        <family val="2"/>
        <scheme val="minor"/>
      </rPr>
      <t>)</t>
    </r>
  </si>
  <si>
    <r>
      <t>Estimated Annual Volatility (S</t>
    </r>
    <r>
      <rPr>
        <b/>
        <vertAlign val="sub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>)</t>
    </r>
  </si>
  <si>
    <t>Strike</t>
  </si>
  <si>
    <t>Probability (P)</t>
  </si>
  <si>
    <t>First Day</t>
  </si>
  <si>
    <t>Last Day</t>
  </si>
  <si>
    <t>Implied Volatility</t>
  </si>
  <si>
    <t>Implied Volatility (σ)</t>
  </si>
  <si>
    <t>Call Option Premium Target (via CBOE)</t>
  </si>
  <si>
    <t>Volatility Outputs</t>
  </si>
  <si>
    <t>Number of Observations Used in Calculation</t>
  </si>
  <si>
    <t>Time Period (T) From Last Day</t>
  </si>
  <si>
    <t>Time Period (T) From First Day</t>
  </si>
  <si>
    <r>
      <t>Intial Stock Price (S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>)</t>
    </r>
  </si>
  <si>
    <t xml:space="preserve"> Inputs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</si>
  <si>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</si>
  <si>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</si>
  <si>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N(d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</si>
  <si>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r>
      <t>N(d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</si>
  <si>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Option Premiums</t>
  </si>
  <si>
    <t>Black-Scholes Pricing Engine, First Day</t>
  </si>
  <si>
    <t>Black-Scholes Pricing Engine, Last Day</t>
  </si>
  <si>
    <t>Call Premium</t>
  </si>
  <si>
    <t>Target Cell</t>
  </si>
  <si>
    <t>Solver Check</t>
  </si>
  <si>
    <r>
      <rPr>
        <b/>
        <sz val="18"/>
        <color theme="1"/>
        <rFont val="Calibri"/>
        <family val="2"/>
      </rPr>
      <t>Δ</t>
    </r>
    <r>
      <rPr>
        <b/>
        <sz val="18"/>
        <color theme="1"/>
        <rFont val="Calibri"/>
        <family val="2"/>
        <scheme val="minor"/>
      </rPr>
      <t xml:space="preserve"> t</t>
    </r>
  </si>
  <si>
    <t>Brief: Financial Engineering Project 3</t>
  </si>
  <si>
    <t>USE SOLVER</t>
  </si>
  <si>
    <r>
      <t xml:space="preserve">2.) </t>
    </r>
    <r>
      <rPr>
        <sz val="12"/>
        <color theme="1"/>
        <rFont val="Calibri"/>
        <family val="2"/>
        <scheme val="minor"/>
      </rPr>
      <t xml:space="preserve">In </t>
    </r>
    <r>
      <rPr>
        <b/>
        <i/>
        <sz val="12"/>
        <color theme="1"/>
        <rFont val="Calibri"/>
        <family val="2"/>
        <scheme val="minor"/>
      </rPr>
      <t>"(Q3) Implied Volatility"</t>
    </r>
    <r>
      <rPr>
        <sz val="12"/>
        <color theme="1"/>
        <rFont val="Calibri"/>
        <family val="2"/>
        <scheme val="minor"/>
      </rPr>
      <t xml:space="preserve">solver is utlized. In order to replicate this process, enter the target call option price into cell </t>
    </r>
    <r>
      <rPr>
        <b/>
        <sz val="12"/>
        <color theme="1"/>
        <rFont val="Calibri"/>
        <family val="2"/>
        <scheme val="minor"/>
      </rPr>
      <t>C11</t>
    </r>
    <r>
      <rPr>
        <sz val="12"/>
        <color theme="1"/>
        <rFont val="Calibri"/>
        <family val="2"/>
        <scheme val="minor"/>
      </rPr>
      <t xml:space="preserve">. In turn, open the solver add-in, set cell </t>
    </r>
    <r>
      <rPr>
        <b/>
        <sz val="12"/>
        <color theme="1"/>
        <rFont val="Calibri"/>
        <family val="2"/>
        <scheme val="minor"/>
      </rPr>
      <t>G11</t>
    </r>
    <r>
      <rPr>
        <sz val="12"/>
        <color theme="1"/>
        <rFont val="Calibri"/>
        <family val="2"/>
        <scheme val="minor"/>
      </rPr>
      <t xml:space="preserve"> as the objective cell, enter the value you wrote in cell </t>
    </r>
    <r>
      <rPr>
        <b/>
        <sz val="12"/>
        <color theme="1"/>
        <rFont val="Calibri"/>
        <family val="2"/>
        <scheme val="minor"/>
      </rPr>
      <t>C11</t>
    </r>
    <r>
      <rPr>
        <sz val="12"/>
        <color theme="1"/>
        <rFont val="Calibri"/>
        <family val="2"/>
        <scheme val="minor"/>
      </rPr>
      <t xml:space="preserve"> as the target value, and set the implied volatily cell (highlighted in yellow) as the cell to change in order to achieve the target value aforementioned.</t>
    </r>
  </si>
  <si>
    <r>
      <t xml:space="preserve">1.) </t>
    </r>
    <r>
      <rPr>
        <sz val="12"/>
        <color theme="1"/>
        <rFont val="Calibri"/>
        <family val="2"/>
        <scheme val="minor"/>
      </rPr>
      <t xml:space="preserve">Output values in </t>
    </r>
    <r>
      <rPr>
        <b/>
        <i/>
        <sz val="12"/>
        <color theme="1"/>
        <rFont val="Calibri"/>
        <family val="2"/>
        <scheme val="minor"/>
      </rPr>
      <t>"(Q1) Volatility Estimates",</t>
    </r>
    <r>
      <rPr>
        <sz val="12"/>
        <color theme="1"/>
        <rFont val="Calibri"/>
        <family val="2"/>
        <scheme val="minor"/>
      </rPr>
      <t xml:space="preserve">are colored </t>
    </r>
    <r>
      <rPr>
        <sz val="12"/>
        <color rgb="FF0070C0"/>
        <rFont val="Calibri"/>
        <family val="2"/>
        <scheme val="minor"/>
      </rPr>
      <t>blue</t>
    </r>
    <r>
      <rPr>
        <sz val="12"/>
        <color theme="1"/>
        <rFont val="Calibri"/>
        <family val="2"/>
        <scheme val="minor"/>
      </rPr>
      <t>.</t>
    </r>
  </si>
  <si>
    <r>
      <t xml:space="preserve">3.) </t>
    </r>
    <r>
      <rPr>
        <sz val="12"/>
        <color theme="1"/>
        <rFont val="Calibri"/>
        <family val="2"/>
        <scheme val="minor"/>
      </rPr>
      <t xml:space="preserve">In </t>
    </r>
    <r>
      <rPr>
        <b/>
        <i/>
        <sz val="12"/>
        <color theme="1"/>
        <rFont val="Calibri"/>
        <family val="2"/>
        <scheme val="minor"/>
      </rPr>
      <t>"(Q1 and Q4) Binomal Model",</t>
    </r>
    <r>
      <rPr>
        <sz val="12"/>
        <color theme="1"/>
        <rFont val="Calibri"/>
        <family val="2"/>
        <scheme val="minor"/>
      </rPr>
      <t xml:space="preserve">payoff values are underlined and colored </t>
    </r>
    <r>
      <rPr>
        <u/>
        <sz val="12"/>
        <color theme="4" tint="-0.249977111117893"/>
        <rFont val="Calibri"/>
        <family val="2"/>
        <scheme val="minor"/>
      </rPr>
      <t>blue</t>
    </r>
    <r>
      <rPr>
        <sz val="12"/>
        <color theme="1"/>
        <rFont val="Calibri"/>
        <family val="2"/>
        <scheme val="minor"/>
      </rPr>
      <t xml:space="preserve">, while delta values for each branch of the tree are colored </t>
    </r>
    <r>
      <rPr>
        <sz val="12"/>
        <color rgb="FFFF0000"/>
        <rFont val="Calibri"/>
        <family val="2"/>
        <scheme val="minor"/>
      </rPr>
      <t>red</t>
    </r>
    <r>
      <rPr>
        <sz val="12"/>
        <color theme="1"/>
        <rFont val="Calibri"/>
        <family val="2"/>
        <scheme val="minor"/>
      </rPr>
      <t>.</t>
    </r>
  </si>
  <si>
    <t xml:space="preserve"> Lowest OTM Strike Price (K)</t>
  </si>
  <si>
    <t>Binomial Tree Delta</t>
  </si>
  <si>
    <t>Initial Portfolio Value</t>
  </si>
  <si>
    <t>Hedging Period (T)</t>
  </si>
  <si>
    <t>AT&amp;T (T) Call Options</t>
  </si>
  <si>
    <t>AT&amp;T (T) Stock</t>
  </si>
  <si>
    <t>First Day of Trading</t>
  </si>
  <si>
    <t>Stock Price</t>
  </si>
  <si>
    <t>Last Day of Trading</t>
  </si>
  <si>
    <t>Call Option Price</t>
  </si>
  <si>
    <t>Intial Price</t>
  </si>
  <si>
    <t>Value</t>
  </si>
  <si>
    <t>Totals</t>
  </si>
  <si>
    <t>N/A</t>
  </si>
  <si>
    <t>Purchase Amount</t>
  </si>
  <si>
    <t>Final Price</t>
  </si>
  <si>
    <t>Final Value</t>
  </si>
  <si>
    <t>Final Portfolio Value</t>
  </si>
  <si>
    <t>Static Hedging Portfolio</t>
  </si>
  <si>
    <r>
      <t xml:space="preserve">4.) </t>
    </r>
    <r>
      <rPr>
        <sz val="12"/>
        <color theme="1"/>
        <rFont val="Calibri"/>
        <family val="2"/>
        <scheme val="minor"/>
      </rPr>
      <t xml:space="preserve">Transaction costs are ignored in this project. In </t>
    </r>
    <r>
      <rPr>
        <b/>
        <sz val="12"/>
        <color theme="1"/>
        <rFont val="Calibri"/>
        <family val="2"/>
        <scheme val="minor"/>
      </rPr>
      <t>"(Q5) Static Hedging Portfolio"</t>
    </r>
    <r>
      <rPr>
        <sz val="12"/>
        <color theme="1"/>
        <rFont val="Calibri"/>
        <family val="2"/>
        <scheme val="minor"/>
      </rPr>
      <t xml:space="preserve"> negative numbers for purchases mean that securities/derivatives were sold/shorted. IN this same tab, stock and option prices were provided by the CBOE.</t>
    </r>
  </si>
  <si>
    <t>5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</si>
</sst>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_(* #,##0.0_);_(* \(#,##0.0\);_(* &quot;-&quot;??_);_(@_)"/>
    <numFmt numFmtId="166" formatCode="#,##0.0000"/>
    <numFmt numFmtId="167" formatCode="#,##0.00000000"/>
    <numFmt numFmtId="168" formatCode="0.000000"/>
    <numFmt numFmtId="169" formatCode="_(&quot;$&quot;* #,##0.000_);_(&quot;$&quot;* \(#,##0.000\);_(&quot;$&quot;* &quot;-&quot;??_);_(@_)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u val="singleAccounting"/>
      <sz val="11"/>
      <color theme="8" tint="-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25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5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70C0"/>
      <name val="Calibri"/>
      <family val="2"/>
      <scheme val="minor"/>
    </font>
    <font>
      <u/>
      <sz val="12"/>
      <color theme="4" tint="-0.249977111117893"/>
      <name val="Calibri"/>
      <family val="2"/>
      <scheme val="minor"/>
    </font>
    <font>
      <b/>
      <i/>
      <u val="singleAccounting"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0" fillId="2" borderId="0" xfId="0" applyFill="1" applyBorder="1"/>
    <xf numFmtId="0" fontId="4" fillId="2" borderId="0" xfId="0" applyFont="1" applyFill="1" applyBorder="1" applyAlignment="1">
      <alignment horizontal="center"/>
    </xf>
    <xf numFmtId="14" fontId="0" fillId="0" borderId="2" xfId="0" applyNumberFormat="1" applyBorder="1"/>
    <xf numFmtId="0" fontId="0" fillId="4" borderId="0" xfId="0" applyFill="1" applyBorder="1"/>
    <xf numFmtId="0" fontId="5" fillId="2" borderId="0" xfId="0" applyFont="1" applyFill="1"/>
    <xf numFmtId="0" fontId="4" fillId="5" borderId="3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44" fontId="0" fillId="0" borderId="1" xfId="2" applyFont="1" applyBorder="1"/>
    <xf numFmtId="44" fontId="0" fillId="0" borderId="4" xfId="2" applyFont="1" applyBorder="1"/>
    <xf numFmtId="0" fontId="3" fillId="0" borderId="0" xfId="0" applyFont="1" applyBorder="1" applyAlignment="1">
      <alignment horizontal="center"/>
    </xf>
    <xf numFmtId="166" fontId="0" fillId="0" borderId="8" xfId="1" applyNumberFormat="1" applyFont="1" applyBorder="1"/>
    <xf numFmtId="167" fontId="0" fillId="0" borderId="5" xfId="1" applyNumberFormat="1" applyFont="1" applyBorder="1"/>
    <xf numFmtId="44" fontId="0" fillId="0" borderId="5" xfId="2" applyFont="1" applyBorder="1" applyAlignment="1">
      <alignment horizontal="center"/>
    </xf>
    <xf numFmtId="44" fontId="0" fillId="0" borderId="8" xfId="2" applyFont="1" applyBorder="1"/>
    <xf numFmtId="44" fontId="0" fillId="0" borderId="5" xfId="2" applyFont="1" applyBorder="1"/>
    <xf numFmtId="44" fontId="0" fillId="0" borderId="10" xfId="2" applyFont="1" applyBorder="1"/>
    <xf numFmtId="44" fontId="12" fillId="0" borderId="6" xfId="2" applyFont="1" applyBorder="1"/>
    <xf numFmtId="43" fontId="10" fillId="0" borderId="1" xfId="1" applyFont="1" applyBorder="1"/>
    <xf numFmtId="43" fontId="10" fillId="0" borderId="1" xfId="1" applyNumberFormat="1" applyFont="1" applyBorder="1"/>
    <xf numFmtId="0" fontId="3" fillId="2" borderId="0" xfId="0" applyFont="1" applyFill="1"/>
    <xf numFmtId="43" fontId="0" fillId="2" borderId="0" xfId="0" applyNumberFormat="1" applyFill="1"/>
    <xf numFmtId="165" fontId="0" fillId="2" borderId="0" xfId="0" applyNumberFormat="1" applyFill="1"/>
    <xf numFmtId="0" fontId="3" fillId="7" borderId="1" xfId="0" applyFont="1" applyFill="1" applyBorder="1"/>
    <xf numFmtId="0" fontId="3" fillId="7" borderId="2" xfId="0" applyFont="1" applyFill="1" applyBorder="1"/>
    <xf numFmtId="164" fontId="3" fillId="7" borderId="2" xfId="3" applyNumberFormat="1" applyFont="1" applyFill="1" applyBorder="1"/>
    <xf numFmtId="0" fontId="3" fillId="7" borderId="4" xfId="0" applyFont="1" applyFill="1" applyBorder="1"/>
    <xf numFmtId="10" fontId="3" fillId="7" borderId="5" xfId="3" applyNumberFormat="1" applyFont="1" applyFill="1" applyBorder="1"/>
    <xf numFmtId="0" fontId="3" fillId="0" borderId="1" xfId="0" applyFont="1" applyBorder="1"/>
    <xf numFmtId="44" fontId="0" fillId="0" borderId="2" xfId="2" applyFont="1" applyBorder="1"/>
    <xf numFmtId="10" fontId="0" fillId="0" borderId="2" xfId="3" applyNumberFormat="1" applyFont="1" applyBorder="1"/>
    <xf numFmtId="0" fontId="0" fillId="0" borderId="2" xfId="0" applyBorder="1"/>
    <xf numFmtId="0" fontId="3" fillId="0" borderId="4" xfId="0" applyFont="1" applyBorder="1"/>
    <xf numFmtId="168" fontId="0" fillId="0" borderId="2" xfId="0" applyNumberFormat="1" applyBorder="1"/>
    <xf numFmtId="0" fontId="0" fillId="0" borderId="5" xfId="0" applyBorder="1"/>
    <xf numFmtId="44" fontId="0" fillId="7" borderId="2" xfId="2" applyFont="1" applyFill="1" applyBorder="1"/>
    <xf numFmtId="10" fontId="0" fillId="7" borderId="2" xfId="3" applyNumberFormat="1" applyFont="1" applyFill="1" applyBorder="1"/>
    <xf numFmtId="0" fontId="0" fillId="7" borderId="2" xfId="0" applyFill="1" applyBorder="1"/>
    <xf numFmtId="44" fontId="0" fillId="7" borderId="5" xfId="2" applyFont="1" applyFill="1" applyBorder="1"/>
    <xf numFmtId="44" fontId="3" fillId="0" borderId="2" xfId="2" applyFont="1" applyBorder="1"/>
    <xf numFmtId="44" fontId="3" fillId="2" borderId="0" xfId="2" applyFont="1" applyFill="1"/>
    <xf numFmtId="10" fontId="0" fillId="0" borderId="2" xfId="0" applyNumberFormat="1" applyBorder="1"/>
    <xf numFmtId="0" fontId="8" fillId="0" borderId="1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69" fontId="3" fillId="0" borderId="5" xfId="2" applyNumberFormat="1" applyFont="1" applyBorder="1"/>
    <xf numFmtId="0" fontId="9" fillId="0" borderId="1" xfId="0" applyFont="1" applyBorder="1"/>
    <xf numFmtId="0" fontId="8" fillId="0" borderId="0" xfId="0" applyFont="1" applyBorder="1" applyAlignment="1">
      <alignment horizontal="center"/>
    </xf>
    <xf numFmtId="44" fontId="0" fillId="0" borderId="0" xfId="2" applyFont="1" applyBorder="1"/>
    <xf numFmtId="43" fontId="10" fillId="0" borderId="2" xfId="1" applyFont="1" applyBorder="1"/>
    <xf numFmtId="44" fontId="12" fillId="0" borderId="0" xfId="2" applyFont="1" applyBorder="1"/>
    <xf numFmtId="43" fontId="0" fillId="0" borderId="2" xfId="1" applyFont="1" applyBorder="1"/>
    <xf numFmtId="0" fontId="14" fillId="0" borderId="2" xfId="0" applyFont="1" applyBorder="1" applyAlignment="1">
      <alignment horizontal="center"/>
    </xf>
    <xf numFmtId="0" fontId="9" fillId="0" borderId="11" xfId="0" applyFont="1" applyBorder="1"/>
    <xf numFmtId="0" fontId="8" fillId="6" borderId="12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8" fillId="9" borderId="12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10" borderId="12" xfId="0" applyFont="1" applyFill="1" applyBorder="1" applyAlignment="1">
      <alignment horizontal="center"/>
    </xf>
    <xf numFmtId="0" fontId="0" fillId="0" borderId="13" xfId="0" applyBorder="1"/>
    <xf numFmtId="44" fontId="0" fillId="2" borderId="0" xfId="2" applyFont="1" applyFill="1"/>
    <xf numFmtId="0" fontId="8" fillId="0" borderId="4" xfId="0" applyFont="1" applyBorder="1"/>
    <xf numFmtId="44" fontId="3" fillId="0" borderId="5" xfId="2" applyFont="1" applyBorder="1"/>
    <xf numFmtId="0" fontId="3" fillId="0" borderId="4" xfId="0" applyFont="1" applyBorder="1" applyAlignment="1">
      <alignment horizontal="center"/>
    </xf>
    <xf numFmtId="0" fontId="3" fillId="0" borderId="1" xfId="0" applyFont="1" applyFill="1" applyBorder="1"/>
    <xf numFmtId="44" fontId="18" fillId="0" borderId="2" xfId="2" applyFont="1" applyBorder="1" applyAlignment="1">
      <alignment horizontal="center"/>
    </xf>
    <xf numFmtId="10" fontId="18" fillId="0" borderId="2" xfId="0" applyNumberFormat="1" applyFont="1" applyBorder="1"/>
    <xf numFmtId="0" fontId="18" fillId="0" borderId="2" xfId="0" applyFont="1" applyBorder="1"/>
    <xf numFmtId="0" fontId="18" fillId="0" borderId="5" xfId="0" applyFont="1" applyBorder="1"/>
    <xf numFmtId="0" fontId="11" fillId="2" borderId="0" xfId="4" applyFill="1"/>
    <xf numFmtId="0" fontId="0" fillId="2" borderId="0" xfId="0" applyFill="1" applyAlignment="1">
      <alignment wrapText="1"/>
    </xf>
    <xf numFmtId="0" fontId="21" fillId="0" borderId="14" xfId="0" applyFont="1" applyFill="1" applyBorder="1" applyAlignment="1">
      <alignment horizontal="center"/>
    </xf>
    <xf numFmtId="166" fontId="22" fillId="0" borderId="0" xfId="1" applyNumberFormat="1" applyFont="1" applyBorder="1"/>
    <xf numFmtId="167" fontId="22" fillId="0" borderId="2" xfId="1" applyNumberFormat="1" applyFont="1" applyBorder="1"/>
    <xf numFmtId="0" fontId="0" fillId="0" borderId="1" xfId="0" applyBorder="1"/>
    <xf numFmtId="44" fontId="0" fillId="0" borderId="1" xfId="0" applyNumberFormat="1" applyBorder="1"/>
    <xf numFmtId="0" fontId="0" fillId="0" borderId="4" xfId="0" applyBorder="1"/>
    <xf numFmtId="0" fontId="0" fillId="0" borderId="0" xfId="0" applyBorder="1"/>
    <xf numFmtId="44" fontId="0" fillId="0" borderId="0" xfId="0" applyNumberFormat="1" applyBorder="1"/>
    <xf numFmtId="43" fontId="0" fillId="0" borderId="0" xfId="0" applyNumberFormat="1" applyBorder="1"/>
    <xf numFmtId="0" fontId="0" fillId="0" borderId="8" xfId="0" applyBorder="1"/>
    <xf numFmtId="44" fontId="3" fillId="0" borderId="8" xfId="0" applyNumberFormat="1" applyFont="1" applyBorder="1"/>
    <xf numFmtId="0" fontId="28" fillId="0" borderId="4" xfId="0" applyFont="1" applyBorder="1"/>
    <xf numFmtId="0" fontId="3" fillId="0" borderId="0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43" fontId="0" fillId="0" borderId="2" xfId="0" applyNumberFormat="1" applyBorder="1"/>
    <xf numFmtId="0" fontId="0" fillId="0" borderId="2" xfId="0" applyBorder="1" applyAlignment="1">
      <alignment horizontal="right"/>
    </xf>
    <xf numFmtId="10" fontId="3" fillId="3" borderId="2" xfId="3" applyNumberFormat="1" applyFont="1" applyFill="1" applyBorder="1"/>
    <xf numFmtId="0" fontId="11" fillId="0" borderId="12" xfId="4" applyBorder="1" applyAlignment="1">
      <alignment horizontal="left" wrapText="1"/>
    </xf>
    <xf numFmtId="0" fontId="11" fillId="0" borderId="13" xfId="4" applyBorder="1" applyAlignment="1">
      <alignment horizontal="left" wrapText="1"/>
    </xf>
    <xf numFmtId="0" fontId="20" fillId="11" borderId="6" xfId="4" applyFont="1" applyFill="1" applyBorder="1" applyAlignment="1">
      <alignment horizontal="center"/>
    </xf>
    <xf numFmtId="0" fontId="20" fillId="11" borderId="9" xfId="4" applyFont="1" applyFill="1" applyBorder="1" applyAlignment="1">
      <alignment horizontal="center"/>
    </xf>
    <xf numFmtId="0" fontId="20" fillId="11" borderId="7" xfId="4" applyFont="1" applyFill="1" applyBorder="1" applyAlignment="1">
      <alignment horizontal="center"/>
    </xf>
    <xf numFmtId="0" fontId="20" fillId="11" borderId="4" xfId="4" applyFont="1" applyFill="1" applyBorder="1" applyAlignment="1">
      <alignment horizontal="center"/>
    </xf>
    <xf numFmtId="0" fontId="20" fillId="11" borderId="8" xfId="4" applyFont="1" applyFill="1" applyBorder="1" applyAlignment="1">
      <alignment horizontal="center"/>
    </xf>
    <xf numFmtId="0" fontId="20" fillId="11" borderId="5" xfId="4" applyFont="1" applyFill="1" applyBorder="1" applyAlignment="1">
      <alignment horizontal="center"/>
    </xf>
    <xf numFmtId="0" fontId="4" fillId="0" borderId="11" xfId="4" applyFont="1" applyBorder="1" applyAlignment="1">
      <alignment horizontal="left" wrapText="1"/>
    </xf>
    <xf numFmtId="0" fontId="4" fillId="0" borderId="12" xfId="4" applyFont="1" applyBorder="1" applyAlignment="1">
      <alignment horizontal="left" wrapText="1"/>
    </xf>
    <xf numFmtId="0" fontId="4" fillId="0" borderId="13" xfId="4" applyFont="1" applyBorder="1" applyAlignment="1">
      <alignment horizontal="left" wrapText="1"/>
    </xf>
    <xf numFmtId="0" fontId="0" fillId="3" borderId="6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13" fillId="11" borderId="6" xfId="0" applyFont="1" applyFill="1" applyBorder="1" applyAlignment="1">
      <alignment horizontal="center"/>
    </xf>
    <xf numFmtId="0" fontId="13" fillId="11" borderId="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3" fillId="12" borderId="0" xfId="0" applyFont="1" applyFill="1" applyBorder="1" applyAlignment="1">
      <alignment horizontal="center"/>
    </xf>
    <xf numFmtId="0" fontId="13" fillId="13" borderId="0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15" fillId="11" borderId="6" xfId="0" applyFont="1" applyFill="1" applyBorder="1" applyAlignment="1">
      <alignment horizontal="center"/>
    </xf>
    <xf numFmtId="0" fontId="15" fillId="11" borderId="9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16" fillId="14" borderId="1" xfId="0" applyFont="1" applyFill="1" applyBorder="1" applyAlignment="1">
      <alignment horizontal="center"/>
    </xf>
    <xf numFmtId="0" fontId="16" fillId="14" borderId="2" xfId="0" applyFont="1" applyFill="1" applyBorder="1" applyAlignment="1">
      <alignment horizontal="center"/>
    </xf>
    <xf numFmtId="43" fontId="10" fillId="0" borderId="2" xfId="1" applyFont="1" applyBorder="1" applyAlignment="1">
      <alignment horizontal="center"/>
    </xf>
    <xf numFmtId="0" fontId="17" fillId="11" borderId="6" xfId="0" applyFont="1" applyFill="1" applyBorder="1" applyAlignment="1">
      <alignment horizontal="center"/>
    </xf>
    <xf numFmtId="0" fontId="17" fillId="11" borderId="7" xfId="0" applyFont="1" applyFill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2" xfId="0" applyFont="1" applyFill="1" applyBorder="1" applyAlignment="1">
      <alignment horizontal="center"/>
    </xf>
    <xf numFmtId="44" fontId="27" fillId="3" borderId="2" xfId="0" applyNumberFormat="1" applyFont="1" applyFill="1" applyBorder="1" applyAlignment="1">
      <alignment horizontal="center"/>
    </xf>
    <xf numFmtId="0" fontId="27" fillId="3" borderId="2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/>
    </xf>
  </cellXfs>
  <cellStyles count="8">
    <cellStyle name="Comma" xfId="1" builtinId="3"/>
    <cellStyle name="Comma 2" xfId="6"/>
    <cellStyle name="Currency" xfId="2" builtinId="4"/>
    <cellStyle name="Currency 2" xfId="7"/>
    <cellStyle name="Normal" xfId="0" builtinId="0"/>
    <cellStyle name="Normal 2" xfId="4"/>
    <cellStyle name="Percent" xfId="3" builtinId="5"/>
    <cellStyle name="Percent 2" xfId="5"/>
  </cellStyles>
  <dxfs count="0"/>
  <tableStyles count="0" defaultTableStyle="TableStyleMedium2" defaultPivotStyle="PivotStyleLight16"/>
  <colors>
    <mruColors>
      <color rgb="FF4161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</xdr:row>
      <xdr:rowOff>0</xdr:rowOff>
    </xdr:from>
    <xdr:to>
      <xdr:col>21</xdr:col>
      <xdr:colOff>105204</xdr:colOff>
      <xdr:row>37</xdr:row>
      <xdr:rowOff>25748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3850" y="581025"/>
          <a:ext cx="8344329" cy="6769448"/>
        </a:xfrm>
        <a:prstGeom prst="rect">
          <a:avLst/>
        </a:prstGeom>
      </xdr:spPr>
    </xdr:pic>
    <xdr:clientData/>
  </xdr:twoCellAnchor>
  <xdr:twoCellAnchor>
    <xdr:from>
      <xdr:col>10</xdr:col>
      <xdr:colOff>466725</xdr:colOff>
      <xdr:row>25</xdr:row>
      <xdr:rowOff>38100</xdr:rowOff>
    </xdr:from>
    <xdr:to>
      <xdr:col>12</xdr:col>
      <xdr:colOff>495300</xdr:colOff>
      <xdr:row>28</xdr:row>
      <xdr:rowOff>47625</xdr:rowOff>
    </xdr:to>
    <xdr:sp macro="" textlink="">
      <xdr:nvSpPr>
        <xdr:cNvPr id="3" name="Oval 2"/>
        <xdr:cNvSpPr/>
      </xdr:nvSpPr>
      <xdr:spPr>
        <a:xfrm>
          <a:off x="13754100" y="5076825"/>
          <a:ext cx="1247775" cy="581025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292"/>
  <sheetViews>
    <sheetView workbookViewId="0">
      <selection activeCell="E18" sqref="E18"/>
    </sheetView>
  </sheetViews>
  <sheetFormatPr baseColWidth="10" defaultColWidth="8.83203125" defaultRowHeight="14" x14ac:dyDescent="0"/>
  <cols>
    <col min="7" max="7" width="23.83203125" customWidth="1"/>
    <col min="8" max="34" width="8.83203125" style="1"/>
  </cols>
  <sheetData>
    <row r="1" spans="1:7">
      <c r="A1" s="93" t="s">
        <v>44</v>
      </c>
      <c r="B1" s="94"/>
      <c r="C1" s="94"/>
      <c r="D1" s="94"/>
      <c r="E1" s="94"/>
      <c r="F1" s="94"/>
      <c r="G1" s="95"/>
    </row>
    <row r="2" spans="1:7" ht="15" thickBot="1">
      <c r="A2" s="96"/>
      <c r="B2" s="97"/>
      <c r="C2" s="97"/>
      <c r="D2" s="97"/>
      <c r="E2" s="97"/>
      <c r="F2" s="97"/>
      <c r="G2" s="98"/>
    </row>
    <row r="3" spans="1:7" ht="21" customHeight="1" thickBot="1">
      <c r="A3" s="99" t="s">
        <v>47</v>
      </c>
      <c r="B3" s="91"/>
      <c r="C3" s="91"/>
      <c r="D3" s="91"/>
      <c r="E3" s="91"/>
      <c r="F3" s="91"/>
      <c r="G3" s="92"/>
    </row>
    <row r="4" spans="1:7" ht="85.5" customHeight="1" thickBot="1">
      <c r="A4" s="99" t="s">
        <v>46</v>
      </c>
      <c r="B4" s="91"/>
      <c r="C4" s="91"/>
      <c r="D4" s="91"/>
      <c r="E4" s="91"/>
      <c r="F4" s="91"/>
      <c r="G4" s="92"/>
    </row>
    <row r="5" spans="1:7" ht="36" customHeight="1" thickBot="1">
      <c r="A5" s="99" t="s">
        <v>48</v>
      </c>
      <c r="B5" s="100"/>
      <c r="C5" s="100"/>
      <c r="D5" s="100"/>
      <c r="E5" s="100"/>
      <c r="F5" s="100"/>
      <c r="G5" s="101"/>
    </row>
    <row r="6" spans="1:7" ht="50.25" customHeight="1" thickBot="1">
      <c r="A6" s="99" t="s">
        <v>68</v>
      </c>
      <c r="B6" s="100"/>
      <c r="C6" s="100"/>
      <c r="D6" s="100"/>
      <c r="E6" s="100"/>
      <c r="F6" s="100"/>
      <c r="G6" s="101"/>
    </row>
    <row r="7" spans="1:7" ht="15">
      <c r="A7" s="72"/>
      <c r="B7" s="72"/>
      <c r="C7" s="72"/>
      <c r="D7" s="72"/>
      <c r="E7" s="72"/>
      <c r="F7" s="72"/>
      <c r="G7" s="72"/>
    </row>
    <row r="8" spans="1:7" ht="15">
      <c r="A8" s="72"/>
      <c r="B8" s="72"/>
      <c r="C8" s="72"/>
      <c r="D8" s="72"/>
      <c r="E8" s="72"/>
      <c r="F8" s="72"/>
      <c r="G8" s="72"/>
    </row>
    <row r="9" spans="1:7" s="1" customFormat="1"/>
    <row r="10" spans="1:7" s="1" customFormat="1"/>
    <row r="11" spans="1:7" s="1" customFormat="1">
      <c r="E11" s="73"/>
    </row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</sheetData>
  <mergeCells count="5">
    <mergeCell ref="A1:G2"/>
    <mergeCell ref="A3:G3"/>
    <mergeCell ref="A4:G4"/>
    <mergeCell ref="A5:G5"/>
    <mergeCell ref="A6:G6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Q1797"/>
  <sheetViews>
    <sheetView tabSelected="1" workbookViewId="0">
      <selection activeCell="H17" sqref="H17"/>
    </sheetView>
  </sheetViews>
  <sheetFormatPr baseColWidth="10" defaultColWidth="8.83203125" defaultRowHeight="14" x14ac:dyDescent="0"/>
  <cols>
    <col min="1" max="1" width="11.83203125" style="5" bestFit="1" customWidth="1"/>
    <col min="2" max="3" width="8.83203125" style="5"/>
    <col min="4" max="4" width="10.5" style="5" bestFit="1" customWidth="1"/>
    <col min="5" max="5" width="1.5" style="5" customWidth="1"/>
    <col min="7" max="7" width="41.5" bestFit="1" customWidth="1"/>
    <col min="8" max="8" width="19.5" bestFit="1" customWidth="1"/>
    <col min="10" max="10" width="12.6640625" bestFit="1" customWidth="1"/>
    <col min="17" max="69" width="8.83203125" style="1"/>
  </cols>
  <sheetData>
    <row r="1" spans="1:1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 thickBot="1">
      <c r="A4" s="1"/>
      <c r="B4" s="8"/>
      <c r="C4" s="8"/>
      <c r="D4" s="8"/>
      <c r="E4" s="6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19" thickBot="1">
      <c r="A5" s="1"/>
      <c r="B5" s="102" t="s">
        <v>10</v>
      </c>
      <c r="C5" s="103"/>
      <c r="D5" s="104"/>
      <c r="E5" s="2"/>
      <c r="F5" s="1"/>
      <c r="G5" s="105" t="s">
        <v>27</v>
      </c>
      <c r="H5" s="106"/>
      <c r="I5" s="1"/>
      <c r="J5" s="1"/>
      <c r="K5" s="1"/>
      <c r="L5" s="1"/>
      <c r="M5" s="1"/>
      <c r="N5" s="1"/>
      <c r="O5" s="1"/>
      <c r="P5" s="1"/>
    </row>
    <row r="6" spans="1:16" ht="17">
      <c r="A6" s="7" t="s">
        <v>9</v>
      </c>
      <c r="B6" s="9" t="s">
        <v>11</v>
      </c>
      <c r="C6" s="13" t="s">
        <v>12</v>
      </c>
      <c r="D6" s="10" t="s">
        <v>13</v>
      </c>
      <c r="E6" s="3"/>
      <c r="F6" s="1"/>
      <c r="G6" s="26" t="s">
        <v>28</v>
      </c>
      <c r="H6" s="27">
        <f>COUNT(B7:B46)</f>
        <v>40</v>
      </c>
      <c r="I6" s="1"/>
      <c r="J6" s="25"/>
      <c r="K6" s="1"/>
      <c r="L6" s="1"/>
      <c r="M6" s="1"/>
      <c r="N6" s="1"/>
      <c r="O6" s="1"/>
      <c r="P6" s="1"/>
    </row>
    <row r="7" spans="1:16" ht="16">
      <c r="A7" s="4">
        <v>42492</v>
      </c>
      <c r="B7" s="11">
        <v>39.099997999999999</v>
      </c>
      <c r="C7" s="75">
        <f t="shared" ref="C7:C70" si="0">LN(B7/B8)</f>
        <v>7.18683809955936E-3</v>
      </c>
      <c r="D7" s="76">
        <f>C7^2</f>
        <v>5.1650641869277993E-5</v>
      </c>
      <c r="E7" s="2"/>
      <c r="F7" s="1"/>
      <c r="G7" s="26" t="s">
        <v>18</v>
      </c>
      <c r="H7" s="28">
        <f>SQRT(((1/(H6-1))*SUM(D7:D46))-((1/(H6*(H6-1))*(SUM(C7:C46))^2)))</f>
        <v>7.3417171576668815E-3</v>
      </c>
      <c r="I7" s="1"/>
      <c r="J7" s="1"/>
      <c r="K7" s="1"/>
      <c r="L7" s="1"/>
      <c r="M7" s="1"/>
      <c r="N7" s="1"/>
      <c r="O7" s="1"/>
      <c r="P7" s="1"/>
    </row>
    <row r="8" spans="1:16" ht="17" thickBot="1">
      <c r="A8" s="4">
        <v>42489</v>
      </c>
      <c r="B8" s="11">
        <v>38.82</v>
      </c>
      <c r="C8" s="75">
        <f t="shared" si="0"/>
        <v>4.6475942764643563E-3</v>
      </c>
      <c r="D8" s="76">
        <f t="shared" ref="D8:D71" si="1">C8^2</f>
        <v>2.1600132558624244E-5</v>
      </c>
      <c r="E8" s="2"/>
      <c r="F8" s="1"/>
      <c r="G8" s="29" t="s">
        <v>19</v>
      </c>
      <c r="H8" s="30">
        <f>H7*SQRT(252)</f>
        <v>0.11654614677217531</v>
      </c>
      <c r="I8" s="1"/>
      <c r="J8" s="1"/>
      <c r="K8" s="1"/>
      <c r="L8" s="1"/>
      <c r="M8" s="1"/>
      <c r="N8" s="1"/>
      <c r="O8" s="1"/>
      <c r="P8" s="1"/>
    </row>
    <row r="9" spans="1:16">
      <c r="A9" s="4">
        <v>42488</v>
      </c>
      <c r="B9" s="11">
        <v>38.639999000000003</v>
      </c>
      <c r="C9" s="75">
        <f t="shared" si="0"/>
        <v>-2.068304770422491E-3</v>
      </c>
      <c r="D9" s="76">
        <f t="shared" si="1"/>
        <v>4.2778846233524334E-6</v>
      </c>
      <c r="E9" s="2"/>
      <c r="F9" s="1"/>
      <c r="G9" s="24"/>
      <c r="H9" s="1"/>
      <c r="I9" s="1"/>
      <c r="J9" s="1"/>
      <c r="K9" s="1"/>
      <c r="L9" s="1"/>
      <c r="M9" s="1"/>
      <c r="N9" s="1"/>
      <c r="O9" s="1"/>
      <c r="P9" s="1"/>
    </row>
    <row r="10" spans="1:16">
      <c r="A10" s="4">
        <v>42487</v>
      </c>
      <c r="B10" s="11">
        <v>38.720001000000003</v>
      </c>
      <c r="C10" s="75">
        <f t="shared" si="0"/>
        <v>1.6404507744309543E-2</v>
      </c>
      <c r="D10" s="76">
        <f t="shared" si="1"/>
        <v>2.6910787433311175E-4</v>
      </c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>
      <c r="A11" s="4">
        <v>42486</v>
      </c>
      <c r="B11" s="11">
        <v>38.090000000000003</v>
      </c>
      <c r="C11" s="75">
        <f t="shared" si="0"/>
        <v>-3.1454547971361824E-3</v>
      </c>
      <c r="D11" s="76">
        <f t="shared" si="1"/>
        <v>9.8938858808270217E-6</v>
      </c>
      <c r="E11" s="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>
      <c r="A12" s="4">
        <v>42485</v>
      </c>
      <c r="B12" s="11">
        <v>38.209999000000003</v>
      </c>
      <c r="C12" s="75">
        <f t="shared" si="0"/>
        <v>3.6706648932429268E-3</v>
      </c>
      <c r="D12" s="76">
        <f t="shared" si="1"/>
        <v>1.3473780758486107E-5</v>
      </c>
      <c r="E12" s="2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>
      <c r="A13" s="4">
        <v>42482</v>
      </c>
      <c r="B13" s="11">
        <v>38.07</v>
      </c>
      <c r="C13" s="75">
        <f t="shared" si="0"/>
        <v>5.5313982001286245E-3</v>
      </c>
      <c r="D13" s="76">
        <f t="shared" si="1"/>
        <v>3.0596366048386186E-5</v>
      </c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>
      <c r="A14" s="4">
        <v>42481</v>
      </c>
      <c r="B14" s="11">
        <v>37.860000999999997</v>
      </c>
      <c r="C14" s="75">
        <f t="shared" si="0"/>
        <v>-2.246111604054507E-2</v>
      </c>
      <c r="D14" s="76">
        <f t="shared" si="1"/>
        <v>5.0450173378683108E-4</v>
      </c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>
      <c r="A15" s="4">
        <v>42480</v>
      </c>
      <c r="B15" s="11">
        <v>38.720001000000003</v>
      </c>
      <c r="C15" s="75">
        <f t="shared" si="0"/>
        <v>-5.1519176955191854E-3</v>
      </c>
      <c r="D15" s="76">
        <f t="shared" si="1"/>
        <v>2.6542255941403716E-5</v>
      </c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>
      <c r="A16" s="4">
        <v>42479</v>
      </c>
      <c r="B16" s="11">
        <v>38.919998</v>
      </c>
      <c r="C16" s="75">
        <f t="shared" si="0"/>
        <v>6.9613791504693923E-3</v>
      </c>
      <c r="D16" s="76">
        <f t="shared" si="1"/>
        <v>4.8460799676589961E-5</v>
      </c>
      <c r="E16" s="2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>
      <c r="A17" s="4">
        <v>42478</v>
      </c>
      <c r="B17" s="11">
        <v>38.650002000000001</v>
      </c>
      <c r="C17" s="75">
        <f t="shared" si="0"/>
        <v>4.4082009823664895E-3</v>
      </c>
      <c r="D17" s="76">
        <f t="shared" si="1"/>
        <v>1.9432235900936883E-5</v>
      </c>
      <c r="E17" s="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>
      <c r="A18" s="4">
        <v>42475</v>
      </c>
      <c r="B18" s="11">
        <v>38.479999999999997</v>
      </c>
      <c r="C18" s="75">
        <f t="shared" si="0"/>
        <v>1.5605205133170765E-3</v>
      </c>
      <c r="D18" s="76">
        <f t="shared" si="1"/>
        <v>2.4352242724833919E-6</v>
      </c>
      <c r="E18" s="2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>
      <c r="A19" s="4">
        <v>42474</v>
      </c>
      <c r="B19" s="11">
        <v>38.419998</v>
      </c>
      <c r="C19" s="75">
        <f t="shared" si="0"/>
        <v>4.4345450116435809E-3</v>
      </c>
      <c r="D19" s="76">
        <f t="shared" si="1"/>
        <v>1.9665189460292966E-5</v>
      </c>
      <c r="E19" s="2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>
      <c r="A20" s="4">
        <v>42473</v>
      </c>
      <c r="B20" s="11">
        <v>38.25</v>
      </c>
      <c r="C20" s="75">
        <f t="shared" si="0"/>
        <v>-1.0920493626980153E-2</v>
      </c>
      <c r="D20" s="76">
        <f t="shared" si="1"/>
        <v>1.1925718105691414E-4</v>
      </c>
      <c r="E20" s="2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>
      <c r="A21" s="4">
        <v>42472</v>
      </c>
      <c r="B21" s="11">
        <v>38.669998</v>
      </c>
      <c r="C21" s="75">
        <f t="shared" si="0"/>
        <v>7.2670709352691551E-3</v>
      </c>
      <c r="D21" s="76">
        <f t="shared" si="1"/>
        <v>5.2810319978233713E-5</v>
      </c>
      <c r="E21" s="2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>
      <c r="A22" s="4">
        <v>42471</v>
      </c>
      <c r="B22" s="11">
        <v>38.389999000000003</v>
      </c>
      <c r="C22" s="75">
        <f t="shared" si="0"/>
        <v>-2.8612583294825361E-3</v>
      </c>
      <c r="D22" s="76">
        <f t="shared" si="1"/>
        <v>8.1867992280331938E-6</v>
      </c>
      <c r="E22" s="2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>
      <c r="A23" s="4">
        <v>42468</v>
      </c>
      <c r="B23" s="11">
        <v>38.5</v>
      </c>
      <c r="C23" s="75">
        <f t="shared" si="0"/>
        <v>-2.3349342557889771E-3</v>
      </c>
      <c r="D23" s="76">
        <f t="shared" si="1"/>
        <v>5.4519179788568247E-6</v>
      </c>
      <c r="E23" s="2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>
      <c r="A24" s="4">
        <v>42467</v>
      </c>
      <c r="B24" s="11">
        <v>38.590000000000003</v>
      </c>
      <c r="C24" s="75">
        <f t="shared" si="0"/>
        <v>-1.2948079148723008E-3</v>
      </c>
      <c r="D24" s="76">
        <f t="shared" si="1"/>
        <v>1.6765275364159553E-6</v>
      </c>
      <c r="E24" s="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>
      <c r="A25" s="4">
        <v>42466</v>
      </c>
      <c r="B25" s="11">
        <v>38.639999000000003</v>
      </c>
      <c r="C25" s="75">
        <f t="shared" si="0"/>
        <v>-1.8099294589194986E-3</v>
      </c>
      <c r="D25" s="76">
        <f t="shared" si="1"/>
        <v>3.2758446462646288E-6</v>
      </c>
      <c r="E25" s="2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>
      <c r="A26" s="4">
        <v>42465</v>
      </c>
      <c r="B26" s="11">
        <v>38.709997999999999</v>
      </c>
      <c r="C26" s="75">
        <f t="shared" si="0"/>
        <v>-4.3285158523836227E-3</v>
      </c>
      <c r="D26" s="76">
        <f t="shared" si="1"/>
        <v>1.8736049484336318E-5</v>
      </c>
      <c r="E26" s="2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>
      <c r="A27" s="4">
        <v>42464</v>
      </c>
      <c r="B27" s="11">
        <v>38.877918000000001</v>
      </c>
      <c r="C27" s="75">
        <f t="shared" si="0"/>
        <v>7.907244785755713E-3</v>
      </c>
      <c r="D27" s="76">
        <f t="shared" si="1"/>
        <v>6.2524520101860912E-5</v>
      </c>
      <c r="E27" s="2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>
      <c r="A28" s="4">
        <v>42461</v>
      </c>
      <c r="B28" s="11">
        <v>38.571713000000003</v>
      </c>
      <c r="C28" s="75">
        <f t="shared" si="0"/>
        <v>-3.0682395491263264E-3</v>
      </c>
      <c r="D28" s="76">
        <f t="shared" si="1"/>
        <v>9.414093930822923E-6</v>
      </c>
      <c r="E28" s="2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>
      <c r="A29" s="4">
        <v>42460</v>
      </c>
      <c r="B29" s="11">
        <v>38.690241999999998</v>
      </c>
      <c r="C29" s="75">
        <f t="shared" si="0"/>
        <v>-5.0929989261127712E-3</v>
      </c>
      <c r="D29" s="76">
        <f t="shared" si="1"/>
        <v>2.593863806138584E-5</v>
      </c>
      <c r="E29" s="2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>
      <c r="A30" s="4">
        <v>42459</v>
      </c>
      <c r="B30" s="11">
        <v>38.887794</v>
      </c>
      <c r="C30" s="75">
        <f t="shared" si="0"/>
        <v>-2.0299896727126944E-3</v>
      </c>
      <c r="D30" s="76">
        <f t="shared" si="1"/>
        <v>4.1208580713201919E-6</v>
      </c>
      <c r="E30" s="2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>
      <c r="A31" s="4">
        <v>42458</v>
      </c>
      <c r="B31" s="11">
        <v>38.966816000000001</v>
      </c>
      <c r="C31" s="75">
        <f t="shared" si="0"/>
        <v>9.6791704561974608E-3</v>
      </c>
      <c r="D31" s="76">
        <f t="shared" si="1"/>
        <v>9.3686340720125762E-5</v>
      </c>
      <c r="E31" s="2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>
      <c r="A32" s="4">
        <v>42457</v>
      </c>
      <c r="B32" s="11">
        <v>38.591468999999996</v>
      </c>
      <c r="C32" s="75">
        <f t="shared" si="0"/>
        <v>4.874906768012663E-3</v>
      </c>
      <c r="D32" s="76">
        <f t="shared" si="1"/>
        <v>2.3764715996815668E-5</v>
      </c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>
      <c r="A33" s="4">
        <v>42453</v>
      </c>
      <c r="B33" s="11">
        <v>38.403796999999997</v>
      </c>
      <c r="C33" s="75">
        <f t="shared" si="0"/>
        <v>8.7833251866216988E-3</v>
      </c>
      <c r="D33" s="76">
        <f t="shared" si="1"/>
        <v>7.7146801333943099E-5</v>
      </c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>
      <c r="A34" s="4">
        <v>42452</v>
      </c>
      <c r="B34" s="11">
        <v>38.067960999999997</v>
      </c>
      <c r="C34" s="75">
        <f t="shared" si="0"/>
        <v>-2.332522144501234E-3</v>
      </c>
      <c r="D34" s="76">
        <f t="shared" si="1"/>
        <v>5.4406595545886353E-6</v>
      </c>
      <c r="E34" s="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>
      <c r="A35" s="4">
        <v>42451</v>
      </c>
      <c r="B35" s="11">
        <v>38.156858999999997</v>
      </c>
      <c r="C35" s="75">
        <f t="shared" si="0"/>
        <v>-7.4790266823770973E-3</v>
      </c>
      <c r="D35" s="76">
        <f t="shared" si="1"/>
        <v>5.5935840115708573E-5</v>
      </c>
      <c r="E35" s="2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>
      <c r="A36" s="4">
        <v>42450</v>
      </c>
      <c r="B36" s="11">
        <v>38.443305000000002</v>
      </c>
      <c r="C36" s="75">
        <f t="shared" si="0"/>
        <v>9.2927168510622982E-3</v>
      </c>
      <c r="D36" s="76">
        <f t="shared" si="1"/>
        <v>8.6354586474017198E-5</v>
      </c>
      <c r="E36" s="2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>
      <c r="A37" s="4">
        <v>42447</v>
      </c>
      <c r="B37" s="11">
        <v>38.087716999999998</v>
      </c>
      <c r="C37" s="75">
        <f t="shared" si="0"/>
        <v>-1.4418320605165189E-2</v>
      </c>
      <c r="D37" s="76">
        <f t="shared" si="1"/>
        <v>2.0788796907333107E-4</v>
      </c>
      <c r="E37" s="2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>
      <c r="A38" s="4">
        <v>42446</v>
      </c>
      <c r="B38" s="11">
        <v>38.640855999999999</v>
      </c>
      <c r="C38" s="75">
        <f t="shared" si="0"/>
        <v>8.9870626715400879E-3</v>
      </c>
      <c r="D38" s="76">
        <f t="shared" si="1"/>
        <v>8.0767295462189269E-5</v>
      </c>
      <c r="E38" s="2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>
      <c r="A39" s="4">
        <v>42445</v>
      </c>
      <c r="B39" s="11">
        <v>38.295144000000001</v>
      </c>
      <c r="C39" s="75">
        <f t="shared" si="0"/>
        <v>6.4691649291686712E-3</v>
      </c>
      <c r="D39" s="76">
        <f t="shared" si="1"/>
        <v>4.18500948807859E-5</v>
      </c>
      <c r="E39" s="2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>
      <c r="A40" s="4">
        <v>42444</v>
      </c>
      <c r="B40" s="11">
        <v>38.048206</v>
      </c>
      <c r="C40" s="75">
        <f t="shared" si="0"/>
        <v>5.205649821698478E-3</v>
      </c>
      <c r="D40" s="76">
        <f t="shared" si="1"/>
        <v>2.7098790066149395E-5</v>
      </c>
      <c r="E40" s="2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1:16">
      <c r="A41" s="4">
        <v>42443</v>
      </c>
      <c r="B41" s="11">
        <v>37.850655000000003</v>
      </c>
      <c r="C41" s="75">
        <f t="shared" si="0"/>
        <v>-1.0433212384650097E-3</v>
      </c>
      <c r="D41" s="76">
        <f t="shared" si="1"/>
        <v>1.0885192066321617E-6</v>
      </c>
      <c r="E41" s="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16">
      <c r="A42" s="4">
        <v>42440</v>
      </c>
      <c r="B42" s="11">
        <v>37.890166000000001</v>
      </c>
      <c r="C42" s="75">
        <f t="shared" si="0"/>
        <v>1.304275471570111E-3</v>
      </c>
      <c r="D42" s="76">
        <f t="shared" si="1"/>
        <v>1.7011345057394354E-6</v>
      </c>
      <c r="E42" s="2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>
      <c r="A43" s="4">
        <v>42439</v>
      </c>
      <c r="B43" s="11">
        <v>37.840778999999998</v>
      </c>
      <c r="C43" s="75">
        <f t="shared" si="0"/>
        <v>8.6513024032546775E-3</v>
      </c>
      <c r="D43" s="76">
        <f t="shared" si="1"/>
        <v>7.4845033272560155E-5</v>
      </c>
      <c r="E43" s="2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>
      <c r="A44" s="4">
        <v>42438</v>
      </c>
      <c r="B44" s="11">
        <v>37.514819000000003</v>
      </c>
      <c r="C44" s="75">
        <f t="shared" si="0"/>
        <v>-2.8920826994165974E-3</v>
      </c>
      <c r="D44" s="76">
        <f t="shared" si="1"/>
        <v>8.3641423402647935E-6</v>
      </c>
      <c r="E44" s="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>
      <c r="A45" s="4">
        <v>42437</v>
      </c>
      <c r="B45" s="11">
        <v>37.623472</v>
      </c>
      <c r="C45" s="75">
        <f t="shared" si="0"/>
        <v>-1.0496178529704604E-3</v>
      </c>
      <c r="D45" s="76">
        <f t="shared" si="1"/>
        <v>1.101697637274319E-6</v>
      </c>
      <c r="E45" s="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>
      <c r="A46" s="4">
        <v>42436</v>
      </c>
      <c r="B46" s="11">
        <v>37.662982999999997</v>
      </c>
      <c r="C46" s="75">
        <f t="shared" si="0"/>
        <v>5.2590342898282284E-3</v>
      </c>
      <c r="D46" s="76">
        <f t="shared" si="1"/>
        <v>2.7657441661589099E-5</v>
      </c>
      <c r="E46" s="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>
      <c r="A47" s="4">
        <v>42433</v>
      </c>
      <c r="B47" s="11">
        <v>37.465432</v>
      </c>
      <c r="C47" s="75">
        <f t="shared" si="0"/>
        <v>-1.5806616563941373E-3</v>
      </c>
      <c r="D47" s="76">
        <f t="shared" si="1"/>
        <v>2.4984912719946577E-6</v>
      </c>
      <c r="E47" s="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>
      <c r="A48" s="4">
        <v>42432</v>
      </c>
      <c r="B48" s="11">
        <v>37.524698999999998</v>
      </c>
      <c r="C48" s="75">
        <f t="shared" si="0"/>
        <v>7.9282511383840445E-3</v>
      </c>
      <c r="D48" s="76">
        <f t="shared" si="1"/>
        <v>6.2857166113287904E-5</v>
      </c>
      <c r="E48" s="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>
      <c r="A49" s="4">
        <v>42431</v>
      </c>
      <c r="B49" s="11">
        <v>37.228369999999998</v>
      </c>
      <c r="C49" s="75">
        <f t="shared" si="0"/>
        <v>7.9915026646708888E-3</v>
      </c>
      <c r="D49" s="76">
        <f t="shared" si="1"/>
        <v>6.3864114839441922E-5</v>
      </c>
      <c r="E49" s="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>
      <c r="A50" s="4">
        <v>42430</v>
      </c>
      <c r="B50" s="11">
        <v>36.932045000000002</v>
      </c>
      <c r="C50" s="75">
        <f t="shared" si="0"/>
        <v>1.1837590819482E-2</v>
      </c>
      <c r="D50" s="76">
        <f t="shared" si="1"/>
        <v>1.4012855640948454E-4</v>
      </c>
      <c r="E50" s="2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>
      <c r="A51" s="4">
        <v>42429</v>
      </c>
      <c r="B51" s="11">
        <v>36.497436</v>
      </c>
      <c r="C51" s="75">
        <f t="shared" si="0"/>
        <v>-4.859611032019432E-3</v>
      </c>
      <c r="D51" s="76">
        <f t="shared" si="1"/>
        <v>2.3615819382524968E-5</v>
      </c>
      <c r="E51" s="2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>
      <c r="A52" s="4">
        <v>42426</v>
      </c>
      <c r="B52" s="11">
        <v>36.675230999999997</v>
      </c>
      <c r="C52" s="75">
        <f t="shared" si="0"/>
        <v>-6.4429353464427073E-3</v>
      </c>
      <c r="D52" s="76">
        <f t="shared" si="1"/>
        <v>4.1511415878440812E-5</v>
      </c>
      <c r="E52" s="2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>
      <c r="A53" s="4">
        <v>42425</v>
      </c>
      <c r="B53" s="11">
        <v>36.912289999999999</v>
      </c>
      <c r="C53" s="75">
        <f t="shared" si="0"/>
        <v>7.2513005225136248E-3</v>
      </c>
      <c r="D53" s="76">
        <f t="shared" si="1"/>
        <v>5.2581359267806365E-5</v>
      </c>
      <c r="E53" s="2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>
      <c r="A54" s="4">
        <v>42424</v>
      </c>
      <c r="B54" s="11">
        <v>36.645595999999998</v>
      </c>
      <c r="C54" s="75">
        <f t="shared" si="0"/>
        <v>9.7507881744930951E-3</v>
      </c>
      <c r="D54" s="76">
        <f t="shared" si="1"/>
        <v>9.5077870023834387E-5</v>
      </c>
      <c r="E54" s="2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>
      <c r="A55" s="4">
        <v>42423</v>
      </c>
      <c r="B55" s="11">
        <v>36.290008999999998</v>
      </c>
      <c r="C55" s="75">
        <f t="shared" si="0"/>
        <v>-3.2608383501039053E-3</v>
      </c>
      <c r="D55" s="76">
        <f t="shared" si="1"/>
        <v>1.0633066745508359E-5</v>
      </c>
      <c r="E55" s="2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>
      <c r="A56" s="4">
        <v>42422</v>
      </c>
      <c r="B56" s="11">
        <v>36.408538</v>
      </c>
      <c r="C56" s="75">
        <f t="shared" si="0"/>
        <v>7.8987457063877543E-3</v>
      </c>
      <c r="D56" s="76">
        <f t="shared" si="1"/>
        <v>6.2390183734178985E-5</v>
      </c>
      <c r="E56" s="2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>
      <c r="A57" s="4">
        <v>42419</v>
      </c>
      <c r="B57" s="11">
        <v>36.122089000000003</v>
      </c>
      <c r="C57" s="75">
        <f t="shared" si="0"/>
        <v>-1.1419433316823036E-2</v>
      </c>
      <c r="D57" s="76">
        <f t="shared" si="1"/>
        <v>1.3040345727736798E-4</v>
      </c>
      <c r="E57" s="2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>
      <c r="A58" s="4">
        <v>42418</v>
      </c>
      <c r="B58" s="11">
        <v>36.536946999999998</v>
      </c>
      <c r="C58" s="75">
        <f t="shared" si="0"/>
        <v>9.5071432692860943E-3</v>
      </c>
      <c r="D58" s="76">
        <f t="shared" si="1"/>
        <v>9.0385773142731879E-5</v>
      </c>
      <c r="E58" s="2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>
      <c r="A59" s="4">
        <v>42417</v>
      </c>
      <c r="B59" s="11">
        <v>36.191231000000002</v>
      </c>
      <c r="C59" s="75">
        <f t="shared" si="0"/>
        <v>-2.7295705010722473E-4</v>
      </c>
      <c r="D59" s="76">
        <f t="shared" si="1"/>
        <v>7.450555120323799E-8</v>
      </c>
      <c r="E59" s="2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>
      <c r="A60" s="4">
        <v>42416</v>
      </c>
      <c r="B60" s="11">
        <v>36.201110999999997</v>
      </c>
      <c r="C60" s="75">
        <f t="shared" si="0"/>
        <v>4.9234412510756826E-3</v>
      </c>
      <c r="D60" s="76">
        <f t="shared" si="1"/>
        <v>2.4240273752793683E-5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>
      <c r="A61" s="4">
        <v>42412</v>
      </c>
      <c r="B61" s="11">
        <v>36.023314999999997</v>
      </c>
      <c r="C61" s="75">
        <f t="shared" si="0"/>
        <v>7.1547225102464038E-3</v>
      </c>
      <c r="D61" s="76">
        <f t="shared" si="1"/>
        <v>5.1190054198626601E-5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>
      <c r="A62" s="4">
        <v>42411</v>
      </c>
      <c r="B62" s="11">
        <v>35.766497999999999</v>
      </c>
      <c r="C62" s="75">
        <f t="shared" si="0"/>
        <v>-6.0573031296612834E-3</v>
      </c>
      <c r="D62" s="76">
        <f t="shared" si="1"/>
        <v>3.6690921204604382E-5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>
      <c r="A63" s="4">
        <v>42410</v>
      </c>
      <c r="B63" s="11">
        <v>35.983803999999999</v>
      </c>
      <c r="C63" s="75">
        <f t="shared" si="0"/>
        <v>-6.0208606316608593E-3</v>
      </c>
      <c r="D63" s="76">
        <f t="shared" si="1"/>
        <v>3.6250762745883605E-5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>
      <c r="A64" s="4">
        <v>42409</v>
      </c>
      <c r="B64" s="11">
        <v>36.201110999999997</v>
      </c>
      <c r="C64" s="75">
        <f t="shared" si="0"/>
        <v>-1.2473021572795118E-2</v>
      </c>
      <c r="D64" s="76">
        <f t="shared" si="1"/>
        <v>1.5557626715541239E-4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1:16">
      <c r="A65" s="4">
        <v>42408</v>
      </c>
      <c r="B65" s="11">
        <v>36.655476</v>
      </c>
      <c r="C65" s="75">
        <f t="shared" si="0"/>
        <v>6.217077604659187E-3</v>
      </c>
      <c r="D65" s="76">
        <f t="shared" si="1"/>
        <v>3.8652053942354817E-5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1:16">
      <c r="A66" s="4">
        <v>42405</v>
      </c>
      <c r="B66" s="11">
        <v>36.428292999999996</v>
      </c>
      <c r="C66" s="75">
        <f t="shared" si="0"/>
        <v>9.535607966662512E-3</v>
      </c>
      <c r="D66" s="76">
        <f t="shared" si="1"/>
        <v>9.0927819293877565E-5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1:16">
      <c r="A67" s="4">
        <v>42404</v>
      </c>
      <c r="B67" s="11">
        <v>36.082577999999998</v>
      </c>
      <c r="C67" s="75">
        <f t="shared" si="0"/>
        <v>-5.1877837623102181E-3</v>
      </c>
      <c r="D67" s="76">
        <f t="shared" si="1"/>
        <v>2.6913100364489561E-5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1:16">
      <c r="A68" s="4">
        <v>42403</v>
      </c>
      <c r="B68" s="11">
        <v>36.270252999999997</v>
      </c>
      <c r="C68" s="75">
        <f t="shared" si="0"/>
        <v>1.8137339215016493E-2</v>
      </c>
      <c r="D68" s="76">
        <f t="shared" si="1"/>
        <v>3.2896307380057512E-4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1:16">
      <c r="A69" s="4">
        <v>42402</v>
      </c>
      <c r="B69" s="11">
        <v>35.618336999999997</v>
      </c>
      <c r="C69" s="75">
        <f t="shared" si="0"/>
        <v>-3.3222275050905602E-3</v>
      </c>
      <c r="D69" s="76">
        <f t="shared" si="1"/>
        <v>1.1037195595580247E-5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1:16">
      <c r="A70" s="4">
        <v>42401</v>
      </c>
      <c r="B70" s="11">
        <v>35.736865999999999</v>
      </c>
      <c r="C70" s="75">
        <f t="shared" si="0"/>
        <v>3.3222275050905797E-3</v>
      </c>
      <c r="D70" s="76">
        <f t="shared" si="1"/>
        <v>1.1037195595580378E-5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1:16">
      <c r="A71" s="4">
        <v>42398</v>
      </c>
      <c r="B71" s="11">
        <v>35.618336999999997</v>
      </c>
      <c r="C71" s="75">
        <f t="shared" ref="C71:C134" si="2">LN(B71/B72)</f>
        <v>1.4806877318407283E-2</v>
      </c>
      <c r="D71" s="76">
        <f t="shared" si="1"/>
        <v>2.1924361592236404E-4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1:16">
      <c r="A72" s="4">
        <v>42397</v>
      </c>
      <c r="B72" s="11">
        <v>35.094825999999998</v>
      </c>
      <c r="C72" s="75">
        <f t="shared" si="2"/>
        <v>1.4082355737242776E-3</v>
      </c>
      <c r="D72" s="76">
        <f t="shared" ref="D72:D135" si="3">C72^2</f>
        <v>1.9831274311025454E-6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1:16">
      <c r="A73" s="4">
        <v>42396</v>
      </c>
      <c r="B73" s="11">
        <v>35.045439000000002</v>
      </c>
      <c r="C73" s="75">
        <f t="shared" si="2"/>
        <v>2.2572756544865374E-3</v>
      </c>
      <c r="D73" s="76">
        <f t="shared" si="3"/>
        <v>5.0952933803376259E-6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1:16">
      <c r="A74" s="4">
        <v>42395</v>
      </c>
      <c r="B74" s="11">
        <v>34.966420999999997</v>
      </c>
      <c r="C74" s="75">
        <f t="shared" si="2"/>
        <v>1.1363793295799314E-2</v>
      </c>
      <c r="D74" s="76">
        <f t="shared" si="3"/>
        <v>1.2913579806965344E-4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1:16">
      <c r="A75" s="4">
        <v>42394</v>
      </c>
      <c r="B75" s="11">
        <v>34.571319000000003</v>
      </c>
      <c r="C75" s="75">
        <f t="shared" si="2"/>
        <v>-3.9919845073775268E-3</v>
      </c>
      <c r="D75" s="76">
        <f t="shared" si="3"/>
        <v>1.5935940307142194E-5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1:16">
      <c r="A76" s="4">
        <v>42391</v>
      </c>
      <c r="B76" s="11">
        <v>34.709603000000001</v>
      </c>
      <c r="C76" s="75">
        <f t="shared" si="2"/>
        <v>1.722194669742283E-2</v>
      </c>
      <c r="D76" s="76">
        <f t="shared" si="3"/>
        <v>2.965954480488731E-4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1:16">
      <c r="A77" s="4">
        <v>42390</v>
      </c>
      <c r="B77" s="11">
        <v>34.116954</v>
      </c>
      <c r="C77" s="75">
        <f t="shared" si="2"/>
        <v>1.8703050014392045E-2</v>
      </c>
      <c r="D77" s="76">
        <f t="shared" si="3"/>
        <v>3.4980407984085029E-4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1:16">
      <c r="A78" s="4">
        <v>42389</v>
      </c>
      <c r="B78" s="11">
        <v>33.484793000000003</v>
      </c>
      <c r="C78" s="75">
        <f t="shared" si="2"/>
        <v>-1.783404282286425E-2</v>
      </c>
      <c r="D78" s="76">
        <f t="shared" si="3"/>
        <v>3.1805308340775585E-4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1:16">
      <c r="A79" s="4">
        <v>42388</v>
      </c>
      <c r="B79" s="11">
        <v>34.087319000000001</v>
      </c>
      <c r="C79" s="75">
        <f t="shared" si="2"/>
        <v>1.5182683985786909E-2</v>
      </c>
      <c r="D79" s="76">
        <f t="shared" si="3"/>
        <v>2.3051389301227028E-4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1:16">
      <c r="A80" s="4">
        <v>42384</v>
      </c>
      <c r="B80" s="11">
        <v>33.573690999999997</v>
      </c>
      <c r="C80" s="75">
        <f t="shared" si="2"/>
        <v>-9.0789277499004443E-3</v>
      </c>
      <c r="D80" s="76">
        <f t="shared" si="3"/>
        <v>8.2426929087912345E-5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1:16">
      <c r="A81" s="4">
        <v>42383</v>
      </c>
      <c r="B81" s="11">
        <v>33.879891999999998</v>
      </c>
      <c r="C81" s="75">
        <f t="shared" si="2"/>
        <v>1.6461214225340602E-2</v>
      </c>
      <c r="D81" s="76">
        <f t="shared" si="3"/>
        <v>2.7097157377255579E-4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1:16">
      <c r="A82" s="4">
        <v>42382</v>
      </c>
      <c r="B82" s="11">
        <v>33.326752999999997</v>
      </c>
      <c r="C82" s="75">
        <f t="shared" si="2"/>
        <v>-4.7309276383628142E-3</v>
      </c>
      <c r="D82" s="76">
        <f t="shared" si="3"/>
        <v>2.2381676319425154E-5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1:16">
      <c r="A83" s="4">
        <v>42381</v>
      </c>
      <c r="B83" s="11">
        <v>33.484793000000003</v>
      </c>
      <c r="C83" s="75">
        <f t="shared" si="2"/>
        <v>-1.4738217173116232E-3</v>
      </c>
      <c r="D83" s="76">
        <f t="shared" si="3"/>
        <v>2.1721504544193823E-6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1:16">
      <c r="A84" s="4">
        <v>42380</v>
      </c>
      <c r="B84" s="11">
        <v>33.534179999999999</v>
      </c>
      <c r="C84" s="75">
        <f t="shared" si="2"/>
        <v>1.2150088096302258E-2</v>
      </c>
      <c r="D84" s="76">
        <f t="shared" si="3"/>
        <v>1.4762464074790583E-4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1:16">
      <c r="A85" s="4">
        <v>42377</v>
      </c>
      <c r="B85" s="11">
        <v>33.129201999999999</v>
      </c>
      <c r="C85" s="75">
        <f t="shared" si="2"/>
        <v>8.9492836497932922E-4</v>
      </c>
      <c r="D85" s="76">
        <f t="shared" si="3"/>
        <v>8.008967784445755E-7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1:16">
      <c r="A86" s="4">
        <v>42376</v>
      </c>
      <c r="B86" s="11">
        <v>33.099567</v>
      </c>
      <c r="C86" s="75">
        <f t="shared" si="2"/>
        <v>-1.6279846052365321E-2</v>
      </c>
      <c r="D86" s="76">
        <f t="shared" si="3"/>
        <v>2.6503338748871475E-4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1:16">
      <c r="A87" s="4">
        <v>42375</v>
      </c>
      <c r="B87" s="11">
        <v>33.642833000000003</v>
      </c>
      <c r="C87" s="75">
        <f t="shared" si="2"/>
        <v>-1.4669033929751898E-3</v>
      </c>
      <c r="D87" s="76">
        <f t="shared" si="3"/>
        <v>2.1518055643221242E-6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1:16">
      <c r="A88" s="4">
        <v>42374</v>
      </c>
      <c r="B88" s="11">
        <v>33.692219999999999</v>
      </c>
      <c r="C88" s="75">
        <f t="shared" si="2"/>
        <v>6.9626394306585631E-3</v>
      </c>
      <c r="D88" s="76">
        <f t="shared" si="3"/>
        <v>4.8478347841361399E-5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1:16">
      <c r="A89" s="4">
        <v>42373</v>
      </c>
      <c r="B89" s="11">
        <v>33.458447999999997</v>
      </c>
      <c r="C89" s="75">
        <f t="shared" si="2"/>
        <v>-1.7452398101857993E-3</v>
      </c>
      <c r="D89" s="76">
        <f t="shared" si="3"/>
        <v>3.0458619950573647E-6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16">
      <c r="A90" s="4">
        <v>42369</v>
      </c>
      <c r="B90" s="11">
        <v>33.516891999999999</v>
      </c>
      <c r="C90" s="75">
        <f t="shared" si="2"/>
        <v>-9.5445739825835499E-3</v>
      </c>
      <c r="D90" s="76">
        <f t="shared" si="3"/>
        <v>9.1098892509010803E-5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1:16">
      <c r="A91" s="4">
        <v>42368</v>
      </c>
      <c r="B91" s="11">
        <v>33.838327999999997</v>
      </c>
      <c r="C91" s="75">
        <f t="shared" si="2"/>
        <v>-5.4542810849184387E-3</v>
      </c>
      <c r="D91" s="76">
        <f t="shared" si="3"/>
        <v>2.9749182153299059E-5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1:16">
      <c r="A92" s="4">
        <v>42367</v>
      </c>
      <c r="B92" s="11">
        <v>34.023395999999998</v>
      </c>
      <c r="C92" s="75">
        <f t="shared" si="2"/>
        <v>4.8788272329302234E-3</v>
      </c>
      <c r="D92" s="76">
        <f t="shared" si="3"/>
        <v>2.380295516878158E-5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1:16">
      <c r="A93" s="4">
        <v>42366</v>
      </c>
      <c r="B93" s="11">
        <v>33.857805999999997</v>
      </c>
      <c r="C93" s="75">
        <f t="shared" si="2"/>
        <v>2.8809715255953034E-3</v>
      </c>
      <c r="D93" s="76">
        <f t="shared" si="3"/>
        <v>8.2999969312909289E-6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1:16">
      <c r="A94" s="4">
        <v>42362</v>
      </c>
      <c r="B94" s="11">
        <v>33.760402999999997</v>
      </c>
      <c r="C94" s="75">
        <f t="shared" si="2"/>
        <v>-3.4561829758000136E-3</v>
      </c>
      <c r="D94" s="76">
        <f t="shared" si="3"/>
        <v>1.1945200762209837E-5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1:16">
      <c r="A95" s="4">
        <v>42361</v>
      </c>
      <c r="B95" s="11">
        <v>33.877287000000003</v>
      </c>
      <c r="C95" s="75">
        <f t="shared" si="2"/>
        <v>1.0695239284776633E-2</v>
      </c>
      <c r="D95" s="76">
        <f t="shared" si="3"/>
        <v>1.1438814335862939E-4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1:16">
      <c r="A96" s="4">
        <v>42360</v>
      </c>
      <c r="B96" s="11">
        <v>33.516891999999999</v>
      </c>
      <c r="C96" s="75">
        <f t="shared" si="2"/>
        <v>9.3431206190387125E-3</v>
      </c>
      <c r="D96" s="76">
        <f t="shared" si="3"/>
        <v>8.7293902901906337E-5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1:16">
      <c r="A97" s="4">
        <v>42359</v>
      </c>
      <c r="B97" s="11">
        <v>33.205198000000003</v>
      </c>
      <c r="C97" s="75">
        <f t="shared" si="2"/>
        <v>1.4478077028023685E-2</v>
      </c>
      <c r="D97" s="76">
        <f t="shared" si="3"/>
        <v>2.0961471442938713E-4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1:16">
      <c r="A98" s="4">
        <v>42356</v>
      </c>
      <c r="B98" s="11">
        <v>32.727913999999998</v>
      </c>
      <c r="C98" s="75">
        <f t="shared" si="2"/>
        <v>-1.2716410212372844E-2</v>
      </c>
      <c r="D98" s="76">
        <f t="shared" si="3"/>
        <v>1.6170708868934035E-4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1:16">
      <c r="A99" s="4">
        <v>42355</v>
      </c>
      <c r="B99" s="11">
        <v>33.146752999999997</v>
      </c>
      <c r="C99" s="75">
        <f t="shared" si="2"/>
        <v>-1.081417530978614E-2</v>
      </c>
      <c r="D99" s="76">
        <f t="shared" si="3"/>
        <v>1.1694638763078816E-4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1:16">
      <c r="A100" s="4">
        <v>42354</v>
      </c>
      <c r="B100" s="11">
        <v>33.507153000000002</v>
      </c>
      <c r="C100" s="75">
        <f t="shared" si="2"/>
        <v>1.7299958719895543E-2</v>
      </c>
      <c r="D100" s="76">
        <f t="shared" si="3"/>
        <v>2.9928857171008984E-4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1:16">
      <c r="A101" s="4">
        <v>42353</v>
      </c>
      <c r="B101" s="11">
        <v>32.932465999999998</v>
      </c>
      <c r="C101" s="75">
        <f t="shared" si="2"/>
        <v>6.2306268022634739E-3</v>
      </c>
      <c r="D101" s="76">
        <f t="shared" si="3"/>
        <v>3.8820710349083961E-5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1:16">
      <c r="A102" s="4">
        <v>42352</v>
      </c>
      <c r="B102" s="11">
        <v>32.727913999999998</v>
      </c>
      <c r="C102" s="75">
        <f t="shared" si="2"/>
        <v>1.2880233336184793E-2</v>
      </c>
      <c r="D102" s="76">
        <f t="shared" si="3"/>
        <v>1.6590041079456605E-4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1:16">
      <c r="A103" s="4">
        <v>42349</v>
      </c>
      <c r="B103" s="11">
        <v>32.309074000000003</v>
      </c>
      <c r="C103" s="75">
        <f t="shared" si="2"/>
        <v>-1.4961394839246802E-2</v>
      </c>
      <c r="D103" s="76">
        <f t="shared" si="3"/>
        <v>2.2384333553584083E-4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1:16">
      <c r="A104" s="4">
        <v>42348</v>
      </c>
      <c r="B104" s="11">
        <v>32.796097000000003</v>
      </c>
      <c r="C104" s="75">
        <f t="shared" si="2"/>
        <v>2.9743761396123225E-3</v>
      </c>
      <c r="D104" s="76">
        <f t="shared" si="3"/>
        <v>8.8469134198951017E-6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1:16">
      <c r="A105" s="4">
        <v>42347</v>
      </c>
      <c r="B105" s="11">
        <v>32.698694000000003</v>
      </c>
      <c r="C105" s="75">
        <f t="shared" si="2"/>
        <v>-8.3061389920238773E-3</v>
      </c>
      <c r="D105" s="76">
        <f t="shared" si="3"/>
        <v>6.8991944954819434E-5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1:16">
      <c r="A106" s="4">
        <v>42346</v>
      </c>
      <c r="B106" s="11">
        <v>32.971425000000004</v>
      </c>
      <c r="C106" s="75">
        <f t="shared" si="2"/>
        <v>-1.2331398788685055E-2</v>
      </c>
      <c r="D106" s="76">
        <f t="shared" si="3"/>
        <v>1.5206339608558325E-4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1:16">
      <c r="A107" s="4">
        <v>42345</v>
      </c>
      <c r="B107" s="11">
        <v>33.380526000000003</v>
      </c>
      <c r="C107" s="75">
        <f t="shared" si="2"/>
        <v>4.6797328953307633E-3</v>
      </c>
      <c r="D107" s="76">
        <f t="shared" si="3"/>
        <v>2.1899899971640849E-5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1:16">
      <c r="A108" s="4">
        <v>42342</v>
      </c>
      <c r="B108" s="11">
        <v>33.224679000000002</v>
      </c>
      <c r="C108" s="75">
        <f t="shared" si="2"/>
        <v>3.0057389420115124E-2</v>
      </c>
      <c r="D108" s="76">
        <f t="shared" si="3"/>
        <v>9.0344665875244856E-4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>
      <c r="A109" s="4">
        <v>42341</v>
      </c>
      <c r="B109" s="11">
        <v>32.240890999999998</v>
      </c>
      <c r="C109" s="75">
        <f t="shared" si="2"/>
        <v>-1.3801699529817307E-2</v>
      </c>
      <c r="D109" s="76">
        <f t="shared" si="3"/>
        <v>1.9048690991135928E-4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>
      <c r="A110" s="4">
        <v>42340</v>
      </c>
      <c r="B110" s="11">
        <v>32.688955</v>
      </c>
      <c r="C110" s="75">
        <f t="shared" si="2"/>
        <v>-6.2379078036972815E-3</v>
      </c>
      <c r="D110" s="76">
        <f t="shared" si="3"/>
        <v>3.8911493767427445E-5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>
      <c r="A111" s="4">
        <v>42339</v>
      </c>
      <c r="B111" s="11">
        <v>32.893503000000003</v>
      </c>
      <c r="C111" s="75">
        <f t="shared" si="2"/>
        <v>2.965646659165449E-3</v>
      </c>
      <c r="D111" s="76">
        <f t="shared" si="3"/>
        <v>8.7950601070191879E-6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>
      <c r="A112" s="4">
        <v>42338</v>
      </c>
      <c r="B112" s="11">
        <v>32.796097000000003</v>
      </c>
      <c r="C112" s="75">
        <f t="shared" si="2"/>
        <v>2.9743761396123225E-3</v>
      </c>
      <c r="D112" s="76">
        <f t="shared" si="3"/>
        <v>8.8469134198951017E-6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>
      <c r="A113" s="4">
        <v>42335</v>
      </c>
      <c r="B113" s="11">
        <v>32.698694000000003</v>
      </c>
      <c r="C113" s="75">
        <f t="shared" si="2"/>
        <v>3.581011773381223E-3</v>
      </c>
      <c r="D113" s="76">
        <f t="shared" si="3"/>
        <v>1.2823645321094932E-5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>
      <c r="A114" s="4">
        <v>42333</v>
      </c>
      <c r="B114" s="11">
        <v>32.581809</v>
      </c>
      <c r="C114" s="75">
        <f t="shared" si="2"/>
        <v>1.7953723831180398E-3</v>
      </c>
      <c r="D114" s="76">
        <f t="shared" si="3"/>
        <v>3.2233619940629497E-6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>
      <c r="A115" s="4">
        <v>42332</v>
      </c>
      <c r="B115" s="11">
        <v>32.523364999999998</v>
      </c>
      <c r="C115" s="75">
        <f t="shared" si="2"/>
        <v>-2.0942368430995431E-3</v>
      </c>
      <c r="D115" s="76">
        <f t="shared" si="3"/>
        <v>4.3858279549955398E-6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>
      <c r="A116" s="4">
        <v>42331</v>
      </c>
      <c r="B116" s="11">
        <v>32.591548000000003</v>
      </c>
      <c r="C116" s="75">
        <f t="shared" si="2"/>
        <v>-5.9595232851594642E-3</v>
      </c>
      <c r="D116" s="76">
        <f t="shared" si="3"/>
        <v>3.5515917786357853E-5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>
      <c r="A117" s="4">
        <v>42328</v>
      </c>
      <c r="B117" s="11">
        <v>32.786358</v>
      </c>
      <c r="C117" s="75">
        <f t="shared" si="2"/>
        <v>1.1890973065737489E-3</v>
      </c>
      <c r="D117" s="76">
        <f t="shared" si="3"/>
        <v>1.413952404500944E-6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>
      <c r="A118" s="4">
        <v>42327</v>
      </c>
      <c r="B118" s="11">
        <v>32.747394999999997</v>
      </c>
      <c r="C118" s="75">
        <f t="shared" si="2"/>
        <v>2.3823224570639193E-3</v>
      </c>
      <c r="D118" s="76">
        <f t="shared" si="3"/>
        <v>5.6754602894310699E-6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>
      <c r="A119" s="4">
        <v>42326</v>
      </c>
      <c r="B119" s="11">
        <v>32.669473000000004</v>
      </c>
      <c r="C119" s="75">
        <f t="shared" si="2"/>
        <v>8.3833557583666528E-3</v>
      </c>
      <c r="D119" s="76">
        <f t="shared" si="3"/>
        <v>7.0280653771339323E-5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1:16">
      <c r="A120" s="4">
        <v>42325</v>
      </c>
      <c r="B120" s="11">
        <v>32.396737999999999</v>
      </c>
      <c r="C120" s="75">
        <f t="shared" si="2"/>
        <v>6.6364347335850738E-3</v>
      </c>
      <c r="D120" s="76">
        <f t="shared" si="3"/>
        <v>4.4042265973134389E-5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1:16">
      <c r="A121" s="4">
        <v>42324</v>
      </c>
      <c r="B121" s="11">
        <v>32.182451</v>
      </c>
      <c r="C121" s="75">
        <f t="shared" si="2"/>
        <v>2.2342170634001349E-2</v>
      </c>
      <c r="D121" s="76">
        <f t="shared" si="3"/>
        <v>4.9917258863883221E-4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1:16">
      <c r="A122" s="4">
        <v>42321</v>
      </c>
      <c r="B122" s="11">
        <v>31.471398000000001</v>
      </c>
      <c r="C122" s="75">
        <f t="shared" si="2"/>
        <v>-1.1692373452198394E-2</v>
      </c>
      <c r="D122" s="76">
        <f t="shared" si="3"/>
        <v>1.367115969456738E-4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1:16">
      <c r="A123" s="4">
        <v>42320</v>
      </c>
      <c r="B123" s="11">
        <v>31.841532999999998</v>
      </c>
      <c r="C123" s="75">
        <f t="shared" si="2"/>
        <v>-7.0111437297464031E-3</v>
      </c>
      <c r="D123" s="76">
        <f t="shared" si="3"/>
        <v>4.9156136399162305E-5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1:16">
      <c r="A124" s="4">
        <v>42319</v>
      </c>
      <c r="B124" s="11">
        <v>32.065562999999997</v>
      </c>
      <c r="C124" s="75">
        <f t="shared" si="2"/>
        <v>3.9566955217149435E-3</v>
      </c>
      <c r="D124" s="76">
        <f t="shared" si="3"/>
        <v>1.5655439451559088E-5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1:16">
      <c r="A125" s="4">
        <v>42318</v>
      </c>
      <c r="B125" s="11">
        <v>31.938939999999999</v>
      </c>
      <c r="C125" s="75">
        <f t="shared" si="2"/>
        <v>-1.5236544379468183E-3</v>
      </c>
      <c r="D125" s="76">
        <f t="shared" si="3"/>
        <v>2.3215228462750348E-6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1:16">
      <c r="A126" s="4">
        <v>42317</v>
      </c>
      <c r="B126" s="11">
        <v>31.987641</v>
      </c>
      <c r="C126" s="75">
        <f t="shared" si="2"/>
        <v>-9.6970323333200117E-3</v>
      </c>
      <c r="D126" s="76">
        <f t="shared" si="3"/>
        <v>9.4032436073453751E-5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1:16">
      <c r="A127" s="4">
        <v>42314</v>
      </c>
      <c r="B127" s="11">
        <v>32.299334999999999</v>
      </c>
      <c r="C127" s="75">
        <f t="shared" si="2"/>
        <v>-5.4135743014391922E-3</v>
      </c>
      <c r="D127" s="76">
        <f t="shared" si="3"/>
        <v>2.9306786717202838E-5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1:16">
      <c r="A128" s="4">
        <v>42313</v>
      </c>
      <c r="B128" s="11">
        <v>32.474663999999997</v>
      </c>
      <c r="C128" s="75">
        <f t="shared" si="2"/>
        <v>-4.1903279583828355E-3</v>
      </c>
      <c r="D128" s="76">
        <f t="shared" si="3"/>
        <v>1.7558848398804863E-5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1:16">
      <c r="A129" s="4">
        <v>42312</v>
      </c>
      <c r="B129" s="11">
        <v>32.611029000000002</v>
      </c>
      <c r="C129" s="75">
        <f t="shared" si="2"/>
        <v>-4.4703484899704365E-3</v>
      </c>
      <c r="D129" s="76">
        <f t="shared" si="3"/>
        <v>1.9984015621780962E-5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1:16">
      <c r="A130" s="4">
        <v>42311</v>
      </c>
      <c r="B130" s="11">
        <v>32.757137999999998</v>
      </c>
      <c r="C130" s="75">
        <f t="shared" si="2"/>
        <v>5.9491753114301014E-4</v>
      </c>
      <c r="D130" s="76">
        <f t="shared" si="3"/>
        <v>3.5392686886129446E-7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1:16">
      <c r="A131" s="4">
        <v>42310</v>
      </c>
      <c r="B131" s="11">
        <v>32.737656000000001</v>
      </c>
      <c r="C131" s="75">
        <f t="shared" si="2"/>
        <v>2.9797856197260851E-3</v>
      </c>
      <c r="D131" s="76">
        <f t="shared" si="3"/>
        <v>8.8791223395263684E-6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1:16">
      <c r="A132" s="4">
        <v>42307</v>
      </c>
      <c r="B132" s="11">
        <v>32.640250000000002</v>
      </c>
      <c r="C132" s="75">
        <f t="shared" si="2"/>
        <v>-1.1929677136900234E-3</v>
      </c>
      <c r="D132" s="76">
        <f t="shared" si="3"/>
        <v>1.4231719659068015E-6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1:16">
      <c r="A133" s="4">
        <v>42306</v>
      </c>
      <c r="B133" s="11">
        <v>32.679212</v>
      </c>
      <c r="C133" s="75">
        <f t="shared" si="2"/>
        <v>3.8823753100750997E-3</v>
      </c>
      <c r="D133" s="76">
        <f t="shared" si="3"/>
        <v>1.5072838048280727E-5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1:16">
      <c r="A134" s="4">
        <v>42305</v>
      </c>
      <c r="B134" s="11">
        <v>32.552585000000001</v>
      </c>
      <c r="C134" s="75">
        <f t="shared" si="2"/>
        <v>6.3034427399380069E-3</v>
      </c>
      <c r="D134" s="76">
        <f t="shared" si="3"/>
        <v>3.9733390375677172E-5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1:16">
      <c r="A135" s="4">
        <v>42304</v>
      </c>
      <c r="B135" s="11">
        <v>32.348036999999998</v>
      </c>
      <c r="C135" s="75">
        <f t="shared" ref="C135:C198" si="4">LN(B135/B136)</f>
        <v>-1.3459175195494154E-2</v>
      </c>
      <c r="D135" s="76">
        <f t="shared" si="3"/>
        <v>1.811493969430051E-4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1:16">
      <c r="A136" s="4">
        <v>42303</v>
      </c>
      <c r="B136" s="11">
        <v>32.786358</v>
      </c>
      <c r="C136" s="75">
        <f t="shared" si="4"/>
        <v>-2.3739307159493621E-3</v>
      </c>
      <c r="D136" s="76">
        <f t="shared" ref="D136:D199" si="5">C136^2</f>
        <v>5.6355470441278508E-6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1:16">
      <c r="A137" s="4">
        <v>42300</v>
      </c>
      <c r="B137" s="11">
        <v>32.864283</v>
      </c>
      <c r="C137" s="75">
        <f t="shared" si="4"/>
        <v>-6.4992259598627856E-3</v>
      </c>
      <c r="D137" s="76">
        <f t="shared" si="5"/>
        <v>4.2239938077354348E-5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1:16">
      <c r="A138" s="4">
        <v>42299</v>
      </c>
      <c r="B138" s="11">
        <v>33.078570999999997</v>
      </c>
      <c r="C138" s="75">
        <f t="shared" si="4"/>
        <v>1.0657318011021572E-2</v>
      </c>
      <c r="D138" s="76">
        <f t="shared" si="5"/>
        <v>1.1357842718804479E-4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1:16">
      <c r="A139" s="4">
        <v>42298</v>
      </c>
      <c r="B139" s="11">
        <v>32.727913999999998</v>
      </c>
      <c r="C139" s="75">
        <f t="shared" si="4"/>
        <v>-4.4543881017262447E-3</v>
      </c>
      <c r="D139" s="76">
        <f t="shared" si="5"/>
        <v>1.9841573360800338E-5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1:16">
      <c r="A140" s="4">
        <v>42297</v>
      </c>
      <c r="B140" s="11">
        <v>32.874021999999997</v>
      </c>
      <c r="C140" s="75">
        <f t="shared" si="4"/>
        <v>3.5618484748186677E-3</v>
      </c>
      <c r="D140" s="76">
        <f t="shared" si="5"/>
        <v>1.2686764557568069E-5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1:16">
      <c r="A141" s="4">
        <v>42296</v>
      </c>
      <c r="B141" s="11">
        <v>32.757137999999998</v>
      </c>
      <c r="C141" s="75">
        <f t="shared" si="4"/>
        <v>-5.9294562012204843E-3</v>
      </c>
      <c r="D141" s="76">
        <f t="shared" si="5"/>
        <v>3.5158450842192054E-5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1:16">
      <c r="A142" s="4">
        <v>42293</v>
      </c>
      <c r="B142" s="11">
        <v>32.951946999999997</v>
      </c>
      <c r="C142" s="75">
        <f t="shared" si="4"/>
        <v>1.0101085357274312E-2</v>
      </c>
      <c r="D142" s="76">
        <f t="shared" si="5"/>
        <v>1.0203192539494152E-4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1:16">
      <c r="A143" s="4">
        <v>42292</v>
      </c>
      <c r="B143" s="11">
        <v>32.620772000000002</v>
      </c>
      <c r="C143" s="75">
        <f t="shared" si="4"/>
        <v>6.5908297161392168E-3</v>
      </c>
      <c r="D143" s="76">
        <f t="shared" si="5"/>
        <v>4.3439036347143748E-5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1:16">
      <c r="A144" s="4">
        <v>42291</v>
      </c>
      <c r="B144" s="11">
        <v>32.406480999999999</v>
      </c>
      <c r="C144" s="75">
        <f t="shared" si="4"/>
        <v>1.5039779403060748E-3</v>
      </c>
      <c r="D144" s="76">
        <f t="shared" si="5"/>
        <v>2.2619496449273033E-6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1:16">
      <c r="A145" s="4">
        <v>42290</v>
      </c>
      <c r="B145" s="11">
        <v>32.357779000000001</v>
      </c>
      <c r="C145" s="75">
        <f t="shared" si="4"/>
        <v>-2.4052431684841963E-3</v>
      </c>
      <c r="D145" s="76">
        <f t="shared" si="5"/>
        <v>5.7851946995398959E-6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1:16">
      <c r="A146" s="4">
        <v>42289</v>
      </c>
      <c r="B146" s="11">
        <v>32.435701000000002</v>
      </c>
      <c r="C146" s="75">
        <f t="shared" si="4"/>
        <v>4.8163784200454061E-3</v>
      </c>
      <c r="D146" s="76">
        <f t="shared" si="5"/>
        <v>2.3197501085079081E-5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1:16">
      <c r="A147" s="4">
        <v>42286</v>
      </c>
      <c r="B147" s="11">
        <v>32.279854</v>
      </c>
      <c r="C147" s="75">
        <f t="shared" si="4"/>
        <v>-7.8149580303341834E-3</v>
      </c>
      <c r="D147" s="76">
        <f t="shared" si="5"/>
        <v>6.1073569015884733E-5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1:16">
      <c r="A148" s="4">
        <v>42285</v>
      </c>
      <c r="B148" s="11">
        <v>32.533107999999999</v>
      </c>
      <c r="C148" s="75">
        <f t="shared" si="4"/>
        <v>8.418643560960816E-3</v>
      </c>
      <c r="D148" s="76">
        <f t="shared" si="5"/>
        <v>7.0873559406507008E-5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1:16">
      <c r="A149" s="4">
        <v>42284</v>
      </c>
      <c r="B149" s="11">
        <v>32.260373000000001</v>
      </c>
      <c r="C149" s="75">
        <f t="shared" si="4"/>
        <v>8.4899629642793094E-3</v>
      </c>
      <c r="D149" s="76">
        <f t="shared" si="5"/>
        <v>7.2079471134834324E-5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1:16">
      <c r="A150" s="4">
        <v>42283</v>
      </c>
      <c r="B150" s="11">
        <v>31.987642999999998</v>
      </c>
      <c r="C150" s="75">
        <f t="shared" si="4"/>
        <v>-3.5960114656628322E-3</v>
      </c>
      <c r="D150" s="76">
        <f t="shared" si="5"/>
        <v>1.2931298461178551E-5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1:16">
      <c r="A151" s="4">
        <v>42282</v>
      </c>
      <c r="B151" s="11">
        <v>32.102877999999997</v>
      </c>
      <c r="C151" s="75">
        <f t="shared" si="4"/>
        <v>2.3915197200942571E-2</v>
      </c>
      <c r="D151" s="76">
        <f t="shared" si="5"/>
        <v>5.719366571599714E-4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1:16">
      <c r="A152" s="4">
        <v>42279</v>
      </c>
      <c r="B152" s="11">
        <v>31.344239000000002</v>
      </c>
      <c r="C152" s="75">
        <f t="shared" si="4"/>
        <v>3.3758165518423641E-3</v>
      </c>
      <c r="D152" s="76">
        <f t="shared" si="5"/>
        <v>1.1396137391692869E-5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1:16">
      <c r="A153" s="4">
        <v>42278</v>
      </c>
      <c r="B153" s="11">
        <v>31.238605</v>
      </c>
      <c r="C153" s="75">
        <f t="shared" si="4"/>
        <v>-1.5359563163906825E-3</v>
      </c>
      <c r="D153" s="76">
        <f t="shared" si="5"/>
        <v>2.3591618058604343E-6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1:16">
      <c r="A154" s="4">
        <v>42277</v>
      </c>
      <c r="B154" s="11">
        <v>31.286622999999999</v>
      </c>
      <c r="C154" s="75">
        <f t="shared" si="4"/>
        <v>1.5777661975072136E-2</v>
      </c>
      <c r="D154" s="76">
        <f t="shared" si="5"/>
        <v>2.4893461739963719E-4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1:16">
      <c r="A155" s="4">
        <v>42276</v>
      </c>
      <c r="B155" s="11">
        <v>30.796866999999999</v>
      </c>
      <c r="C155" s="75">
        <f t="shared" si="4"/>
        <v>5.3149959543294075E-3</v>
      </c>
      <c r="D155" s="76">
        <f t="shared" si="5"/>
        <v>2.824918199453797E-5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1:16">
      <c r="A156" s="4">
        <v>42275</v>
      </c>
      <c r="B156" s="11">
        <v>30.633616</v>
      </c>
      <c r="C156" s="75">
        <f t="shared" si="4"/>
        <v>-1.3389658603612589E-2</v>
      </c>
      <c r="D156" s="76">
        <f t="shared" si="5"/>
        <v>1.7928295752129664E-4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1:16">
      <c r="A157" s="4">
        <v>42272</v>
      </c>
      <c r="B157" s="11">
        <v>31.046548000000001</v>
      </c>
      <c r="C157" s="75">
        <f t="shared" si="4"/>
        <v>6.8281376832154952E-3</v>
      </c>
      <c r="D157" s="76">
        <f t="shared" si="5"/>
        <v>4.6623464220947474E-5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1:16">
      <c r="A158" s="4">
        <v>42271</v>
      </c>
      <c r="B158" s="11">
        <v>30.835280000000001</v>
      </c>
      <c r="C158" s="75">
        <f t="shared" si="4"/>
        <v>-2.7989725284157593E-3</v>
      </c>
      <c r="D158" s="76">
        <f t="shared" si="5"/>
        <v>7.8342472148261094E-6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1:16">
      <c r="A159" s="4">
        <v>42270</v>
      </c>
      <c r="B159" s="11">
        <v>30.921707999999999</v>
      </c>
      <c r="C159" s="75">
        <f t="shared" si="4"/>
        <v>-2.1715501462463449E-3</v>
      </c>
      <c r="D159" s="76">
        <f t="shared" si="5"/>
        <v>4.7156300376625219E-6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1:16">
      <c r="A160" s="4">
        <v>42269</v>
      </c>
      <c r="B160" s="11">
        <v>30.988928999999999</v>
      </c>
      <c r="C160" s="75">
        <f t="shared" si="4"/>
        <v>-8.9465532568005109E-3</v>
      </c>
      <c r="D160" s="76">
        <f t="shared" si="5"/>
        <v>8.004081517676783E-5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1:16">
      <c r="A161" s="4">
        <v>42268</v>
      </c>
      <c r="B161" s="11">
        <v>31.267416999999998</v>
      </c>
      <c r="C161" s="75">
        <f t="shared" si="4"/>
        <v>3.0723598231211148E-4</v>
      </c>
      <c r="D161" s="76">
        <f t="shared" si="5"/>
        <v>9.4393948827288081E-8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1:16">
      <c r="A162" s="4">
        <v>42265</v>
      </c>
      <c r="B162" s="11">
        <v>31.257812000000001</v>
      </c>
      <c r="C162" s="75">
        <f t="shared" si="4"/>
        <v>-7.0411941109666731E-3</v>
      </c>
      <c r="D162" s="76">
        <f t="shared" si="5"/>
        <v>4.9578414508311761E-5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1:16">
      <c r="A163" s="4">
        <v>42264</v>
      </c>
      <c r="B163" s="11">
        <v>31.478681000000002</v>
      </c>
      <c r="C163" s="75">
        <f t="shared" si="4"/>
        <v>-4.8691441814778325E-3</v>
      </c>
      <c r="D163" s="76">
        <f t="shared" si="5"/>
        <v>2.3708565060019433E-5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1:16">
      <c r="A164" s="4">
        <v>42263</v>
      </c>
      <c r="B164" s="11">
        <v>31.632328999999999</v>
      </c>
      <c r="C164" s="75">
        <f t="shared" si="4"/>
        <v>2.4315451426528386E-3</v>
      </c>
      <c r="D164" s="76">
        <f t="shared" si="5"/>
        <v>5.9124117807586132E-6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1:16">
      <c r="A165" s="4">
        <v>42262</v>
      </c>
      <c r="B165" s="11">
        <v>31.555506999999999</v>
      </c>
      <c r="C165" s="75">
        <f t="shared" si="4"/>
        <v>9.478793149791661E-3</v>
      </c>
      <c r="D165" s="76">
        <f t="shared" si="5"/>
        <v>8.9847519576537321E-5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1:16">
      <c r="A166" s="4">
        <v>42261</v>
      </c>
      <c r="B166" s="11">
        <v>31.257812000000001</v>
      </c>
      <c r="C166" s="75">
        <f t="shared" si="4"/>
        <v>-5.2091989193081556E-3</v>
      </c>
      <c r="D166" s="76">
        <f t="shared" si="5"/>
        <v>2.7135753380921257E-5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1:16">
      <c r="A167" s="4">
        <v>42258</v>
      </c>
      <c r="B167" s="11">
        <v>31.421064999999999</v>
      </c>
      <c r="C167" s="75">
        <f t="shared" si="4"/>
        <v>-9.1641712156831769E-4</v>
      </c>
      <c r="D167" s="76">
        <f t="shared" si="5"/>
        <v>8.3982034070356079E-7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1:16">
      <c r="A168" s="4">
        <v>42257</v>
      </c>
      <c r="B168" s="11">
        <v>31.449873</v>
      </c>
      <c r="C168" s="75">
        <f t="shared" si="4"/>
        <v>-9.1557807009004836E-4</v>
      </c>
      <c r="D168" s="76">
        <f t="shared" si="5"/>
        <v>8.3828320242981748E-7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1:16">
      <c r="A169" s="4">
        <v>42256</v>
      </c>
      <c r="B169" s="11">
        <v>31.478681000000002</v>
      </c>
      <c r="C169" s="75">
        <f t="shared" si="4"/>
        <v>-1.092245388590311E-2</v>
      </c>
      <c r="D169" s="76">
        <f t="shared" si="5"/>
        <v>1.1929999888967995E-4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1:16">
      <c r="A170" s="4">
        <v>42255</v>
      </c>
      <c r="B170" s="11">
        <v>31.824390000000001</v>
      </c>
      <c r="C170" s="75">
        <f t="shared" si="4"/>
        <v>1.7656412014557588E-2</v>
      </c>
      <c r="D170" s="76">
        <f t="shared" si="5"/>
        <v>3.1174888522781351E-4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1:16">
      <c r="A171" s="4">
        <v>42251</v>
      </c>
      <c r="B171" s="11">
        <v>31.267416999999998</v>
      </c>
      <c r="C171" s="75">
        <f t="shared" si="4"/>
        <v>-1.4634384751465579E-2</v>
      </c>
      <c r="D171" s="76">
        <f t="shared" si="5"/>
        <v>2.1416521705392826E-4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1:16">
      <c r="A172" s="4">
        <v>42250</v>
      </c>
      <c r="B172" s="11">
        <v>31.728361</v>
      </c>
      <c r="C172" s="75">
        <f t="shared" si="4"/>
        <v>6.6808843674480822E-3</v>
      </c>
      <c r="D172" s="76">
        <f t="shared" si="5"/>
        <v>4.463421593121216E-5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1:16">
      <c r="A173" s="4">
        <v>42249</v>
      </c>
      <c r="B173" s="11">
        <v>31.517094</v>
      </c>
      <c r="C173" s="75">
        <f t="shared" si="4"/>
        <v>1.5351860667717715E-2</v>
      </c>
      <c r="D173" s="76">
        <f t="shared" si="5"/>
        <v>2.3567962596101819E-4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1:16">
      <c r="A174" s="4">
        <v>42248</v>
      </c>
      <c r="B174" s="11">
        <v>31.036943000000001</v>
      </c>
      <c r="C174" s="75">
        <f t="shared" si="4"/>
        <v>-2.6863664862134422E-2</v>
      </c>
      <c r="D174" s="76">
        <f t="shared" si="5"/>
        <v>7.2165648982507556E-4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1:16">
      <c r="A175" s="4">
        <v>42247</v>
      </c>
      <c r="B175" s="11">
        <v>31.882009</v>
      </c>
      <c r="C175" s="75">
        <f t="shared" si="4"/>
        <v>-2.7071715094133257E-3</v>
      </c>
      <c r="D175" s="76">
        <f t="shared" si="5"/>
        <v>7.3287775813792242E-6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1:16">
      <c r="A176" s="4">
        <v>42244</v>
      </c>
      <c r="B176" s="11">
        <v>31.968436000000001</v>
      </c>
      <c r="C176" s="75">
        <f t="shared" si="4"/>
        <v>-4.4956674730581986E-3</v>
      </c>
      <c r="D176" s="76">
        <f t="shared" si="5"/>
        <v>2.0211026028313487E-5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1:16">
      <c r="A177" s="4">
        <v>42243</v>
      </c>
      <c r="B177" s="11">
        <v>32.112479</v>
      </c>
      <c r="C177" s="75">
        <f t="shared" si="4"/>
        <v>2.2683565756173019E-2</v>
      </c>
      <c r="D177" s="76">
        <f t="shared" si="5"/>
        <v>5.1454415541462521E-4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1:16">
      <c r="A178" s="4">
        <v>42242</v>
      </c>
      <c r="B178" s="11">
        <v>31.392253</v>
      </c>
      <c r="C178" s="75">
        <f t="shared" si="4"/>
        <v>2.7602889939189711E-2</v>
      </c>
      <c r="D178" s="76">
        <f t="shared" si="5"/>
        <v>7.6191953299502052E-4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1:16">
      <c r="A179" s="4">
        <v>42241</v>
      </c>
      <c r="B179" s="11">
        <v>30.537586000000001</v>
      </c>
      <c r="C179" s="75">
        <f t="shared" si="4"/>
        <v>-1.7765751627028054E-2</v>
      </c>
      <c r="D179" s="76">
        <f t="shared" si="5"/>
        <v>3.1562193087324993E-4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1:16">
      <c r="A180" s="4">
        <v>42240</v>
      </c>
      <c r="B180" s="11">
        <v>31.084956999999999</v>
      </c>
      <c r="C180" s="75">
        <f t="shared" si="4"/>
        <v>-3.0724930305874681E-2</v>
      </c>
      <c r="D180" s="76">
        <f t="shared" si="5"/>
        <v>9.4402134230085635E-4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1:16">
      <c r="A181" s="4">
        <v>42237</v>
      </c>
      <c r="B181" s="11">
        <v>32.054864000000002</v>
      </c>
      <c r="C181" s="75">
        <f t="shared" si="4"/>
        <v>-1.6931909582484479E-2</v>
      </c>
      <c r="D181" s="76">
        <f t="shared" si="5"/>
        <v>2.8668956210942971E-4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1:16">
      <c r="A182" s="4">
        <v>42236</v>
      </c>
      <c r="B182" s="11">
        <v>32.602235</v>
      </c>
      <c r="C182" s="75">
        <f t="shared" si="4"/>
        <v>-1.2004255117996786E-2</v>
      </c>
      <c r="D182" s="76">
        <f t="shared" si="5"/>
        <v>1.4410214093795202E-4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1:16">
      <c r="A183" s="4">
        <v>42235</v>
      </c>
      <c r="B183" s="11">
        <v>32.995958999999999</v>
      </c>
      <c r="C183" s="75">
        <f t="shared" si="4"/>
        <v>2.9113862885794383E-4</v>
      </c>
      <c r="D183" s="76">
        <f t="shared" si="5"/>
        <v>8.476170121328356E-8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1:16">
      <c r="A184" s="4">
        <v>42234</v>
      </c>
      <c r="B184" s="11">
        <v>32.986353999999999</v>
      </c>
      <c r="C184" s="75">
        <f t="shared" si="4"/>
        <v>3.4995609186823152E-3</v>
      </c>
      <c r="D184" s="76">
        <f t="shared" si="5"/>
        <v>1.2246926623568609E-5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1:16">
      <c r="A185" s="4">
        <v>42233</v>
      </c>
      <c r="B185" s="11">
        <v>32.871118000000003</v>
      </c>
      <c r="C185" s="75">
        <f t="shared" si="4"/>
        <v>5.2724120663771579E-3</v>
      </c>
      <c r="D185" s="76">
        <f t="shared" si="5"/>
        <v>2.7798328997679452E-5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1:16">
      <c r="A186" s="4">
        <v>42230</v>
      </c>
      <c r="B186" s="11">
        <v>32.698264000000002</v>
      </c>
      <c r="C186" s="75">
        <f t="shared" si="4"/>
        <v>7.0733436387730112E-3</v>
      </c>
      <c r="D186" s="76">
        <f t="shared" si="5"/>
        <v>5.0032190232170624E-5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1:16">
      <c r="A187" s="4">
        <v>42229</v>
      </c>
      <c r="B187" s="11">
        <v>32.467793999999998</v>
      </c>
      <c r="C187" s="75">
        <f t="shared" si="4"/>
        <v>-6.1919299420720312E-3</v>
      </c>
      <c r="D187" s="76">
        <f t="shared" si="5"/>
        <v>3.8339996407528149E-5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1:16">
      <c r="A188" s="4">
        <v>42228</v>
      </c>
      <c r="B188" s="11">
        <v>32.669455999999997</v>
      </c>
      <c r="C188" s="75">
        <f t="shared" si="4"/>
        <v>-1.8349170947443642E-2</v>
      </c>
      <c r="D188" s="76">
        <f t="shared" si="5"/>
        <v>3.3669207445850981E-4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1:16">
      <c r="A189" s="4">
        <v>42227</v>
      </c>
      <c r="B189" s="11">
        <v>33.274447000000002</v>
      </c>
      <c r="C189" s="75">
        <f t="shared" si="4"/>
        <v>-3.7447175674468502E-3</v>
      </c>
      <c r="D189" s="76">
        <f t="shared" si="5"/>
        <v>1.4022909659945055E-5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1:16">
      <c r="A190" s="4">
        <v>42226</v>
      </c>
      <c r="B190" s="11">
        <v>33.399284000000002</v>
      </c>
      <c r="C190" s="75">
        <f t="shared" si="4"/>
        <v>1.6524515432910933E-2</v>
      </c>
      <c r="D190" s="76">
        <f t="shared" si="5"/>
        <v>2.730596102925116E-4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1:16">
      <c r="A191" s="4">
        <v>42223</v>
      </c>
      <c r="B191" s="11">
        <v>32.851911999999999</v>
      </c>
      <c r="C191" s="75">
        <f t="shared" si="4"/>
        <v>-8.7664221605760558E-4</v>
      </c>
      <c r="D191" s="76">
        <f t="shared" si="5"/>
        <v>7.6850157497438967E-7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1:16">
      <c r="A192" s="4">
        <v>42222</v>
      </c>
      <c r="B192" s="11">
        <v>32.880724000000001</v>
      </c>
      <c r="C192" s="75">
        <f t="shared" si="4"/>
        <v>-9.5916273182035695E-3</v>
      </c>
      <c r="D192" s="76">
        <f t="shared" si="5"/>
        <v>9.1999314611308994E-5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1:16">
      <c r="A193" s="4">
        <v>42221</v>
      </c>
      <c r="B193" s="11">
        <v>33.197620999999998</v>
      </c>
      <c r="C193" s="75">
        <f t="shared" si="4"/>
        <v>-2.8928611391824331E-4</v>
      </c>
      <c r="D193" s="76">
        <f t="shared" si="5"/>
        <v>8.3686455705918842E-8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1:16">
      <c r="A194" s="4">
        <v>42220</v>
      </c>
      <c r="B194" s="11">
        <v>33.207225999999999</v>
      </c>
      <c r="C194" s="75">
        <f t="shared" si="4"/>
        <v>-2.3107403291059794E-3</v>
      </c>
      <c r="D194" s="76">
        <f t="shared" si="5"/>
        <v>5.33952086855681E-6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1:16">
      <c r="A195" s="4">
        <v>42219</v>
      </c>
      <c r="B195" s="11">
        <v>33.284047999999999</v>
      </c>
      <c r="C195" s="75">
        <f t="shared" si="4"/>
        <v>-2.305533016622226E-3</v>
      </c>
      <c r="D195" s="76">
        <f t="shared" si="5"/>
        <v>5.3154824907351814E-6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1:16">
      <c r="A196" s="4">
        <v>42216</v>
      </c>
      <c r="B196" s="11">
        <v>33.360874000000003</v>
      </c>
      <c r="C196" s="75">
        <f t="shared" si="4"/>
        <v>-1.7255634329280461E-3</v>
      </c>
      <c r="D196" s="76">
        <f t="shared" si="5"/>
        <v>2.9775691610584236E-6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1:16">
      <c r="A197" s="4">
        <v>42215</v>
      </c>
      <c r="B197" s="11">
        <v>33.418489999999998</v>
      </c>
      <c r="C197" s="75">
        <f t="shared" si="4"/>
        <v>3.1659510729170888E-3</v>
      </c>
      <c r="D197" s="76">
        <f t="shared" si="5"/>
        <v>1.0023246196104866E-5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1:16">
      <c r="A198" s="4">
        <v>42214</v>
      </c>
      <c r="B198" s="11">
        <v>33.312855999999996</v>
      </c>
      <c r="C198" s="75">
        <f t="shared" si="4"/>
        <v>1.0431747087814783E-2</v>
      </c>
      <c r="D198" s="76">
        <f t="shared" si="5"/>
        <v>1.0882134730413221E-4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1:16">
      <c r="A199" s="4">
        <v>42213</v>
      </c>
      <c r="B199" s="11">
        <v>32.967151000000001</v>
      </c>
      <c r="C199" s="75">
        <f t="shared" ref="C199:C262" si="6">LN(B199/B200)</f>
        <v>2.9139307437278211E-4</v>
      </c>
      <c r="D199" s="76">
        <f t="shared" si="5"/>
        <v>8.4909923792421725E-8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1:16">
      <c r="A200" s="4">
        <v>42212</v>
      </c>
      <c r="B200" s="11">
        <v>32.957546000000001</v>
      </c>
      <c r="C200" s="75">
        <f t="shared" si="6"/>
        <v>8.744764490225906E-4</v>
      </c>
      <c r="D200" s="76">
        <f t="shared" ref="D200:D263" si="7">C200^2</f>
        <v>7.6470905989515945E-7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1:16">
      <c r="A201" s="4">
        <v>42209</v>
      </c>
      <c r="B201" s="11">
        <v>32.928738000000003</v>
      </c>
      <c r="C201" s="75">
        <f t="shared" si="6"/>
        <v>1.055420193663177E-2</v>
      </c>
      <c r="D201" s="76">
        <f t="shared" si="7"/>
        <v>1.113911785192018E-4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1:16">
      <c r="A202" s="4">
        <v>42208</v>
      </c>
      <c r="B202" s="11">
        <v>32.583029000000003</v>
      </c>
      <c r="C202" s="75">
        <f t="shared" si="6"/>
        <v>-9.970741865867154E-3</v>
      </c>
      <c r="D202" s="76">
        <f t="shared" si="7"/>
        <v>9.9415693355756011E-5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1:16">
      <c r="A203" s="4">
        <v>42207</v>
      </c>
      <c r="B203" s="11">
        <v>32.909531000000001</v>
      </c>
      <c r="C203" s="75">
        <f t="shared" si="6"/>
        <v>-8.7159048623175611E-3</v>
      </c>
      <c r="D203" s="76">
        <f t="shared" si="7"/>
        <v>7.5966997568970907E-5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1:16">
      <c r="A204" s="4">
        <v>42206</v>
      </c>
      <c r="B204" s="11">
        <v>33.197620999999998</v>
      </c>
      <c r="C204" s="75">
        <f t="shared" si="6"/>
        <v>-9.5006207091106482E-3</v>
      </c>
      <c r="D204" s="76">
        <f t="shared" si="7"/>
        <v>9.0261793858382116E-5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1:16">
      <c r="A205" s="4">
        <v>42205</v>
      </c>
      <c r="B205" s="11">
        <v>33.514521999999999</v>
      </c>
      <c r="C205" s="75">
        <f t="shared" si="6"/>
        <v>-3.1468116510424524E-3</v>
      </c>
      <c r="D205" s="76">
        <f t="shared" si="7"/>
        <v>9.9024235671365255E-6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1:16">
      <c r="A206" s="4">
        <v>42202</v>
      </c>
      <c r="B206" s="11">
        <v>33.620151999999997</v>
      </c>
      <c r="C206" s="75">
        <f t="shared" si="6"/>
        <v>-4.2753908669129984E-3</v>
      </c>
      <c r="D206" s="76">
        <f t="shared" si="7"/>
        <v>1.8278967064883082E-5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1:16">
      <c r="A207" s="4">
        <v>42201</v>
      </c>
      <c r="B207" s="11">
        <v>33.764198999999998</v>
      </c>
      <c r="C207" s="75">
        <f t="shared" si="6"/>
        <v>1.2305217343318632E-2</v>
      </c>
      <c r="D207" s="76">
        <f t="shared" si="7"/>
        <v>1.5141837386630966E-4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1:16">
      <c r="A208" s="4">
        <v>42200</v>
      </c>
      <c r="B208" s="11">
        <v>33.351269000000002</v>
      </c>
      <c r="C208" s="75">
        <f t="shared" si="6"/>
        <v>-1.116688536271552E-2</v>
      </c>
      <c r="D208" s="76">
        <f t="shared" si="7"/>
        <v>1.2469932870403015E-4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1:16">
      <c r="A209" s="4">
        <v>42199</v>
      </c>
      <c r="B209" s="11">
        <v>33.725785999999999</v>
      </c>
      <c r="C209" s="75">
        <f t="shared" si="6"/>
        <v>6.8570998152952707E-3</v>
      </c>
      <c r="D209" s="76">
        <f t="shared" si="7"/>
        <v>4.7019817876922436E-5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1:16">
      <c r="A210" s="4">
        <v>42198</v>
      </c>
      <c r="B210" s="11">
        <v>33.495316000000003</v>
      </c>
      <c r="C210" s="75">
        <f t="shared" si="6"/>
        <v>6.6158630999648988E-3</v>
      </c>
      <c r="D210" s="76">
        <f t="shared" si="7"/>
        <v>4.3769644557477162E-5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1:16">
      <c r="A211" s="4">
        <v>42195</v>
      </c>
      <c r="B211" s="11">
        <v>33.274447000000002</v>
      </c>
      <c r="C211" s="75">
        <f t="shared" si="6"/>
        <v>7.5319499373463095E-3</v>
      </c>
      <c r="D211" s="76">
        <f t="shared" si="7"/>
        <v>5.6730269858691078E-5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1:16">
      <c r="A212" s="4">
        <v>42194</v>
      </c>
      <c r="B212" s="11">
        <v>33.024766999999997</v>
      </c>
      <c r="C212" s="75">
        <f t="shared" si="6"/>
        <v>-1.1564207176508948E-2</v>
      </c>
      <c r="D212" s="76">
        <f t="shared" si="7"/>
        <v>1.3373088762122105E-4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1:16">
      <c r="A213" s="4">
        <v>42193</v>
      </c>
      <c r="B213" s="11">
        <v>33.408889000000002</v>
      </c>
      <c r="C213" s="75">
        <f t="shared" si="6"/>
        <v>-1.4552952288127755E-2</v>
      </c>
      <c r="D213" s="76">
        <f t="shared" si="7"/>
        <v>2.1178842030052287E-4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1:16">
      <c r="A214" s="4">
        <v>42192</v>
      </c>
      <c r="B214" s="11">
        <v>33.898642000000002</v>
      </c>
      <c r="C214" s="75">
        <f t="shared" si="6"/>
        <v>4.4830448888200378E-3</v>
      </c>
      <c r="D214" s="76">
        <f t="shared" si="7"/>
        <v>2.0097691475175466E-5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1:16">
      <c r="A215" s="4">
        <v>42191</v>
      </c>
      <c r="B215" s="11">
        <v>33.747013000000003</v>
      </c>
      <c r="C215" s="75">
        <f t="shared" si="6"/>
        <v>-3.3641442674543949E-3</v>
      </c>
      <c r="D215" s="76">
        <f t="shared" si="7"/>
        <v>1.1317466652246267E-5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1:16">
      <c r="A216" s="4">
        <v>42187</v>
      </c>
      <c r="B216" s="11">
        <v>33.860734000000001</v>
      </c>
      <c r="C216" s="75">
        <f t="shared" si="6"/>
        <v>4.4881047228370399E-3</v>
      </c>
      <c r="D216" s="76">
        <f t="shared" si="7"/>
        <v>2.0143084003152142E-5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1:16">
      <c r="A217" s="4">
        <v>42186</v>
      </c>
      <c r="B217" s="11">
        <v>33.709104000000004</v>
      </c>
      <c r="C217" s="75">
        <f t="shared" si="6"/>
        <v>1.4066328507253906E-3</v>
      </c>
      <c r="D217" s="76">
        <f t="shared" si="7"/>
        <v>1.9786159767398392E-6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1:16">
      <c r="A218" s="4">
        <v>42185</v>
      </c>
      <c r="B218" s="11">
        <v>33.661721</v>
      </c>
      <c r="C218" s="75">
        <f t="shared" si="6"/>
        <v>-7.0136381949279618E-3</v>
      </c>
      <c r="D218" s="76">
        <f t="shared" si="7"/>
        <v>4.9191120729352355E-5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1:16">
      <c r="A219" s="4">
        <v>42184</v>
      </c>
      <c r="B219" s="11">
        <v>33.898642000000002</v>
      </c>
      <c r="C219" s="75">
        <f t="shared" si="6"/>
        <v>-9.7371385747340809E-3</v>
      </c>
      <c r="D219" s="76">
        <f t="shared" si="7"/>
        <v>9.481186762357445E-5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1:16">
      <c r="A220" s="4">
        <v>42181</v>
      </c>
      <c r="B220" s="11">
        <v>34.230330000000002</v>
      </c>
      <c r="C220" s="75">
        <f t="shared" si="6"/>
        <v>-1.6597801961940883E-3</v>
      </c>
      <c r="D220" s="76">
        <f t="shared" si="7"/>
        <v>2.7548702996780863E-6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1:16">
      <c r="A221" s="4">
        <v>42180</v>
      </c>
      <c r="B221" s="11">
        <v>34.287191999999997</v>
      </c>
      <c r="C221" s="75">
        <f t="shared" si="6"/>
        <v>1.1117448104540345E-2</v>
      </c>
      <c r="D221" s="76">
        <f t="shared" si="7"/>
        <v>1.2359765235714771E-4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1:16">
      <c r="A222" s="4">
        <v>42179</v>
      </c>
      <c r="B222" s="11">
        <v>33.908116999999997</v>
      </c>
      <c r="C222" s="75">
        <f t="shared" si="6"/>
        <v>-3.6267636566327398E-3</v>
      </c>
      <c r="D222" s="76">
        <f t="shared" si="7"/>
        <v>1.3153414621072082E-5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1:16">
      <c r="A223" s="4">
        <v>42178</v>
      </c>
      <c r="B223" s="11">
        <v>34.031317000000001</v>
      </c>
      <c r="C223" s="75">
        <f t="shared" si="6"/>
        <v>2.4525520911179009E-2</v>
      </c>
      <c r="D223" s="76">
        <f t="shared" si="7"/>
        <v>6.0150117596467886E-4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1:16">
      <c r="A224" s="4">
        <v>42177</v>
      </c>
      <c r="B224" s="11">
        <v>33.206833000000003</v>
      </c>
      <c r="C224" s="75">
        <f t="shared" si="6"/>
        <v>1.4279241177643947E-3</v>
      </c>
      <c r="D224" s="76">
        <f t="shared" si="7"/>
        <v>2.0389672860932249E-6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1:16">
      <c r="A225" s="4">
        <v>42174</v>
      </c>
      <c r="B225" s="11">
        <v>33.15945</v>
      </c>
      <c r="C225" s="75">
        <f t="shared" si="6"/>
        <v>-8.5697501823685598E-4</v>
      </c>
      <c r="D225" s="76">
        <f t="shared" si="7"/>
        <v>7.3440618188205965E-7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1:16">
      <c r="A226" s="4">
        <v>42173</v>
      </c>
      <c r="B226" s="11">
        <v>33.187879000000002</v>
      </c>
      <c r="C226" s="75">
        <f t="shared" si="6"/>
        <v>6.3019586410414047E-3</v>
      </c>
      <c r="D226" s="76">
        <f t="shared" si="7"/>
        <v>3.9714682713396429E-5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1:16">
      <c r="A227" s="4">
        <v>42172</v>
      </c>
      <c r="B227" s="11">
        <v>32.979388</v>
      </c>
      <c r="C227" s="75">
        <f t="shared" si="6"/>
        <v>3.7426616822024169E-3</v>
      </c>
      <c r="D227" s="76">
        <f t="shared" si="7"/>
        <v>1.4007516467426226E-5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1:16">
      <c r="A228" s="4">
        <v>42171</v>
      </c>
      <c r="B228" s="11">
        <v>32.856188000000003</v>
      </c>
      <c r="C228" s="75">
        <f t="shared" si="6"/>
        <v>7.5274872066863688E-3</v>
      </c>
      <c r="D228" s="76">
        <f t="shared" si="7"/>
        <v>5.6663063646826954E-5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1:16">
      <c r="A229" s="4">
        <v>42170</v>
      </c>
      <c r="B229" s="11">
        <v>32.609791999999999</v>
      </c>
      <c r="C229" s="75">
        <f t="shared" si="6"/>
        <v>-6.9505344743331695E-3</v>
      </c>
      <c r="D229" s="76">
        <f t="shared" si="7"/>
        <v>4.8309929478893871E-5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1:16">
      <c r="A230" s="4">
        <v>42167</v>
      </c>
      <c r="B230" s="11">
        <v>32.837237000000002</v>
      </c>
      <c r="C230" s="75">
        <f t="shared" si="6"/>
        <v>-6.6158664551038849E-3</v>
      </c>
      <c r="D230" s="76">
        <f t="shared" si="7"/>
        <v>4.3769688951768845E-5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1:16">
      <c r="A231" s="4">
        <v>42166</v>
      </c>
      <c r="B231" s="11">
        <v>33.055204000000003</v>
      </c>
      <c r="C231" s="75">
        <f t="shared" si="6"/>
        <v>4.5976978168387299E-3</v>
      </c>
      <c r="D231" s="76">
        <f t="shared" si="7"/>
        <v>2.1138825214963623E-5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1:16">
      <c r="A232" s="4">
        <v>42165</v>
      </c>
      <c r="B232" s="11">
        <v>32.903574999999996</v>
      </c>
      <c r="C232" s="75">
        <f t="shared" si="6"/>
        <v>6.0668273364211291E-3</v>
      </c>
      <c r="D232" s="76">
        <f t="shared" si="7"/>
        <v>3.6806393929946693E-5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1:16">
      <c r="A233" s="4">
        <v>42164</v>
      </c>
      <c r="B233" s="11">
        <v>32.704559000000003</v>
      </c>
      <c r="C233" s="75">
        <f t="shared" si="6"/>
        <v>-2.3155260070954697E-3</v>
      </c>
      <c r="D233" s="76">
        <f t="shared" si="7"/>
        <v>5.361660689535489E-6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1:16">
      <c r="A234" s="4">
        <v>42163</v>
      </c>
      <c r="B234" s="11">
        <v>32.780374999999999</v>
      </c>
      <c r="C234" s="75">
        <f t="shared" si="6"/>
        <v>5.783790400977223E-4</v>
      </c>
      <c r="D234" s="76">
        <f t="shared" si="7"/>
        <v>3.3452231402436266E-7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1:16">
      <c r="A235" s="4">
        <v>42160</v>
      </c>
      <c r="B235" s="11">
        <v>32.761420999999999</v>
      </c>
      <c r="C235" s="75">
        <f t="shared" si="6"/>
        <v>-2.0046505312324568E-2</v>
      </c>
      <c r="D235" s="76">
        <f t="shared" si="7"/>
        <v>4.0186237523705715E-4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1:16">
      <c r="A236" s="4">
        <v>42159</v>
      </c>
      <c r="B236" s="11">
        <v>33.424799999999998</v>
      </c>
      <c r="C236" s="75">
        <f t="shared" si="6"/>
        <v>6.8279654737104694E-3</v>
      </c>
      <c r="D236" s="76">
        <f t="shared" si="7"/>
        <v>4.6621112510182235E-5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1:16">
      <c r="A237" s="4">
        <v>42158</v>
      </c>
      <c r="B237" s="11">
        <v>33.197353999999997</v>
      </c>
      <c r="C237" s="75">
        <f t="shared" si="6"/>
        <v>1.9311679777442525E-2</v>
      </c>
      <c r="D237" s="76">
        <f t="shared" si="7"/>
        <v>3.729409758264826E-4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1:16">
      <c r="A238" s="4">
        <v>42157</v>
      </c>
      <c r="B238" s="11">
        <v>32.562407999999998</v>
      </c>
      <c r="C238" s="75">
        <f t="shared" si="6"/>
        <v>2.9114492848139324E-4</v>
      </c>
      <c r="D238" s="76">
        <f t="shared" si="7"/>
        <v>8.4765369380435591E-8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1:16">
      <c r="A239" s="4">
        <v>42156</v>
      </c>
      <c r="B239" s="11">
        <v>32.552928999999999</v>
      </c>
      <c r="C239" s="75">
        <f t="shared" si="6"/>
        <v>-5.5161191439297855E-3</v>
      </c>
      <c r="D239" s="76">
        <f t="shared" si="7"/>
        <v>3.0427570410028671E-5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1:16">
      <c r="A240" s="4">
        <v>42153</v>
      </c>
      <c r="B240" s="11">
        <v>32.732990999999998</v>
      </c>
      <c r="C240" s="75">
        <f t="shared" si="6"/>
        <v>-7.4992918690941655E-3</v>
      </c>
      <c r="D240" s="76">
        <f t="shared" si="7"/>
        <v>5.6239378537861865E-5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1:16">
      <c r="A241" s="4">
        <v>42152</v>
      </c>
      <c r="B241" s="11">
        <v>32.979388</v>
      </c>
      <c r="C241" s="75">
        <f t="shared" si="6"/>
        <v>-4.3011261460404833E-3</v>
      </c>
      <c r="D241" s="76">
        <f t="shared" si="7"/>
        <v>1.8499686124153062E-5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1:16">
      <c r="A242" s="4">
        <v>42151</v>
      </c>
      <c r="B242" s="11">
        <v>33.121541999999998</v>
      </c>
      <c r="C242" s="75">
        <f t="shared" si="6"/>
        <v>8.0437878282429189E-3</v>
      </c>
      <c r="D242" s="76">
        <f t="shared" si="7"/>
        <v>6.4702522625788937E-5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1:16">
      <c r="A243" s="4">
        <v>42150</v>
      </c>
      <c r="B243" s="11">
        <v>32.856188000000003</v>
      </c>
      <c r="C243" s="75">
        <f t="shared" si="6"/>
        <v>-1.1530902041504509E-3</v>
      </c>
      <c r="D243" s="76">
        <f t="shared" si="7"/>
        <v>1.3296170189077286E-6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1:16">
      <c r="A244" s="4">
        <v>42146</v>
      </c>
      <c r="B244" s="11">
        <v>32.894095999999998</v>
      </c>
      <c r="C244" s="75">
        <f t="shared" si="6"/>
        <v>-1.0318262026408703E-2</v>
      </c>
      <c r="D244" s="76">
        <f t="shared" si="7"/>
        <v>1.0646653124562784E-4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1:16">
      <c r="A245" s="4">
        <v>42145</v>
      </c>
      <c r="B245" s="11">
        <v>33.235263000000003</v>
      </c>
      <c r="C245" s="75">
        <f t="shared" si="6"/>
        <v>1.2914556799119488E-2</v>
      </c>
      <c r="D245" s="76">
        <f t="shared" si="7"/>
        <v>1.6678577731768339E-4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1:16">
      <c r="A246" s="4">
        <v>42144</v>
      </c>
      <c r="B246" s="11">
        <v>32.808804000000002</v>
      </c>
      <c r="C246" s="75">
        <f t="shared" si="6"/>
        <v>7.2474624512927433E-3</v>
      </c>
      <c r="D246" s="76">
        <f t="shared" si="7"/>
        <v>5.2525711982898219E-5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1:16">
      <c r="A247" s="4">
        <v>42143</v>
      </c>
      <c r="B247" s="11">
        <v>32.571883</v>
      </c>
      <c r="C247" s="75">
        <f t="shared" si="6"/>
        <v>-1.4442776904643125E-2</v>
      </c>
      <c r="D247" s="76">
        <f t="shared" si="7"/>
        <v>2.0859380471729286E-4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1:16">
      <c r="A248" s="4">
        <v>42142</v>
      </c>
      <c r="B248" s="11">
        <v>33.045724999999997</v>
      </c>
      <c r="C248" s="75">
        <f t="shared" si="6"/>
        <v>1.5607157595354668E-2</v>
      </c>
      <c r="D248" s="76">
        <f t="shared" si="7"/>
        <v>2.4358336820623692E-4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1:16">
      <c r="A249" s="4">
        <v>42139</v>
      </c>
      <c r="B249" s="11">
        <v>32.533979000000002</v>
      </c>
      <c r="C249" s="75">
        <f t="shared" si="6"/>
        <v>5.8428839427388628E-3</v>
      </c>
      <c r="D249" s="76">
        <f t="shared" si="7"/>
        <v>3.4139292768315639E-5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1:16">
      <c r="A250" s="4">
        <v>42138</v>
      </c>
      <c r="B250" s="11">
        <v>32.344441000000003</v>
      </c>
      <c r="C250" s="75">
        <f t="shared" si="6"/>
        <v>6.7617103645010957E-3</v>
      </c>
      <c r="D250" s="76">
        <f t="shared" si="7"/>
        <v>4.5720727053401543E-5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1:16">
      <c r="A251" s="4">
        <v>42137</v>
      </c>
      <c r="B251" s="11">
        <v>32.126474999999999</v>
      </c>
      <c r="C251" s="75">
        <f t="shared" si="6"/>
        <v>7.1048861021836838E-3</v>
      </c>
      <c r="D251" s="76">
        <f t="shared" si="7"/>
        <v>5.0479406525002858E-5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1:16">
      <c r="A252" s="4">
        <v>42136</v>
      </c>
      <c r="B252" s="11">
        <v>31.899028999999999</v>
      </c>
      <c r="C252" s="75">
        <f t="shared" si="6"/>
        <v>5.0632639241054399E-3</v>
      </c>
      <c r="D252" s="76">
        <f t="shared" si="7"/>
        <v>2.5636641565147616E-5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1:16">
      <c r="A253" s="4">
        <v>42135</v>
      </c>
      <c r="B253" s="11">
        <v>31.737924</v>
      </c>
      <c r="C253" s="75">
        <f t="shared" si="6"/>
        <v>-5.954085375081397E-3</v>
      </c>
      <c r="D253" s="76">
        <f t="shared" si="7"/>
        <v>3.545113265375818E-5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1:16">
      <c r="A254" s="4">
        <v>42132</v>
      </c>
      <c r="B254" s="11">
        <v>31.927458000000001</v>
      </c>
      <c r="C254" s="75">
        <f t="shared" si="6"/>
        <v>9.5437416219935275E-3</v>
      </c>
      <c r="D254" s="76">
        <f t="shared" si="7"/>
        <v>9.108300414737165E-5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1:16">
      <c r="A255" s="4">
        <v>42131</v>
      </c>
      <c r="B255" s="11">
        <v>31.624199999999998</v>
      </c>
      <c r="C255" s="75">
        <f t="shared" si="6"/>
        <v>-2.9969389492014929E-4</v>
      </c>
      <c r="D255" s="76">
        <f t="shared" si="7"/>
        <v>8.9816430652409485E-8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1:16">
      <c r="A256" s="4">
        <v>42130</v>
      </c>
      <c r="B256" s="11">
        <v>31.633679000000001</v>
      </c>
      <c r="C256" s="75">
        <f t="shared" si="6"/>
        <v>-1.0134201493979412E-2</v>
      </c>
      <c r="D256" s="76">
        <f t="shared" si="7"/>
        <v>1.0270203992057454E-4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1:16">
      <c r="A257" s="4">
        <v>42129</v>
      </c>
      <c r="B257" s="11">
        <v>31.955891000000001</v>
      </c>
      <c r="C257" s="75">
        <f t="shared" si="6"/>
        <v>-2.3737325823017304E-2</v>
      </c>
      <c r="D257" s="76">
        <f t="shared" si="7"/>
        <v>5.634606372280841E-4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1:16">
      <c r="A258" s="4">
        <v>42128</v>
      </c>
      <c r="B258" s="11">
        <v>32.723512999999997</v>
      </c>
      <c r="C258" s="75">
        <f t="shared" si="6"/>
        <v>3.1907454333219487E-3</v>
      </c>
      <c r="D258" s="76">
        <f t="shared" si="7"/>
        <v>1.0180856420264871E-5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1:16">
      <c r="A259" s="4">
        <v>42125</v>
      </c>
      <c r="B259" s="11">
        <v>32.619267000000001</v>
      </c>
      <c r="C259" s="75">
        <f t="shared" si="6"/>
        <v>-6.3713119208443679E-3</v>
      </c>
      <c r="D259" s="76">
        <f t="shared" si="7"/>
        <v>4.0593615592693549E-5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1:16">
      <c r="A260" s="4">
        <v>42124</v>
      </c>
      <c r="B260" s="11">
        <v>32.827758000000003</v>
      </c>
      <c r="C260" s="75">
        <f t="shared" si="6"/>
        <v>-3.4581855749026926E-3</v>
      </c>
      <c r="D260" s="76">
        <f t="shared" si="7"/>
        <v>1.1959047470465067E-5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1:16">
      <c r="A261" s="4">
        <v>42123</v>
      </c>
      <c r="B261" s="11">
        <v>32.941479000000001</v>
      </c>
      <c r="C261" s="75">
        <f t="shared" si="6"/>
        <v>-2.8728198625779158E-3</v>
      </c>
      <c r="D261" s="76">
        <f t="shared" si="7"/>
        <v>8.2530939628221951E-6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1:16">
      <c r="A262" s="4">
        <v>42122</v>
      </c>
      <c r="B262" s="11">
        <v>33.036250000000003</v>
      </c>
      <c r="C262" s="75">
        <f t="shared" si="6"/>
        <v>2.2335973583234279E-2</v>
      </c>
      <c r="D262" s="76">
        <f t="shared" si="7"/>
        <v>4.9889571591093954E-4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1:16">
      <c r="A263" s="4">
        <v>42121</v>
      </c>
      <c r="B263" s="11">
        <v>32.306533000000002</v>
      </c>
      <c r="C263" s="75">
        <f t="shared" ref="C263:C326" si="8">LN(B263/B264)</f>
        <v>2.3495279044935947E-3</v>
      </c>
      <c r="D263" s="76">
        <f t="shared" si="7"/>
        <v>5.5202813739940622E-6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1:16">
      <c r="A264" s="4">
        <v>42118</v>
      </c>
      <c r="B264" s="11">
        <v>32.230716999999999</v>
      </c>
      <c r="C264" s="75">
        <f t="shared" si="8"/>
        <v>-6.4478727116207904E-3</v>
      </c>
      <c r="D264" s="76">
        <f t="shared" ref="D264:D327" si="9">C264^2</f>
        <v>4.1575062505264047E-5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1:16">
      <c r="A265" s="4">
        <v>42117</v>
      </c>
      <c r="B265" s="11">
        <v>32.439208000000001</v>
      </c>
      <c r="C265" s="75">
        <f t="shared" si="8"/>
        <v>4.0846292829555292E-2</v>
      </c>
      <c r="D265" s="76">
        <f t="shared" si="9"/>
        <v>1.66841963791778E-3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1:16">
      <c r="A266" s="4">
        <v>42116</v>
      </c>
      <c r="B266" s="11">
        <v>31.140882999999999</v>
      </c>
      <c r="C266" s="75">
        <f t="shared" si="8"/>
        <v>6.1050664409102572E-3</v>
      </c>
      <c r="D266" s="76">
        <f t="shared" si="9"/>
        <v>3.7271836247928634E-5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1:16">
      <c r="A267" s="4">
        <v>42115</v>
      </c>
      <c r="B267" s="11">
        <v>30.951345</v>
      </c>
      <c r="C267" s="75">
        <f t="shared" si="8"/>
        <v>-5.1917016703398843E-3</v>
      </c>
      <c r="D267" s="76">
        <f t="shared" si="9"/>
        <v>2.6953766233809943E-5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1:16">
      <c r="A268" s="4">
        <v>42114</v>
      </c>
      <c r="B268" s="11">
        <v>31.112452999999999</v>
      </c>
      <c r="C268" s="75">
        <f t="shared" si="8"/>
        <v>9.7951024904226035E-3</v>
      </c>
      <c r="D268" s="76">
        <f t="shared" si="9"/>
        <v>9.594403279788309E-5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1:16">
      <c r="A269" s="4">
        <v>42111</v>
      </c>
      <c r="B269" s="11">
        <v>30.809190999999998</v>
      </c>
      <c r="C269" s="75">
        <f t="shared" si="8"/>
        <v>-7.3552908179094151E-3</v>
      </c>
      <c r="D269" s="76">
        <f t="shared" si="9"/>
        <v>5.4100303016022552E-5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1:16">
      <c r="A270" s="4">
        <v>42110</v>
      </c>
      <c r="B270" s="11">
        <v>31.036636999999999</v>
      </c>
      <c r="C270" s="75">
        <f t="shared" si="8"/>
        <v>-4.2656756568199413E-3</v>
      </c>
      <c r="D270" s="76">
        <f t="shared" si="9"/>
        <v>1.8195988809186238E-5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1:16">
      <c r="A271" s="4">
        <v>42109</v>
      </c>
      <c r="B271" s="11">
        <v>31.169312000000001</v>
      </c>
      <c r="C271" s="75">
        <f t="shared" si="8"/>
        <v>6.0994488178426863E-3</v>
      </c>
      <c r="D271" s="76">
        <f t="shared" si="9"/>
        <v>3.7203275881482545E-5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1:16">
      <c r="A272" s="4">
        <v>42108</v>
      </c>
      <c r="B272" s="11">
        <v>30.979775</v>
      </c>
      <c r="C272" s="75">
        <f t="shared" si="8"/>
        <v>-5.7954177112095676E-3</v>
      </c>
      <c r="D272" s="76">
        <f t="shared" si="9"/>
        <v>3.3586866447401545E-5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1:16">
      <c r="A273" s="4">
        <v>42107</v>
      </c>
      <c r="B273" s="11">
        <v>31.159837</v>
      </c>
      <c r="C273" s="75">
        <f t="shared" si="8"/>
        <v>3.3511333413211585E-3</v>
      </c>
      <c r="D273" s="76">
        <f t="shared" si="9"/>
        <v>1.1230094671314312E-5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1:16">
      <c r="A274" s="4">
        <v>42104</v>
      </c>
      <c r="B274" s="11">
        <v>31.055591</v>
      </c>
      <c r="C274" s="75">
        <f t="shared" si="8"/>
        <v>2.4442843698884351E-3</v>
      </c>
      <c r="D274" s="76">
        <f t="shared" si="9"/>
        <v>5.974526080880904E-6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1:16">
      <c r="A275" s="4">
        <v>42103</v>
      </c>
      <c r="B275" s="11">
        <v>30.979775</v>
      </c>
      <c r="C275" s="75">
        <f t="shared" si="8"/>
        <v>1.2242893332241414E-3</v>
      </c>
      <c r="D275" s="76">
        <f t="shared" si="9"/>
        <v>1.4988843714464125E-6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1:16">
      <c r="A276" s="4">
        <v>42102</v>
      </c>
      <c r="B276" s="11">
        <v>30.941870000000002</v>
      </c>
      <c r="C276" s="75">
        <f t="shared" si="8"/>
        <v>-1.2242893332242272E-3</v>
      </c>
      <c r="D276" s="76">
        <f t="shared" si="9"/>
        <v>1.4988843714466228E-6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1:16">
      <c r="A277" s="4">
        <v>42101</v>
      </c>
      <c r="B277" s="11">
        <v>30.979775</v>
      </c>
      <c r="C277" s="75">
        <f t="shared" si="8"/>
        <v>-5.1136349299616812E-3</v>
      </c>
      <c r="D277" s="76">
        <f t="shared" si="9"/>
        <v>2.6149262196924206E-5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1:16">
      <c r="A278" s="4">
        <v>42100</v>
      </c>
      <c r="B278" s="11">
        <v>31.1386</v>
      </c>
      <c r="C278" s="75">
        <f t="shared" si="8"/>
        <v>6.0186991073943189E-3</v>
      </c>
      <c r="D278" s="76">
        <f t="shared" si="9"/>
        <v>3.6224738945349169E-5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1:16">
      <c r="A279" s="4">
        <v>42096</v>
      </c>
      <c r="B279" s="11">
        <v>30.951749</v>
      </c>
      <c r="C279" s="75">
        <f t="shared" si="8"/>
        <v>7.2706102364163893E-3</v>
      </c>
      <c r="D279" s="76">
        <f t="shared" si="9"/>
        <v>5.2861773209882786E-5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1:16">
      <c r="A280" s="4">
        <v>42095</v>
      </c>
      <c r="B280" s="11">
        <v>30.727526999999998</v>
      </c>
      <c r="C280" s="75">
        <f t="shared" si="8"/>
        <v>7.3237282665037087E-3</v>
      </c>
      <c r="D280" s="76">
        <f t="shared" si="9"/>
        <v>5.3636995721585417E-5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1:16">
      <c r="A281" s="4">
        <v>42094</v>
      </c>
      <c r="B281" s="11">
        <v>30.503309000000002</v>
      </c>
      <c r="C281" s="75">
        <f t="shared" si="8"/>
        <v>-9.7531865654478817E-3</v>
      </c>
      <c r="D281" s="76">
        <f t="shared" si="9"/>
        <v>9.5124648180433053E-5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1:16">
      <c r="A282" s="4">
        <v>42093</v>
      </c>
      <c r="B282" s="11">
        <v>30.802268999999999</v>
      </c>
      <c r="C282" s="75">
        <f t="shared" si="8"/>
        <v>6.6951502278151907E-3</v>
      </c>
      <c r="D282" s="76">
        <f t="shared" si="9"/>
        <v>4.4825036573013801E-5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1:16">
      <c r="A283" s="4">
        <v>42090</v>
      </c>
      <c r="B283" s="11">
        <v>30.596731999999999</v>
      </c>
      <c r="C283" s="75">
        <f t="shared" si="8"/>
        <v>-2.1351367854254141E-3</v>
      </c>
      <c r="D283" s="76">
        <f t="shared" si="9"/>
        <v>4.5588090924767709E-6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1:16">
      <c r="A284" s="4">
        <v>42089</v>
      </c>
      <c r="B284" s="11">
        <v>30.662130000000001</v>
      </c>
      <c r="C284" s="75">
        <f t="shared" si="8"/>
        <v>6.1125122843458078E-3</v>
      </c>
      <c r="D284" s="76">
        <f t="shared" si="9"/>
        <v>3.7362806426278408E-5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1:16">
      <c r="A285" s="4">
        <v>42088</v>
      </c>
      <c r="B285" s="11">
        <v>30.475279</v>
      </c>
      <c r="C285" s="75">
        <f t="shared" si="8"/>
        <v>-1.3700926337904951E-2</v>
      </c>
      <c r="D285" s="76">
        <f t="shared" si="9"/>
        <v>1.8771538251669757E-4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1:16">
      <c r="A286" s="4">
        <v>42087</v>
      </c>
      <c r="B286" s="11">
        <v>30.895692</v>
      </c>
      <c r="C286" s="75">
        <f t="shared" si="8"/>
        <v>-6.3300637893169863E-3</v>
      </c>
      <c r="D286" s="76">
        <f t="shared" si="9"/>
        <v>4.0069707576822125E-5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1:16">
      <c r="A287" s="4">
        <v>42086</v>
      </c>
      <c r="B287" s="11">
        <v>31.091884</v>
      </c>
      <c r="C287" s="75">
        <f t="shared" si="8"/>
        <v>1.5034831404723602E-3</v>
      </c>
      <c r="D287" s="76">
        <f t="shared" si="9"/>
        <v>2.2604615536846309E-6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1:16">
      <c r="A288" s="4">
        <v>42083</v>
      </c>
      <c r="B288" s="11">
        <v>31.045172999999998</v>
      </c>
      <c r="C288" s="75">
        <f t="shared" si="8"/>
        <v>9.0318899960064344E-4</v>
      </c>
      <c r="D288" s="76">
        <f t="shared" si="9"/>
        <v>8.1575036899961105E-7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1:16">
      <c r="A289" s="4">
        <v>42082</v>
      </c>
      <c r="B289" s="11">
        <v>31.017146</v>
      </c>
      <c r="C289" s="75">
        <f t="shared" si="8"/>
        <v>-1.167852641560457E-2</v>
      </c>
      <c r="D289" s="76">
        <f t="shared" si="9"/>
        <v>1.3638797923997372E-4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1:16">
      <c r="A290" s="4">
        <v>42081</v>
      </c>
      <c r="B290" s="11">
        <v>31.381504</v>
      </c>
      <c r="C290" s="75">
        <f t="shared" si="8"/>
        <v>2.0755731043462705E-2</v>
      </c>
      <c r="D290" s="76">
        <f t="shared" si="9"/>
        <v>4.3080037114856144E-4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1:16">
      <c r="A291" s="4">
        <v>42080</v>
      </c>
      <c r="B291" s="11">
        <v>30.736871000000001</v>
      </c>
      <c r="C291" s="75">
        <f t="shared" si="8"/>
        <v>-4.8514597553650741E-3</v>
      </c>
      <c r="D291" s="76">
        <f t="shared" si="9"/>
        <v>2.3536661757926946E-5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1:16">
      <c r="A292" s="4">
        <v>42079</v>
      </c>
      <c r="B292" s="11">
        <v>30.886351999999999</v>
      </c>
      <c r="C292" s="75">
        <f t="shared" si="8"/>
        <v>9.1159501659651698E-3</v>
      </c>
      <c r="D292" s="76">
        <f t="shared" si="9"/>
        <v>8.3100547428360401E-5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1:16">
      <c r="A293" s="4">
        <v>42076</v>
      </c>
      <c r="B293" s="11">
        <v>30.606072999999999</v>
      </c>
      <c r="C293" s="75">
        <f t="shared" si="8"/>
        <v>-1.12310547155167E-2</v>
      </c>
      <c r="D293" s="76">
        <f t="shared" si="9"/>
        <v>1.261365900229299E-4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1:16">
      <c r="A294" s="4">
        <v>42075</v>
      </c>
      <c r="B294" s="11">
        <v>30.951749</v>
      </c>
      <c r="C294" s="75">
        <f t="shared" si="8"/>
        <v>1.551367766420772E-2</v>
      </c>
      <c r="D294" s="76">
        <f t="shared" si="9"/>
        <v>2.4067419466893751E-4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1:16">
      <c r="A295" s="4">
        <v>42074</v>
      </c>
      <c r="B295" s="11">
        <v>30.475279</v>
      </c>
      <c r="C295" s="75">
        <f t="shared" si="8"/>
        <v>-4.8929690756252253E-3</v>
      </c>
      <c r="D295" s="76">
        <f t="shared" si="9"/>
        <v>2.3941146375024772E-5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1:16">
      <c r="A296" s="4">
        <v>42073</v>
      </c>
      <c r="B296" s="11">
        <v>30.624759000000001</v>
      </c>
      <c r="C296" s="75">
        <f t="shared" si="8"/>
        <v>-1.7239190537483212E-2</v>
      </c>
      <c r="D296" s="76">
        <f t="shared" si="9"/>
        <v>2.971896903876507E-4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1:16">
      <c r="A297" s="4">
        <v>42072</v>
      </c>
      <c r="B297" s="11">
        <v>31.157281999999999</v>
      </c>
      <c r="C297" s="75">
        <f t="shared" si="8"/>
        <v>-3.8904836992180087E-3</v>
      </c>
      <c r="D297" s="76">
        <f t="shared" si="9"/>
        <v>1.5135863413881041E-5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1:16">
      <c r="A298" s="4">
        <v>42069</v>
      </c>
      <c r="B298" s="11">
        <v>31.278735000000001</v>
      </c>
      <c r="C298" s="75">
        <f t="shared" si="8"/>
        <v>-1.5412319954869474E-2</v>
      </c>
      <c r="D298" s="76">
        <f t="shared" si="9"/>
        <v>2.3753960639126778E-4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1:16">
      <c r="A299" s="4">
        <v>42068</v>
      </c>
      <c r="B299" s="11">
        <v>31.764547</v>
      </c>
      <c r="C299" s="75">
        <f t="shared" si="8"/>
        <v>0</v>
      </c>
      <c r="D299" s="76">
        <f t="shared" si="9"/>
        <v>0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1:16">
      <c r="A300" s="4">
        <v>42067</v>
      </c>
      <c r="B300" s="11">
        <v>31.764547</v>
      </c>
      <c r="C300" s="75">
        <f t="shared" si="8"/>
        <v>-1.1986662009878066E-2</v>
      </c>
      <c r="D300" s="76">
        <f t="shared" si="9"/>
        <v>1.4368006613905407E-4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1:16">
      <c r="A301" s="4">
        <v>42066</v>
      </c>
      <c r="B301" s="11">
        <v>32.147589000000004</v>
      </c>
      <c r="C301" s="75">
        <f t="shared" si="8"/>
        <v>-6.6618697307900048E-3</v>
      </c>
      <c r="D301" s="76">
        <f t="shared" si="9"/>
        <v>4.4380508310016093E-5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1:16">
      <c r="A302" s="4">
        <v>42065</v>
      </c>
      <c r="B302" s="11">
        <v>32.362467000000002</v>
      </c>
      <c r="C302" s="75">
        <f t="shared" si="8"/>
        <v>2.3120744535356937E-3</v>
      </c>
      <c r="D302" s="76">
        <f t="shared" si="9"/>
        <v>5.345688278692377E-6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1:16">
      <c r="A303" s="4">
        <v>42062</v>
      </c>
      <c r="B303" s="11">
        <v>32.287728999999999</v>
      </c>
      <c r="C303" s="75">
        <f t="shared" si="8"/>
        <v>1.7376793099946137E-3</v>
      </c>
      <c r="D303" s="76">
        <f t="shared" si="9"/>
        <v>3.0195293843833569E-6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1:16">
      <c r="A304" s="4">
        <v>42061</v>
      </c>
      <c r="B304" s="11">
        <v>32.231672000000003</v>
      </c>
      <c r="C304" s="75">
        <f t="shared" si="8"/>
        <v>8.4413596192027349E-3</v>
      </c>
      <c r="D304" s="76">
        <f t="shared" si="9"/>
        <v>7.1256552220706537E-5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1:16">
      <c r="A305" s="4">
        <v>42060</v>
      </c>
      <c r="B305" s="11">
        <v>31.960737999999999</v>
      </c>
      <c r="C305" s="75">
        <f t="shared" si="8"/>
        <v>4.6879597044333053E-3</v>
      </c>
      <c r="D305" s="76">
        <f t="shared" si="9"/>
        <v>2.1976966190390404E-5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1:16">
      <c r="A306" s="4">
        <v>42059</v>
      </c>
      <c r="B306" s="11">
        <v>31.811257999999999</v>
      </c>
      <c r="C306" s="75">
        <f t="shared" si="8"/>
        <v>5.891056407504279E-3</v>
      </c>
      <c r="D306" s="76">
        <f t="shared" si="9"/>
        <v>3.4704545596397222E-5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1:16">
      <c r="A307" s="4">
        <v>42058</v>
      </c>
      <c r="B307" s="11">
        <v>31.624407000000001</v>
      </c>
      <c r="C307" s="75">
        <f t="shared" si="8"/>
        <v>-6.7718030333679168E-3</v>
      </c>
      <c r="D307" s="76">
        <f t="shared" si="9"/>
        <v>4.5857316322730919E-5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1:16">
      <c r="A308" s="4">
        <v>42055</v>
      </c>
      <c r="B308" s="11">
        <v>31.839288</v>
      </c>
      <c r="C308" s="75">
        <f t="shared" si="8"/>
        <v>-2.9333664867638414E-4</v>
      </c>
      <c r="D308" s="76">
        <f t="shared" si="9"/>
        <v>8.6046389456692421E-8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1:16">
      <c r="A309" s="4">
        <v>42054</v>
      </c>
      <c r="B309" s="11">
        <v>31.848628999999999</v>
      </c>
      <c r="C309" s="75">
        <f t="shared" si="8"/>
        <v>-1.1665385934886561E-2</v>
      </c>
      <c r="D309" s="76">
        <f t="shared" si="9"/>
        <v>1.360812290098492E-4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1:16">
      <c r="A310" s="4">
        <v>42053</v>
      </c>
      <c r="B310" s="11">
        <v>32.222330999999997</v>
      </c>
      <c r="C310" s="75">
        <f t="shared" si="8"/>
        <v>-6.3583317094946705E-3</v>
      </c>
      <c r="D310" s="76">
        <f t="shared" si="9"/>
        <v>4.0428382127965419E-5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1:16">
      <c r="A311" s="4">
        <v>42052</v>
      </c>
      <c r="B311" s="11">
        <v>32.427864</v>
      </c>
      <c r="C311" s="75">
        <f t="shared" si="8"/>
        <v>1.441528076555607E-3</v>
      </c>
      <c r="D311" s="76">
        <f t="shared" si="9"/>
        <v>2.078003195498108E-6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1:16">
      <c r="A312" s="4">
        <v>42048</v>
      </c>
      <c r="B312" s="11">
        <v>32.381152</v>
      </c>
      <c r="C312" s="75">
        <f t="shared" si="8"/>
        <v>1.4436090799368382E-3</v>
      </c>
      <c r="D312" s="76">
        <f t="shared" si="9"/>
        <v>2.0840071756760845E-6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1:16">
      <c r="A313" s="4">
        <v>42047</v>
      </c>
      <c r="B313" s="11">
        <v>32.334440000000001</v>
      </c>
      <c r="C313" s="75">
        <f t="shared" si="8"/>
        <v>6.3768549300605749E-3</v>
      </c>
      <c r="D313" s="76">
        <f t="shared" si="9"/>
        <v>4.0664278799037861E-5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1:16">
      <c r="A314" s="4">
        <v>42046</v>
      </c>
      <c r="B314" s="11">
        <v>32.128903999999999</v>
      </c>
      <c r="C314" s="75">
        <f t="shared" si="8"/>
        <v>-1.3287293658895291E-2</v>
      </c>
      <c r="D314" s="76">
        <f t="shared" si="9"/>
        <v>1.7655217277771901E-4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1:16">
      <c r="A315" s="4">
        <v>42045</v>
      </c>
      <c r="B315" s="11">
        <v>32.558658999999999</v>
      </c>
      <c r="C315" s="75">
        <f t="shared" si="8"/>
        <v>6.0440294040971128E-3</v>
      </c>
      <c r="D315" s="76">
        <f t="shared" si="9"/>
        <v>3.6530291437590502E-5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1:16">
      <c r="A316" s="4">
        <v>42044</v>
      </c>
      <c r="B316" s="11">
        <v>32.362467000000002</v>
      </c>
      <c r="C316" s="75">
        <f t="shared" si="8"/>
        <v>-6.6177520659719061E-3</v>
      </c>
      <c r="D316" s="76">
        <f t="shared" si="9"/>
        <v>4.379464240667543E-5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1:16">
      <c r="A317" s="4">
        <v>42041</v>
      </c>
      <c r="B317" s="11">
        <v>32.577343999999997</v>
      </c>
      <c r="C317" s="75">
        <f t="shared" si="8"/>
        <v>9.5087278475306548E-3</v>
      </c>
      <c r="D317" s="76">
        <f t="shared" si="9"/>
        <v>9.0415905278404954E-5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1:16">
      <c r="A318" s="4">
        <v>42040</v>
      </c>
      <c r="B318" s="11">
        <v>32.269043000000003</v>
      </c>
      <c r="C318" s="75">
        <f t="shared" si="8"/>
        <v>3.7708939492311416E-3</v>
      </c>
      <c r="D318" s="76">
        <f t="shared" si="9"/>
        <v>1.4219641176348035E-5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1:16">
      <c r="A319" s="4">
        <v>42039</v>
      </c>
      <c r="B319" s="11">
        <v>32.147589000000004</v>
      </c>
      <c r="C319" s="75">
        <f t="shared" si="8"/>
        <v>2.0363458065815652E-3</v>
      </c>
      <c r="D319" s="76">
        <f t="shared" si="9"/>
        <v>4.1467042439823252E-6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1:16">
      <c r="A320" s="4">
        <v>42038</v>
      </c>
      <c r="B320" s="11">
        <v>32.082191999999999</v>
      </c>
      <c r="C320" s="75">
        <f t="shared" si="8"/>
        <v>2.2975939821158746E-2</v>
      </c>
      <c r="D320" s="76">
        <f t="shared" si="9"/>
        <v>5.2789381066550823E-4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1:16">
      <c r="A321" s="4">
        <v>42037</v>
      </c>
      <c r="B321" s="11">
        <v>31.353477000000002</v>
      </c>
      <c r="C321" s="75">
        <f t="shared" si="8"/>
        <v>1.9254606705074308E-2</v>
      </c>
      <c r="D321" s="76">
        <f t="shared" si="9"/>
        <v>3.7073987936709252E-4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1:16">
      <c r="A322" s="4">
        <v>42034</v>
      </c>
      <c r="B322" s="11">
        <v>30.755552999999999</v>
      </c>
      <c r="C322" s="75">
        <f t="shared" si="8"/>
        <v>-1.2143600106462634E-3</v>
      </c>
      <c r="D322" s="76">
        <f t="shared" si="9"/>
        <v>1.474670235456793E-6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1:16">
      <c r="A323" s="4">
        <v>42033</v>
      </c>
      <c r="B323" s="11">
        <v>30.792923999999999</v>
      </c>
      <c r="C323" s="75">
        <f t="shared" si="8"/>
        <v>8.5313900535183024E-3</v>
      </c>
      <c r="D323" s="76">
        <f t="shared" si="9"/>
        <v>7.2784616245271026E-5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1:16">
      <c r="A324" s="4">
        <v>42032</v>
      </c>
      <c r="B324" s="11">
        <v>30.531334999999999</v>
      </c>
      <c r="C324" s="75">
        <f t="shared" si="8"/>
        <v>-3.970120076518634E-3</v>
      </c>
      <c r="D324" s="76">
        <f t="shared" si="9"/>
        <v>1.5761853421976324E-5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1:16">
      <c r="A325" s="4">
        <v>42031</v>
      </c>
      <c r="B325" s="11">
        <v>30.652788999999999</v>
      </c>
      <c r="C325" s="75">
        <f t="shared" si="8"/>
        <v>-1.121390474304134E-2</v>
      </c>
      <c r="D325" s="76">
        <f t="shared" si="9"/>
        <v>1.2575165958600507E-4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1:16">
      <c r="A326" s="4">
        <v>42030</v>
      </c>
      <c r="B326" s="11">
        <v>30.998460999999999</v>
      </c>
      <c r="C326" s="75">
        <f t="shared" si="8"/>
        <v>-5.7099514378103344E-3</v>
      </c>
      <c r="D326" s="76">
        <f t="shared" si="9"/>
        <v>3.2603545422152307E-5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1:16">
      <c r="A327" s="4">
        <v>42027</v>
      </c>
      <c r="B327" s="11">
        <v>31.175967</v>
      </c>
      <c r="C327" s="75">
        <f t="shared" ref="C327:C390" si="10">LN(B327/B328)</f>
        <v>-1.2507685252853548E-2</v>
      </c>
      <c r="D327" s="76">
        <f t="shared" si="9"/>
        <v>1.5644219038445014E-4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1:16">
      <c r="A328" s="4">
        <v>42026</v>
      </c>
      <c r="B328" s="11">
        <v>31.568355</v>
      </c>
      <c r="C328" s="75">
        <f t="shared" si="10"/>
        <v>-6.1955988555849233E-3</v>
      </c>
      <c r="D328" s="76">
        <f t="shared" ref="D328:D391" si="11">C328^2</f>
        <v>3.8385445179325213E-5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1:16">
      <c r="A329" s="4">
        <v>42025</v>
      </c>
      <c r="B329" s="11">
        <v>31.764547</v>
      </c>
      <c r="C329" s="75">
        <f t="shared" si="10"/>
        <v>1.4716526683132042E-3</v>
      </c>
      <c r="D329" s="76">
        <f t="shared" si="11"/>
        <v>2.165761576153374E-6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1:16">
      <c r="A330" s="4">
        <v>42024</v>
      </c>
      <c r="B330" s="11">
        <v>31.717835000000001</v>
      </c>
      <c r="C330" s="75">
        <f t="shared" si="10"/>
        <v>4.4280923715476241E-3</v>
      </c>
      <c r="D330" s="76">
        <f t="shared" si="11"/>
        <v>1.9608002050958263E-5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1:16">
      <c r="A331" s="4">
        <v>42020</v>
      </c>
      <c r="B331" s="11">
        <v>31.577696</v>
      </c>
      <c r="C331" s="75">
        <f t="shared" si="10"/>
        <v>1.6105369437371189E-2</v>
      </c>
      <c r="D331" s="76">
        <f t="shared" si="11"/>
        <v>2.5938292471420999E-4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1:16">
      <c r="A332" s="4">
        <v>42019</v>
      </c>
      <c r="B332" s="11">
        <v>31.073198999999999</v>
      </c>
      <c r="C332" s="75">
        <f t="shared" si="10"/>
        <v>-2.102527981637954E-3</v>
      </c>
      <c r="D332" s="76">
        <f t="shared" si="11"/>
        <v>4.4206239135705685E-6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1:16">
      <c r="A333" s="4">
        <v>42018</v>
      </c>
      <c r="B333" s="11">
        <v>31.1386</v>
      </c>
      <c r="C333" s="75">
        <f t="shared" si="10"/>
        <v>-4.7889871986159186E-3</v>
      </c>
      <c r="D333" s="76">
        <f t="shared" si="11"/>
        <v>2.2934398388507145E-5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1:16">
      <c r="A334" s="4">
        <v>42017</v>
      </c>
      <c r="B334" s="11">
        <v>31.288080000000001</v>
      </c>
      <c r="C334" s="75">
        <f t="shared" si="10"/>
        <v>0</v>
      </c>
      <c r="D334" s="76">
        <f t="shared" si="11"/>
        <v>0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1:16">
      <c r="A335" s="4">
        <v>42016</v>
      </c>
      <c r="B335" s="11">
        <v>31.288080000000001</v>
      </c>
      <c r="C335" s="75">
        <f t="shared" si="10"/>
        <v>2.690998756223108E-3</v>
      </c>
      <c r="D335" s="76">
        <f t="shared" si="11"/>
        <v>7.2414743059943145E-6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1:16">
      <c r="A336" s="4">
        <v>42013</v>
      </c>
      <c r="B336" s="11">
        <v>31.203997000000001</v>
      </c>
      <c r="C336" s="75">
        <f t="shared" si="10"/>
        <v>-2.9895024006809734E-3</v>
      </c>
      <c r="D336" s="76">
        <f t="shared" si="11"/>
        <v>8.9371246036773036E-6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1:16">
      <c r="A337" s="4">
        <v>42012</v>
      </c>
      <c r="B337" s="11">
        <v>31.297421</v>
      </c>
      <c r="C337" s="75">
        <f t="shared" si="10"/>
        <v>9.8996519231728669E-3</v>
      </c>
      <c r="D337" s="76">
        <f t="shared" si="11"/>
        <v>9.8003108199980242E-5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1:16">
      <c r="A338" s="4">
        <v>42011</v>
      </c>
      <c r="B338" s="11">
        <v>30.989115999999999</v>
      </c>
      <c r="C338" s="75">
        <f t="shared" si="10"/>
        <v>1.2066026440011829E-3</v>
      </c>
      <c r="D338" s="76">
        <f t="shared" si="11"/>
        <v>1.4558899405106453E-6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1:16">
      <c r="A339" s="4">
        <v>42010</v>
      </c>
      <c r="B339" s="11">
        <v>30.951747000000001</v>
      </c>
      <c r="C339" s="75">
        <f t="shared" si="10"/>
        <v>1.4891664281585428E-3</v>
      </c>
      <c r="D339" s="76">
        <f t="shared" si="11"/>
        <v>2.2176166507544724E-6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1:16">
      <c r="A340" s="4">
        <v>42009</v>
      </c>
      <c r="B340" s="11">
        <v>30.905688999999999</v>
      </c>
      <c r="C340" s="75">
        <f t="shared" si="10"/>
        <v>-9.4927856622458468E-3</v>
      </c>
      <c r="D340" s="76">
        <f t="shared" si="11"/>
        <v>9.0112979629340315E-5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1:16">
      <c r="A341" s="4">
        <v>42006</v>
      </c>
      <c r="B341" s="11">
        <v>31.200467</v>
      </c>
      <c r="C341" s="75">
        <f t="shared" si="10"/>
        <v>8.3012234544697777E-3</v>
      </c>
      <c r="D341" s="76">
        <f t="shared" si="11"/>
        <v>6.891031084103915E-5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1:16">
      <c r="A342" s="4">
        <v>42004</v>
      </c>
      <c r="B342" s="11">
        <v>30.942537000000002</v>
      </c>
      <c r="C342" s="75">
        <f t="shared" si="10"/>
        <v>-1.4482340687868141E-2</v>
      </c>
      <c r="D342" s="76">
        <f t="shared" si="11"/>
        <v>2.0973819179948106E-4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1:16">
      <c r="A343" s="4">
        <v>42003</v>
      </c>
      <c r="B343" s="11">
        <v>31.393917999999999</v>
      </c>
      <c r="C343" s="75">
        <f t="shared" si="10"/>
        <v>-8.7984701165795228E-4</v>
      </c>
      <c r="D343" s="76">
        <f t="shared" si="11"/>
        <v>7.7413076392342878E-7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1:16">
      <c r="A344" s="4">
        <v>42002</v>
      </c>
      <c r="B344" s="11">
        <v>31.421551999999998</v>
      </c>
      <c r="C344" s="75">
        <f t="shared" si="10"/>
        <v>-1.7574068004831949E-3</v>
      </c>
      <c r="D344" s="76">
        <f t="shared" si="11"/>
        <v>3.0884786623845801E-6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1:16">
      <c r="A345" s="4">
        <v>41999</v>
      </c>
      <c r="B345" s="11">
        <v>31.476821000000001</v>
      </c>
      <c r="C345" s="75">
        <f t="shared" si="10"/>
        <v>6.1646913532507367E-3</v>
      </c>
      <c r="D345" s="76">
        <f t="shared" si="11"/>
        <v>3.8003419480844397E-5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1:16">
      <c r="A346" s="4">
        <v>41997</v>
      </c>
      <c r="B346" s="11">
        <v>31.283373000000001</v>
      </c>
      <c r="C346" s="75">
        <f t="shared" si="10"/>
        <v>-2.0591332411551422E-3</v>
      </c>
      <c r="D346" s="76">
        <f t="shared" si="11"/>
        <v>4.2400297048300807E-6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1:16">
      <c r="A347" s="4">
        <v>41996</v>
      </c>
      <c r="B347" s="11">
        <v>31.347856</v>
      </c>
      <c r="C347" s="75">
        <f t="shared" si="10"/>
        <v>5.303491331465458E-3</v>
      </c>
      <c r="D347" s="76">
        <f t="shared" si="11"/>
        <v>2.8127020302929257E-5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1:16">
      <c r="A348" s="4">
        <v>41995</v>
      </c>
      <c r="B348" s="11">
        <v>31.182043</v>
      </c>
      <c r="C348" s="75">
        <f t="shared" si="10"/>
        <v>9.2001874292192923E-3</v>
      </c>
      <c r="D348" s="76">
        <f t="shared" si="11"/>
        <v>8.4643448732764687E-5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1:16">
      <c r="A349" s="4">
        <v>41992</v>
      </c>
      <c r="B349" s="11">
        <v>30.896477999999998</v>
      </c>
      <c r="C349" s="75">
        <f t="shared" si="10"/>
        <v>8.9493595239421961E-4</v>
      </c>
      <c r="D349" s="76">
        <f t="shared" si="11"/>
        <v>8.0091035888774889E-7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1:16">
      <c r="A350" s="4">
        <v>41991</v>
      </c>
      <c r="B350" s="11">
        <v>30.868839999999999</v>
      </c>
      <c r="C350" s="75">
        <f t="shared" si="10"/>
        <v>2.5386654152770156E-2</v>
      </c>
      <c r="D350" s="76">
        <f t="shared" si="11"/>
        <v>6.4448220907236222E-4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1:16">
      <c r="A351" s="4">
        <v>41990</v>
      </c>
      <c r="B351" s="11">
        <v>30.095047000000001</v>
      </c>
      <c r="C351" s="75">
        <f t="shared" si="10"/>
        <v>1.6355832747558616E-2</v>
      </c>
      <c r="D351" s="76">
        <f t="shared" si="11"/>
        <v>2.6751326486611085E-4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1:16">
      <c r="A352" s="4">
        <v>41989</v>
      </c>
      <c r="B352" s="11">
        <v>29.606821</v>
      </c>
      <c r="C352" s="75">
        <f t="shared" si="10"/>
        <v>-3.4166786279386536E-3</v>
      </c>
      <c r="D352" s="76">
        <f t="shared" si="11"/>
        <v>1.1673692846612761E-5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1:16">
      <c r="A353" s="4">
        <v>41988</v>
      </c>
      <c r="B353" s="11">
        <v>29.708151000000001</v>
      </c>
      <c r="C353" s="75">
        <f t="shared" si="10"/>
        <v>2.7945831368180541E-3</v>
      </c>
      <c r="D353" s="76">
        <f t="shared" si="11"/>
        <v>7.8096949085878355E-6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1:16">
      <c r="A354" s="4">
        <v>41985</v>
      </c>
      <c r="B354" s="11">
        <v>29.625245</v>
      </c>
      <c r="C354" s="75">
        <f t="shared" si="10"/>
        <v>-1.6957375826620949E-2</v>
      </c>
      <c r="D354" s="76">
        <f t="shared" si="11"/>
        <v>2.875525949252685E-4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1:16">
      <c r="A355" s="4">
        <v>41984</v>
      </c>
      <c r="B355" s="11">
        <v>30.131895</v>
      </c>
      <c r="C355" s="75">
        <f t="shared" si="10"/>
        <v>6.7484165668253455E-3</v>
      </c>
      <c r="D355" s="76">
        <f t="shared" si="11"/>
        <v>4.5541126159402779E-5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1:16">
      <c r="A356" s="4">
        <v>41983</v>
      </c>
      <c r="B356" s="11">
        <v>29.929237000000001</v>
      </c>
      <c r="C356" s="75">
        <f t="shared" si="10"/>
        <v>-1.2236237366760088E-2</v>
      </c>
      <c r="D356" s="76">
        <f t="shared" si="11"/>
        <v>1.4972550489569586E-4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1:16">
      <c r="A357" s="4">
        <v>41982</v>
      </c>
      <c r="B357" s="11">
        <v>30.297708</v>
      </c>
      <c r="C357" s="75">
        <f t="shared" si="10"/>
        <v>-2.965626905761784E-2</v>
      </c>
      <c r="D357" s="76">
        <f t="shared" si="11"/>
        <v>8.7949429441782137E-4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1:16">
      <c r="A358" s="4">
        <v>41981</v>
      </c>
      <c r="B358" s="11">
        <v>31.209681</v>
      </c>
      <c r="C358" s="75">
        <f t="shared" si="10"/>
        <v>-1.7692946534487671E-3</v>
      </c>
      <c r="D358" s="76">
        <f t="shared" si="11"/>
        <v>3.1304035707223931E-6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1:16">
      <c r="A359" s="4">
        <v>41978</v>
      </c>
      <c r="B359" s="11">
        <v>31.264949000000001</v>
      </c>
      <c r="C359" s="75">
        <f t="shared" si="10"/>
        <v>8.8425602632926422E-4</v>
      </c>
      <c r="D359" s="76">
        <f t="shared" si="11"/>
        <v>7.8190872009962045E-7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1:16">
      <c r="A360" s="4">
        <v>41977</v>
      </c>
      <c r="B360" s="11">
        <v>31.237314999999999</v>
      </c>
      <c r="C360" s="75">
        <f t="shared" si="10"/>
        <v>-2.6505854455012709E-3</v>
      </c>
      <c r="D360" s="76">
        <f t="shared" si="11"/>
        <v>7.0256032039031709E-6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1:16">
      <c r="A361" s="4">
        <v>41976</v>
      </c>
      <c r="B361" s="11">
        <v>31.320222000000001</v>
      </c>
      <c r="C361" s="75">
        <f t="shared" si="10"/>
        <v>-8.4932713008190278E-3</v>
      </c>
      <c r="D361" s="76">
        <f t="shared" si="11"/>
        <v>7.2135657389316146E-5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1:16">
      <c r="A362" s="4">
        <v>41975</v>
      </c>
      <c r="B362" s="11">
        <v>31.587365999999999</v>
      </c>
      <c r="C362" s="75">
        <f t="shared" si="10"/>
        <v>-2.2207115158305184E-2</v>
      </c>
      <c r="D362" s="76">
        <f t="shared" si="11"/>
        <v>4.9315596365422792E-4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1:16">
      <c r="A363" s="4">
        <v>41974</v>
      </c>
      <c r="B363" s="11">
        <v>32.296677000000003</v>
      </c>
      <c r="C363" s="75">
        <f t="shared" si="10"/>
        <v>-9.0857917704828799E-3</v>
      </c>
      <c r="D363" s="76">
        <f t="shared" si="11"/>
        <v>8.2551612096574425E-5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1:16">
      <c r="A364" s="4">
        <v>41971</v>
      </c>
      <c r="B364" s="11">
        <v>32.591455000000003</v>
      </c>
      <c r="C364" s="75">
        <f t="shared" si="10"/>
        <v>7.0912300787718428E-3</v>
      </c>
      <c r="D364" s="76">
        <f t="shared" si="11"/>
        <v>5.0285544030078518E-5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1:16">
      <c r="A365" s="4">
        <v>41969</v>
      </c>
      <c r="B365" s="11">
        <v>32.361159000000001</v>
      </c>
      <c r="C365" s="75">
        <f t="shared" si="10"/>
        <v>8.8635714738886772E-3</v>
      </c>
      <c r="D365" s="76">
        <f t="shared" si="11"/>
        <v>7.85628992727331E-5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1:16">
      <c r="A366" s="4">
        <v>41968</v>
      </c>
      <c r="B366" s="11">
        <v>32.075591000000003</v>
      </c>
      <c r="C366" s="75">
        <f t="shared" si="10"/>
        <v>3.4522174687110262E-3</v>
      </c>
      <c r="D366" s="76">
        <f t="shared" si="11"/>
        <v>1.1917805451273565E-5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1:16">
      <c r="A367" s="4">
        <v>41967</v>
      </c>
      <c r="B367" s="11">
        <v>31.965050000000002</v>
      </c>
      <c r="C367" s="75">
        <f t="shared" si="10"/>
        <v>-1.6576509159567768E-2</v>
      </c>
      <c r="D367" s="76">
        <f t="shared" si="11"/>
        <v>2.7478065591723412E-4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1:16">
      <c r="A368" s="4">
        <v>41964</v>
      </c>
      <c r="B368" s="11">
        <v>32.499335000000002</v>
      </c>
      <c r="C368" s="75">
        <f t="shared" si="10"/>
        <v>0</v>
      </c>
      <c r="D368" s="76">
        <f t="shared" si="11"/>
        <v>0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1:16">
      <c r="A369" s="4">
        <v>41963</v>
      </c>
      <c r="B369" s="11">
        <v>32.499335000000002</v>
      </c>
      <c r="C369" s="75">
        <f t="shared" si="10"/>
        <v>-2.5477577508483326E-3</v>
      </c>
      <c r="D369" s="76">
        <f t="shared" si="11"/>
        <v>6.4910695570077546E-6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1:16">
      <c r="A370" s="4">
        <v>41962</v>
      </c>
      <c r="B370" s="11">
        <v>32.582241000000003</v>
      </c>
      <c r="C370" s="75">
        <f t="shared" si="10"/>
        <v>-9.84684295812026E-3</v>
      </c>
      <c r="D370" s="76">
        <f t="shared" si="11"/>
        <v>9.6960316241882555E-5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1:16">
      <c r="A371" s="4">
        <v>41961</v>
      </c>
      <c r="B371" s="11">
        <v>32.904657999999998</v>
      </c>
      <c r="C371" s="75">
        <f t="shared" si="10"/>
        <v>-3.6327264177165191E-3</v>
      </c>
      <c r="D371" s="76">
        <f t="shared" si="11"/>
        <v>1.3196701225975493E-5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1:16">
      <c r="A372" s="4">
        <v>41960</v>
      </c>
      <c r="B372" s="11">
        <v>33.024408999999999</v>
      </c>
      <c r="C372" s="75">
        <f t="shared" si="10"/>
        <v>-1.3938146935776707E-3</v>
      </c>
      <c r="D372" s="76">
        <f t="shared" si="11"/>
        <v>1.9427194000330162E-6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1:16">
      <c r="A373" s="4">
        <v>41957</v>
      </c>
      <c r="B373" s="11">
        <v>33.070470999999998</v>
      </c>
      <c r="C373" s="75">
        <f t="shared" si="10"/>
        <v>8.1108262351971151E-3</v>
      </c>
      <c r="D373" s="76">
        <f t="shared" si="11"/>
        <v>6.5785502217561803E-5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1:16">
      <c r="A374" s="4">
        <v>41956</v>
      </c>
      <c r="B374" s="11">
        <v>32.803327000000003</v>
      </c>
      <c r="C374" s="75">
        <f t="shared" si="10"/>
        <v>5.9146638968581534E-3</v>
      </c>
      <c r="D374" s="76">
        <f t="shared" si="11"/>
        <v>3.4983249012797273E-5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1:16">
      <c r="A375" s="4">
        <v>41955</v>
      </c>
      <c r="B375" s="11">
        <v>32.609878999999999</v>
      </c>
      <c r="C375" s="75">
        <f t="shared" si="10"/>
        <v>8.5107544063020412E-3</v>
      </c>
      <c r="D375" s="76">
        <f t="shared" si="11"/>
        <v>7.2432940564389611E-5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1:16">
      <c r="A376" s="4">
        <v>41954</v>
      </c>
      <c r="B376" s="11">
        <v>32.333522000000002</v>
      </c>
      <c r="C376" s="75">
        <f t="shared" si="10"/>
        <v>-5.6964882740619832E-4</v>
      </c>
      <c r="D376" s="76">
        <f t="shared" si="11"/>
        <v>3.2449978656525674E-7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1:16">
      <c r="A377" s="4">
        <v>41953</v>
      </c>
      <c r="B377" s="11">
        <v>32.351945999999998</v>
      </c>
      <c r="C377" s="75">
        <f t="shared" si="10"/>
        <v>5.9974344572006968E-3</v>
      </c>
      <c r="D377" s="76">
        <f t="shared" si="11"/>
        <v>3.5969220068418215E-5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1:16">
      <c r="A378" s="4">
        <v>41950</v>
      </c>
      <c r="B378" s="11">
        <v>32.158498000000002</v>
      </c>
      <c r="C378" s="75">
        <f t="shared" si="10"/>
        <v>5.4573760739044389E-3</v>
      </c>
      <c r="D378" s="76">
        <f t="shared" si="11"/>
        <v>2.9782953612024629E-5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1:16">
      <c r="A379" s="4">
        <v>41949</v>
      </c>
      <c r="B379" s="11">
        <v>31.983474999999999</v>
      </c>
      <c r="C379" s="75">
        <f t="shared" si="10"/>
        <v>-5.7437290437322795E-3</v>
      </c>
      <c r="D379" s="76">
        <f t="shared" si="11"/>
        <v>3.2990423327813722E-5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1:16">
      <c r="A380" s="4">
        <v>41948</v>
      </c>
      <c r="B380" s="11">
        <v>32.167707999999998</v>
      </c>
      <c r="C380" s="75">
        <f t="shared" si="10"/>
        <v>3.7296550246609219E-3</v>
      </c>
      <c r="D380" s="76">
        <f t="shared" si="11"/>
        <v>1.3910326602978461E-5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1:16">
      <c r="A381" s="4">
        <v>41947</v>
      </c>
      <c r="B381" s="11">
        <v>32.047956999999997</v>
      </c>
      <c r="C381" s="75">
        <f t="shared" si="10"/>
        <v>-1.4361581274273724E-3</v>
      </c>
      <c r="D381" s="76">
        <f t="shared" si="11"/>
        <v>2.0625501669756966E-6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1:16">
      <c r="A382" s="4">
        <v>41946</v>
      </c>
      <c r="B382" s="11">
        <v>32.094016000000003</v>
      </c>
      <c r="C382" s="75">
        <f t="shared" si="10"/>
        <v>0</v>
      </c>
      <c r="D382" s="76">
        <f t="shared" si="11"/>
        <v>0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1:16">
      <c r="A383" s="4">
        <v>41943</v>
      </c>
      <c r="B383" s="11">
        <v>32.094016000000003</v>
      </c>
      <c r="C383" s="75">
        <f t="shared" si="10"/>
        <v>9.5170968921906539E-3</v>
      </c>
      <c r="D383" s="76">
        <f t="shared" si="11"/>
        <v>9.0575133255344997E-5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1:16">
      <c r="A384" s="4">
        <v>41942</v>
      </c>
      <c r="B384" s="11">
        <v>31.790023000000001</v>
      </c>
      <c r="C384" s="75">
        <f t="shared" si="10"/>
        <v>3.1924741915308856E-3</v>
      </c>
      <c r="D384" s="76">
        <f t="shared" si="11"/>
        <v>1.0191891463590782E-5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1:16">
      <c r="A385" s="4">
        <v>41941</v>
      </c>
      <c r="B385" s="11">
        <v>31.688696</v>
      </c>
      <c r="C385" s="75">
        <f t="shared" si="10"/>
        <v>2.0369312449902816E-3</v>
      </c>
      <c r="D385" s="76">
        <f t="shared" si="11"/>
        <v>4.1490888968176589E-6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1:16">
      <c r="A386" s="4">
        <v>41940</v>
      </c>
      <c r="B386" s="11">
        <v>31.624213999999998</v>
      </c>
      <c r="C386" s="75">
        <f t="shared" si="10"/>
        <v>6.4290660866914958E-3</v>
      </c>
      <c r="D386" s="76">
        <f t="shared" si="11"/>
        <v>4.1332890747046703E-5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1:16">
      <c r="A387" s="4">
        <v>41939</v>
      </c>
      <c r="B387" s="11">
        <v>31.421551999999998</v>
      </c>
      <c r="C387" s="75">
        <f t="shared" si="10"/>
        <v>7.0609642450564615E-3</v>
      </c>
      <c r="D387" s="76">
        <f t="shared" si="11"/>
        <v>4.9857216069965767E-5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1:16">
      <c r="A388" s="4">
        <v>41936</v>
      </c>
      <c r="B388" s="11">
        <v>31.200467</v>
      </c>
      <c r="C388" s="75">
        <f t="shared" si="10"/>
        <v>6.2194644411445585E-3</v>
      </c>
      <c r="D388" s="76">
        <f t="shared" si="11"/>
        <v>3.8681737934661596E-5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1:16">
      <c r="A389" s="4">
        <v>41935</v>
      </c>
      <c r="B389" s="11">
        <v>31.007019</v>
      </c>
      <c r="C389" s="75">
        <f t="shared" si="10"/>
        <v>-2.4649144697485432E-2</v>
      </c>
      <c r="D389" s="76">
        <f t="shared" si="11"/>
        <v>6.075803343175742E-4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1:16">
      <c r="A390" s="4">
        <v>41934</v>
      </c>
      <c r="B390" s="11">
        <v>31.780812999999998</v>
      </c>
      <c r="C390" s="75">
        <f t="shared" si="10"/>
        <v>-3.4721956630799555E-3</v>
      </c>
      <c r="D390" s="76">
        <f t="shared" si="11"/>
        <v>1.2056142722711251E-5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1:16">
      <c r="A391" s="4">
        <v>41933</v>
      </c>
      <c r="B391" s="11">
        <v>31.891354</v>
      </c>
      <c r="C391" s="75">
        <f t="shared" ref="C391:C454" si="12">LN(B391/B392)</f>
        <v>9.8694495057070168E-3</v>
      </c>
      <c r="D391" s="76">
        <f t="shared" si="11"/>
        <v>9.7406033545700474E-5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1:16">
      <c r="A392" s="4">
        <v>41932</v>
      </c>
      <c r="B392" s="11">
        <v>31.578151999999999</v>
      </c>
      <c r="C392" s="75">
        <f t="shared" si="12"/>
        <v>5.8513091803153771E-3</v>
      </c>
      <c r="D392" s="76">
        <f t="shared" ref="D392:D455" si="13">C392^2</f>
        <v>3.423781912364301E-5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1:16">
      <c r="A393" s="4">
        <v>41929</v>
      </c>
      <c r="B393" s="11">
        <v>31.393917999999999</v>
      </c>
      <c r="C393" s="75">
        <f t="shared" si="12"/>
        <v>1.2994946319189928E-2</v>
      </c>
      <c r="D393" s="76">
        <f t="shared" si="13"/>
        <v>1.6886862983862786E-4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1:16">
      <c r="A394" s="4">
        <v>41928</v>
      </c>
      <c r="B394" s="11">
        <v>30.988595</v>
      </c>
      <c r="C394" s="75">
        <f t="shared" si="12"/>
        <v>-6.8138290857914256E-3</v>
      </c>
      <c r="D394" s="76">
        <f t="shared" si="13"/>
        <v>4.6428266810377215E-5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1:16">
      <c r="A395" s="4">
        <v>41927</v>
      </c>
      <c r="B395" s="11">
        <v>31.200467</v>
      </c>
      <c r="C395" s="75">
        <f t="shared" si="12"/>
        <v>8.8608432800759795E-4</v>
      </c>
      <c r="D395" s="76">
        <f t="shared" si="13"/>
        <v>7.8514543634067641E-7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1:16">
      <c r="A396" s="4">
        <v>41926</v>
      </c>
      <c r="B396" s="11">
        <v>31.172833000000001</v>
      </c>
      <c r="C396" s="75">
        <f t="shared" si="12"/>
        <v>5.9123427384568587E-4</v>
      </c>
      <c r="D396" s="76">
        <f t="shared" si="13"/>
        <v>3.4955796656983548E-7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1:16">
      <c r="A397" s="4">
        <v>41925</v>
      </c>
      <c r="B397" s="11">
        <v>31.154408</v>
      </c>
      <c r="C397" s="75">
        <f t="shared" si="12"/>
        <v>-1.2634231490476235E-2</v>
      </c>
      <c r="D397" s="76">
        <f t="shared" si="13"/>
        <v>1.5962380535494136E-4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1:16">
      <c r="A398" s="4">
        <v>41922</v>
      </c>
      <c r="B398" s="11">
        <v>31.550516999999999</v>
      </c>
      <c r="C398" s="75">
        <f t="shared" si="12"/>
        <v>-1.1899718920814144E-2</v>
      </c>
      <c r="D398" s="76">
        <f t="shared" si="13"/>
        <v>1.4160331039438212E-4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1:16">
      <c r="A399" s="4">
        <v>41921</v>
      </c>
      <c r="B399" s="11">
        <v>31.928201999999999</v>
      </c>
      <c r="C399" s="75">
        <f t="shared" si="12"/>
        <v>-1.4038406268697602E-2</v>
      </c>
      <c r="D399" s="76">
        <f t="shared" si="13"/>
        <v>1.9707685056500812E-4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1:16">
      <c r="A400" s="4">
        <v>41920</v>
      </c>
      <c r="B400" s="11">
        <v>32.379584000000001</v>
      </c>
      <c r="C400" s="75">
        <f t="shared" si="12"/>
        <v>7.9977497131333303E-3</v>
      </c>
      <c r="D400" s="76">
        <f t="shared" si="13"/>
        <v>6.3964000473924271E-5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1:16">
      <c r="A401" s="4">
        <v>41919</v>
      </c>
      <c r="B401" s="11">
        <v>32.121653000000002</v>
      </c>
      <c r="C401" s="75">
        <f t="shared" si="12"/>
        <v>-4.5184970592625842E-3</v>
      </c>
      <c r="D401" s="76">
        <f t="shared" si="13"/>
        <v>2.041681567456462E-5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1:16">
      <c r="A402" s="4">
        <v>41918</v>
      </c>
      <c r="B402" s="11">
        <v>32.267122999999998</v>
      </c>
      <c r="C402" s="75">
        <f t="shared" si="12"/>
        <v>3.6697727553215956E-3</v>
      </c>
      <c r="D402" s="76">
        <f t="shared" si="13"/>
        <v>1.3467232075700655E-5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1:16">
      <c r="A403" s="4">
        <v>41915</v>
      </c>
      <c r="B403" s="11">
        <v>32.148927</v>
      </c>
      <c r="C403" s="75">
        <f t="shared" si="12"/>
        <v>1.1090662989423771E-2</v>
      </c>
      <c r="D403" s="76">
        <f t="shared" si="13"/>
        <v>1.2300280554497422E-4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1:16">
      <c r="A404" s="4">
        <v>41914</v>
      </c>
      <c r="B404" s="11">
        <v>31.794343999999999</v>
      </c>
      <c r="C404" s="75">
        <f t="shared" si="12"/>
        <v>2.8606662892541069E-4</v>
      </c>
      <c r="D404" s="76">
        <f t="shared" si="13"/>
        <v>8.183411618474862E-8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1:16">
      <c r="A405" s="4">
        <v>41913</v>
      </c>
      <c r="B405" s="11">
        <v>31.785250000000001</v>
      </c>
      <c r="C405" s="75">
        <f t="shared" si="12"/>
        <v>-7.9773457710724631E-3</v>
      </c>
      <c r="D405" s="76">
        <f t="shared" si="13"/>
        <v>6.3638045551247713E-5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1:16">
      <c r="A406" s="4">
        <v>41912</v>
      </c>
      <c r="B406" s="11">
        <v>32.039825999999998</v>
      </c>
      <c r="C406" s="75">
        <f t="shared" si="12"/>
        <v>2.8387453910009485E-4</v>
      </c>
      <c r="D406" s="76">
        <f t="shared" si="13"/>
        <v>8.0584753949291272E-8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1:16">
      <c r="A407" s="4">
        <v>41911</v>
      </c>
      <c r="B407" s="11">
        <v>32.030732</v>
      </c>
      <c r="C407" s="75">
        <f t="shared" si="12"/>
        <v>-1.4182246001587283E-3</v>
      </c>
      <c r="D407" s="76">
        <f t="shared" si="13"/>
        <v>2.0113610164953846E-6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1:16">
      <c r="A408" s="4">
        <v>41908</v>
      </c>
      <c r="B408" s="11">
        <v>32.076191000000001</v>
      </c>
      <c r="C408" s="75">
        <f t="shared" si="12"/>
        <v>5.6850066508452712E-3</v>
      </c>
      <c r="D408" s="76">
        <f t="shared" si="13"/>
        <v>3.231930062015497E-5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1:16">
      <c r="A409" s="4">
        <v>41907</v>
      </c>
      <c r="B409" s="11">
        <v>31.894355000000001</v>
      </c>
      <c r="C409" s="75">
        <f t="shared" si="12"/>
        <v>-9.0806674090954682E-3</v>
      </c>
      <c r="D409" s="76">
        <f t="shared" si="13"/>
        <v>8.2458520594608602E-5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1:16">
      <c r="A410" s="4">
        <v>41906</v>
      </c>
      <c r="B410" s="11">
        <v>32.185296000000001</v>
      </c>
      <c r="C410" s="75">
        <f t="shared" si="12"/>
        <v>3.9627529286676228E-3</v>
      </c>
      <c r="D410" s="76">
        <f t="shared" si="13"/>
        <v>1.5703410773663821E-5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1:16">
      <c r="A411" s="4">
        <v>41905</v>
      </c>
      <c r="B411" s="11">
        <v>32.058005999999999</v>
      </c>
      <c r="C411" s="75">
        <f t="shared" si="12"/>
        <v>-6.783569930813858E-3</v>
      </c>
      <c r="D411" s="76">
        <f t="shared" si="13"/>
        <v>4.6016821006241928E-5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1:16">
      <c r="A412" s="4">
        <v>41904</v>
      </c>
      <c r="B412" s="11">
        <v>32.276212999999998</v>
      </c>
      <c r="C412" s="75">
        <f t="shared" si="12"/>
        <v>8.4537581947277533E-4</v>
      </c>
      <c r="D412" s="76">
        <f t="shared" si="13"/>
        <v>7.1466027614926639E-7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1:16">
      <c r="A413" s="4">
        <v>41901</v>
      </c>
      <c r="B413" s="11">
        <v>32.248939</v>
      </c>
      <c r="C413" s="75">
        <f t="shared" si="12"/>
        <v>8.7782386629423996E-3</v>
      </c>
      <c r="D413" s="76">
        <f t="shared" si="13"/>
        <v>7.705747402357677E-5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1:16">
      <c r="A414" s="4">
        <v>41900</v>
      </c>
      <c r="B414" s="11">
        <v>31.967089000000001</v>
      </c>
      <c r="C414" s="75">
        <f t="shared" si="12"/>
        <v>3.9897310417296482E-3</v>
      </c>
      <c r="D414" s="76">
        <f t="shared" si="13"/>
        <v>1.5917953785341143E-5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1:16">
      <c r="A415" s="4">
        <v>41899</v>
      </c>
      <c r="B415" s="11">
        <v>31.839803</v>
      </c>
      <c r="C415" s="75">
        <f t="shared" si="12"/>
        <v>2.0008506742994845E-3</v>
      </c>
      <c r="D415" s="76">
        <f t="shared" si="13"/>
        <v>4.0034034208447017E-6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1:16">
      <c r="A416" s="4">
        <v>41898</v>
      </c>
      <c r="B416" s="11">
        <v>31.776160000000001</v>
      </c>
      <c r="C416" s="75">
        <f t="shared" si="12"/>
        <v>7.4670656217149184E-3</v>
      </c>
      <c r="D416" s="76">
        <f t="shared" si="13"/>
        <v>5.5757068998996798E-5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1:16">
      <c r="A417" s="4">
        <v>41897</v>
      </c>
      <c r="B417" s="11">
        <v>31.539769</v>
      </c>
      <c r="C417" s="75">
        <f t="shared" si="12"/>
        <v>5.4921074807375916E-3</v>
      </c>
      <c r="D417" s="76">
        <f t="shared" si="13"/>
        <v>3.0163244579973816E-5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1:16">
      <c r="A418" s="4">
        <v>41894</v>
      </c>
      <c r="B418" s="11">
        <v>31.367024000000001</v>
      </c>
      <c r="C418" s="75">
        <f t="shared" si="12"/>
        <v>-1.0093775754092345E-2</v>
      </c>
      <c r="D418" s="76">
        <f t="shared" si="13"/>
        <v>1.018843089739025E-4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1:16">
      <c r="A419" s="4">
        <v>41893</v>
      </c>
      <c r="B419" s="11">
        <v>31.685238999999999</v>
      </c>
      <c r="C419" s="75">
        <f t="shared" si="12"/>
        <v>4.3133754454808262E-3</v>
      </c>
      <c r="D419" s="76">
        <f t="shared" si="13"/>
        <v>1.8605207733676915E-5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1:16">
      <c r="A420" s="4">
        <v>41892</v>
      </c>
      <c r="B420" s="11">
        <v>31.548863000000001</v>
      </c>
      <c r="C420" s="75">
        <f t="shared" si="12"/>
        <v>1.1534481895858221E-3</v>
      </c>
      <c r="D420" s="76">
        <f t="shared" si="13"/>
        <v>1.3304427260588108E-6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1:16">
      <c r="A421" s="4">
        <v>41891</v>
      </c>
      <c r="B421" s="11">
        <v>31.512494</v>
      </c>
      <c r="C421" s="75">
        <f t="shared" si="12"/>
        <v>-1.004741351626723E-2</v>
      </c>
      <c r="D421" s="76">
        <f t="shared" si="13"/>
        <v>1.0095051836686942E-4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1:16">
      <c r="A422" s="4">
        <v>41890</v>
      </c>
      <c r="B422" s="11">
        <v>31.830708999999999</v>
      </c>
      <c r="C422" s="75">
        <f t="shared" si="12"/>
        <v>-3.9909625054031219E-3</v>
      </c>
      <c r="D422" s="76">
        <f t="shared" si="13"/>
        <v>1.5927781719533565E-5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1:16">
      <c r="A423" s="4">
        <v>41887</v>
      </c>
      <c r="B423" s="11">
        <v>31.957998</v>
      </c>
      <c r="C423" s="75">
        <f t="shared" si="12"/>
        <v>5.9923853930599624E-3</v>
      </c>
      <c r="D423" s="76">
        <f t="shared" si="13"/>
        <v>3.5908682698958403E-5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1:16">
      <c r="A424" s="4">
        <v>41886</v>
      </c>
      <c r="B424" s="11">
        <v>31.767066</v>
      </c>
      <c r="C424" s="75">
        <f t="shared" si="12"/>
        <v>-8.5831958965890283E-4</v>
      </c>
      <c r="D424" s="76">
        <f t="shared" si="13"/>
        <v>7.3671251799222737E-7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1:16">
      <c r="A425" s="4">
        <v>41885</v>
      </c>
      <c r="B425" s="11">
        <v>31.794343999999999</v>
      </c>
      <c r="C425" s="75">
        <f t="shared" si="12"/>
        <v>3.724412117799625E-3</v>
      </c>
      <c r="D425" s="76">
        <f t="shared" si="13"/>
        <v>1.3871245623212687E-5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1:16">
      <c r="A426" s="4">
        <v>41884</v>
      </c>
      <c r="B426" s="11">
        <v>31.676148999999999</v>
      </c>
      <c r="C426" s="75">
        <f t="shared" si="12"/>
        <v>-3.4383454888742204E-3</v>
      </c>
      <c r="D426" s="76">
        <f t="shared" si="13"/>
        <v>1.1822219700861702E-5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1:16">
      <c r="A427" s="4">
        <v>41880</v>
      </c>
      <c r="B427" s="11">
        <v>31.785250000000001</v>
      </c>
      <c r="C427" s="75">
        <f t="shared" si="12"/>
        <v>6.3127077805826938E-3</v>
      </c>
      <c r="D427" s="76">
        <f t="shared" si="13"/>
        <v>3.9850279523029282E-5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1:16">
      <c r="A428" s="4">
        <v>41879</v>
      </c>
      <c r="B428" s="11">
        <v>31.585231</v>
      </c>
      <c r="C428" s="75">
        <f t="shared" si="12"/>
        <v>-2.8775133013670052E-4</v>
      </c>
      <c r="D428" s="76">
        <f t="shared" si="13"/>
        <v>8.2800827995440408E-8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1:16">
      <c r="A429" s="4">
        <v>41878</v>
      </c>
      <c r="B429" s="11">
        <v>31.594321000000001</v>
      </c>
      <c r="C429" s="75">
        <f t="shared" si="12"/>
        <v>7.2202392579233448E-3</v>
      </c>
      <c r="D429" s="76">
        <f t="shared" si="13"/>
        <v>5.2131854941657453E-5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1:16">
      <c r="A430" s="4">
        <v>41877</v>
      </c>
      <c r="B430" s="11">
        <v>31.367024000000001</v>
      </c>
      <c r="C430" s="75">
        <f t="shared" si="12"/>
        <v>-2.897528033615169E-4</v>
      </c>
      <c r="D430" s="76">
        <f t="shared" si="13"/>
        <v>8.3956687055857884E-8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1:16">
      <c r="A431" s="4">
        <v>41876</v>
      </c>
      <c r="B431" s="11">
        <v>31.376114000000001</v>
      </c>
      <c r="C431" s="75">
        <f t="shared" si="12"/>
        <v>2.8975280336136474E-4</v>
      </c>
      <c r="D431" s="76">
        <f t="shared" si="13"/>
        <v>8.39566870557697E-8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1:16">
      <c r="A432" s="4">
        <v>41873</v>
      </c>
      <c r="B432" s="11">
        <v>31.367024000000001</v>
      </c>
      <c r="C432" s="75">
        <f t="shared" si="12"/>
        <v>-4.0497446001403255E-3</v>
      </c>
      <c r="D432" s="76">
        <f t="shared" si="13"/>
        <v>1.6400431326365726E-5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1:16">
      <c r="A433" s="4">
        <v>41872</v>
      </c>
      <c r="B433" s="11">
        <v>31.494309999999999</v>
      </c>
      <c r="C433" s="75">
        <f t="shared" si="12"/>
        <v>3.1805786739512788E-3</v>
      </c>
      <c r="D433" s="76">
        <f t="shared" si="13"/>
        <v>1.0116080701193676E-5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1:16">
      <c r="A434" s="4">
        <v>41871</v>
      </c>
      <c r="B434" s="11">
        <v>31.394299</v>
      </c>
      <c r="C434" s="75">
        <f t="shared" si="12"/>
        <v>1.449051121091596E-3</v>
      </c>
      <c r="D434" s="76">
        <f t="shared" si="13"/>
        <v>2.099749151536811E-6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1:16">
      <c r="A435" s="4">
        <v>41870</v>
      </c>
      <c r="B435" s="11">
        <v>31.348839999999999</v>
      </c>
      <c r="C435" s="75">
        <f t="shared" si="12"/>
        <v>-4.9183386857548292E-3</v>
      </c>
      <c r="D435" s="76">
        <f t="shared" si="13"/>
        <v>2.4190055427792541E-5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1:16">
      <c r="A436" s="4">
        <v>41869</v>
      </c>
      <c r="B436" s="11">
        <v>31.503404</v>
      </c>
      <c r="C436" s="75">
        <f t="shared" si="12"/>
        <v>-2.5940344369341966E-3</v>
      </c>
      <c r="D436" s="76">
        <f t="shared" si="13"/>
        <v>6.7290146600005138E-6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1:16">
      <c r="A437" s="4">
        <v>41866</v>
      </c>
      <c r="B437" s="11">
        <v>31.585231</v>
      </c>
      <c r="C437" s="75">
        <f t="shared" si="12"/>
        <v>-4.8815239095273697E-3</v>
      </c>
      <c r="D437" s="76">
        <f t="shared" si="13"/>
        <v>2.3829275679287377E-5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1:16">
      <c r="A438" s="4">
        <v>41865</v>
      </c>
      <c r="B438" s="11">
        <v>31.739792000000001</v>
      </c>
      <c r="C438" s="75">
        <f t="shared" si="12"/>
        <v>6.3219043565763307E-3</v>
      </c>
      <c r="D438" s="76">
        <f t="shared" si="13"/>
        <v>3.9966474693698787E-5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1:16">
      <c r="A439" s="4">
        <v>41864</v>
      </c>
      <c r="B439" s="11">
        <v>31.539769</v>
      </c>
      <c r="C439" s="75">
        <f t="shared" si="12"/>
        <v>1.4423628805972722E-3</v>
      </c>
      <c r="D439" s="76">
        <f t="shared" si="13"/>
        <v>2.0804106793248608E-6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1:16">
      <c r="A440" s="4">
        <v>41863</v>
      </c>
      <c r="B440" s="11">
        <v>31.494309999999999</v>
      </c>
      <c r="C440" s="75">
        <f t="shared" si="12"/>
        <v>4.9196347246067331E-3</v>
      </c>
      <c r="D440" s="76">
        <f t="shared" si="13"/>
        <v>2.4202805823556367E-5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1:16">
      <c r="A441" s="4">
        <v>41862</v>
      </c>
      <c r="B441" s="11">
        <v>31.339749999999999</v>
      </c>
      <c r="C441" s="75">
        <f t="shared" si="12"/>
        <v>0</v>
      </c>
      <c r="D441" s="76">
        <f t="shared" si="13"/>
        <v>0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1:16">
      <c r="A442" s="4">
        <v>41859</v>
      </c>
      <c r="B442" s="11">
        <v>31.339749999999999</v>
      </c>
      <c r="C442" s="75">
        <f t="shared" si="12"/>
        <v>7.5714722369803903E-3</v>
      </c>
      <c r="D442" s="76">
        <f t="shared" si="13"/>
        <v>5.7327191835364836E-5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1:16">
      <c r="A443" s="4">
        <v>41858</v>
      </c>
      <c r="B443" s="11">
        <v>31.103358</v>
      </c>
      <c r="C443" s="75">
        <f t="shared" si="12"/>
        <v>-1.1913566081754378E-2</v>
      </c>
      <c r="D443" s="76">
        <f t="shared" si="13"/>
        <v>1.4193305678432836E-4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1:16">
      <c r="A444" s="4">
        <v>41857</v>
      </c>
      <c r="B444" s="11">
        <v>31.476126000000001</v>
      </c>
      <c r="C444" s="75">
        <f t="shared" si="12"/>
        <v>-1.4054482726066646E-2</v>
      </c>
      <c r="D444" s="76">
        <f t="shared" si="13"/>
        <v>1.9752848469730574E-4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1:16">
      <c r="A445" s="4">
        <v>41856</v>
      </c>
      <c r="B445" s="11">
        <v>31.92163</v>
      </c>
      <c r="C445" s="75">
        <f t="shared" si="12"/>
        <v>-9.9192734938287151E-3</v>
      </c>
      <c r="D445" s="76">
        <f t="shared" si="13"/>
        <v>9.839198664537292E-5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1:16">
      <c r="A446" s="4">
        <v>41855</v>
      </c>
      <c r="B446" s="11">
        <v>32.239845000000003</v>
      </c>
      <c r="C446" s="75">
        <f t="shared" si="12"/>
        <v>3.6727589174255374E-3</v>
      </c>
      <c r="D446" s="76">
        <f t="shared" si="13"/>
        <v>1.3489158065528805E-5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1:16">
      <c r="A447" s="4">
        <v>41852</v>
      </c>
      <c r="B447" s="11">
        <v>32.121653000000002</v>
      </c>
      <c r="C447" s="75">
        <f t="shared" si="12"/>
        <v>-7.3321707355879289E-3</v>
      </c>
      <c r="D447" s="76">
        <f t="shared" si="13"/>
        <v>5.3760727695812029E-5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1:16">
      <c r="A448" s="4">
        <v>41851</v>
      </c>
      <c r="B448" s="11">
        <v>32.358040000000003</v>
      </c>
      <c r="C448" s="75">
        <f t="shared" si="12"/>
        <v>-2.1404581720489434E-2</v>
      </c>
      <c r="D448" s="76">
        <f t="shared" si="13"/>
        <v>4.5815611862911042E-4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1:16">
      <c r="A449" s="4">
        <v>41850</v>
      </c>
      <c r="B449" s="11">
        <v>33.058115999999998</v>
      </c>
      <c r="C449" s="75">
        <f t="shared" si="12"/>
        <v>-6.3056948408413893E-3</v>
      </c>
      <c r="D449" s="76">
        <f t="shared" si="13"/>
        <v>3.9761787425813716E-5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1:16">
      <c r="A450" s="4">
        <v>41849</v>
      </c>
      <c r="B450" s="11">
        <v>33.267229</v>
      </c>
      <c r="C450" s="75">
        <f t="shared" si="12"/>
        <v>2.6025778189988181E-2</v>
      </c>
      <c r="D450" s="76">
        <f t="shared" si="13"/>
        <v>6.7734113039446446E-4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1:16">
      <c r="A451" s="4">
        <v>41848</v>
      </c>
      <c r="B451" s="11">
        <v>32.412593000000001</v>
      </c>
      <c r="C451" s="75">
        <f t="shared" si="12"/>
        <v>3.0903301410385477E-3</v>
      </c>
      <c r="D451" s="76">
        <f t="shared" si="13"/>
        <v>9.5501403806113306E-6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1:16">
      <c r="A452" s="4">
        <v>41845</v>
      </c>
      <c r="B452" s="11">
        <v>32.312581999999999</v>
      </c>
      <c r="C452" s="75">
        <f t="shared" si="12"/>
        <v>1.1261706877727625E-3</v>
      </c>
      <c r="D452" s="76">
        <f t="shared" si="13"/>
        <v>1.268260417998577E-6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1:16">
      <c r="A453" s="4">
        <v>41844</v>
      </c>
      <c r="B453" s="11">
        <v>32.276212999999998</v>
      </c>
      <c r="C453" s="75">
        <f t="shared" si="12"/>
        <v>-1.0647375732998537E-2</v>
      </c>
      <c r="D453" s="76">
        <f t="shared" si="13"/>
        <v>1.1336660999964614E-4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1:16">
      <c r="A454" s="4">
        <v>41843</v>
      </c>
      <c r="B454" s="11">
        <v>32.621706000000003</v>
      </c>
      <c r="C454" s="75">
        <f t="shared" si="12"/>
        <v>-1.6707723136826025E-3</v>
      </c>
      <c r="D454" s="76">
        <f t="shared" si="13"/>
        <v>2.7914801241683166E-6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1:16">
      <c r="A455" s="4">
        <v>41842</v>
      </c>
      <c r="B455" s="11">
        <v>32.676254999999998</v>
      </c>
      <c r="C455" s="75">
        <f t="shared" ref="C455:C518" si="14">LN(B455/B456)</f>
        <v>-5.5633493715129506E-4</v>
      </c>
      <c r="D455" s="76">
        <f t="shared" si="13"/>
        <v>3.0950856229513544E-7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1:16">
      <c r="A456" s="4">
        <v>41841</v>
      </c>
      <c r="B456" s="11">
        <v>32.694439000000003</v>
      </c>
      <c r="C456" s="75">
        <f t="shared" si="14"/>
        <v>-5.8228149240035247E-3</v>
      </c>
      <c r="D456" s="76">
        <f t="shared" ref="D456:D519" si="15">C456^2</f>
        <v>3.3905173639198175E-5</v>
      </c>
      <c r="E456" s="1"/>
      <c r="F456" s="1"/>
      <c r="G456" s="1"/>
    </row>
    <row r="457" spans="1:16">
      <c r="A457" s="4">
        <v>41838</v>
      </c>
      <c r="B457" s="11">
        <v>32.885368</v>
      </c>
      <c r="C457" s="75">
        <f t="shared" si="14"/>
        <v>3.8781069407139261E-3</v>
      </c>
      <c r="D457" s="76">
        <f t="shared" si="15"/>
        <v>1.5039713443613528E-5</v>
      </c>
      <c r="E457" s="1"/>
      <c r="F457" s="1"/>
      <c r="G457" s="1"/>
    </row>
    <row r="458" spans="1:16">
      <c r="A458" s="4">
        <v>41837</v>
      </c>
      <c r="B458" s="11">
        <v>32.758082000000002</v>
      </c>
      <c r="C458" s="75">
        <f t="shared" si="14"/>
        <v>-1.158961193376548E-2</v>
      </c>
      <c r="D458" s="76">
        <f t="shared" si="15"/>
        <v>1.343191047752792E-4</v>
      </c>
      <c r="E458" s="1"/>
      <c r="F458" s="1"/>
      <c r="G458" s="1"/>
    </row>
    <row r="459" spans="1:16">
      <c r="A459" s="4">
        <v>41836</v>
      </c>
      <c r="B459" s="11">
        <v>33.139944</v>
      </c>
      <c r="C459" s="75">
        <f t="shared" si="14"/>
        <v>5.777955472907984E-3</v>
      </c>
      <c r="D459" s="76">
        <f t="shared" si="15"/>
        <v>3.3384769446907323E-5</v>
      </c>
      <c r="E459" s="1"/>
      <c r="F459" s="1"/>
      <c r="G459" s="1"/>
    </row>
    <row r="460" spans="1:16">
      <c r="A460" s="4">
        <v>41835</v>
      </c>
      <c r="B460" s="11">
        <v>32.949015000000003</v>
      </c>
      <c r="C460" s="75">
        <f t="shared" si="14"/>
        <v>1.0541047376314146E-2</v>
      </c>
      <c r="D460" s="76">
        <f t="shared" si="15"/>
        <v>1.1111367978969935E-4</v>
      </c>
      <c r="E460" s="1"/>
      <c r="F460" s="1"/>
      <c r="G460" s="1"/>
    </row>
    <row r="461" spans="1:16">
      <c r="A461" s="4">
        <v>41834</v>
      </c>
      <c r="B461" s="11">
        <v>32.603521999999998</v>
      </c>
      <c r="C461" s="75">
        <f t="shared" si="14"/>
        <v>2.7925820794763821E-3</v>
      </c>
      <c r="D461" s="76">
        <f t="shared" si="15"/>
        <v>7.7985146706126352E-6</v>
      </c>
      <c r="E461" s="1"/>
      <c r="F461" s="1"/>
      <c r="G461" s="1"/>
    </row>
    <row r="462" spans="1:16">
      <c r="A462" s="4">
        <v>41831</v>
      </c>
      <c r="B462" s="11">
        <v>32.512600999999997</v>
      </c>
      <c r="C462" s="75">
        <f t="shared" si="14"/>
        <v>1.6791893046708003E-3</v>
      </c>
      <c r="D462" s="76">
        <f t="shared" si="15"/>
        <v>2.8196767209208058E-6</v>
      </c>
      <c r="E462" s="1"/>
      <c r="F462" s="1"/>
      <c r="G462" s="1"/>
    </row>
    <row r="463" spans="1:16">
      <c r="A463" s="4">
        <v>41830</v>
      </c>
      <c r="B463" s="11">
        <v>32.458052000000002</v>
      </c>
      <c r="C463" s="75">
        <f t="shared" si="14"/>
        <v>1.4015278387068345E-3</v>
      </c>
      <c r="D463" s="76">
        <f t="shared" si="15"/>
        <v>1.9642802826702506E-6</v>
      </c>
      <c r="E463" s="1"/>
      <c r="F463" s="1"/>
      <c r="G463" s="1"/>
    </row>
    <row r="464" spans="1:16">
      <c r="A464" s="4">
        <v>41829</v>
      </c>
      <c r="B464" s="11">
        <v>32.412593000000001</v>
      </c>
      <c r="C464" s="75">
        <f t="shared" si="14"/>
        <v>2.5277355031612342E-3</v>
      </c>
      <c r="D464" s="76">
        <f t="shared" si="15"/>
        <v>6.3894467739417773E-6</v>
      </c>
      <c r="E464" s="1"/>
      <c r="F464" s="1"/>
      <c r="G464" s="1"/>
    </row>
    <row r="465" spans="1:7">
      <c r="A465" s="4">
        <v>41828</v>
      </c>
      <c r="B465" s="11">
        <v>32.330765999999997</v>
      </c>
      <c r="C465" s="75">
        <f t="shared" si="14"/>
        <v>6.1860583629550683E-8</v>
      </c>
      <c r="D465" s="76">
        <f t="shared" si="15"/>
        <v>3.8267318069886342E-15</v>
      </c>
      <c r="E465" s="1"/>
      <c r="F465" s="1"/>
      <c r="G465" s="1"/>
    </row>
    <row r="466" spans="1:7">
      <c r="A466" s="4">
        <v>41827</v>
      </c>
      <c r="B466" s="11">
        <v>32.330764000000002</v>
      </c>
      <c r="C466" s="75">
        <f t="shared" si="14"/>
        <v>5.0097497079372505E-3</v>
      </c>
      <c r="D466" s="76">
        <f t="shared" si="15"/>
        <v>2.5097592136177365E-5</v>
      </c>
      <c r="E466" s="1"/>
      <c r="F466" s="1"/>
      <c r="G466" s="1"/>
    </row>
    <row r="467" spans="1:7">
      <c r="A467" s="4">
        <v>41823</v>
      </c>
      <c r="B467" s="11">
        <v>32.169199999999996</v>
      </c>
      <c r="C467" s="75">
        <f t="shared" si="14"/>
        <v>4.7546424190005486E-3</v>
      </c>
      <c r="D467" s="76">
        <f t="shared" si="15"/>
        <v>2.2606624532559389E-5</v>
      </c>
      <c r="E467" s="1"/>
      <c r="F467" s="1"/>
      <c r="G467" s="1"/>
    </row>
    <row r="468" spans="1:7">
      <c r="A468" s="4">
        <v>41822</v>
      </c>
      <c r="B468" s="11">
        <v>32.01661</v>
      </c>
      <c r="C468" s="75">
        <f t="shared" si="14"/>
        <v>5.3408157222668172E-3</v>
      </c>
      <c r="D468" s="76">
        <f t="shared" si="15"/>
        <v>2.8524312579212425E-5</v>
      </c>
      <c r="E468" s="1"/>
      <c r="F468" s="1"/>
      <c r="G468" s="1"/>
    </row>
    <row r="469" spans="1:7">
      <c r="A469" s="4">
        <v>41821</v>
      </c>
      <c r="B469" s="11">
        <v>31.846070999999998</v>
      </c>
      <c r="C469" s="75">
        <f t="shared" si="14"/>
        <v>3.3878764422138586E-3</v>
      </c>
      <c r="D469" s="76">
        <f t="shared" si="15"/>
        <v>1.1477706787707632E-5</v>
      </c>
      <c r="E469" s="1"/>
      <c r="F469" s="1"/>
      <c r="G469" s="1"/>
    </row>
    <row r="470" spans="1:7">
      <c r="A470" s="4">
        <v>41820</v>
      </c>
      <c r="B470" s="11">
        <v>31.738363</v>
      </c>
      <c r="C470" s="75">
        <f t="shared" si="14"/>
        <v>-1.4129998186705841E-3</v>
      </c>
      <c r="D470" s="76">
        <f t="shared" si="15"/>
        <v>1.9965684875631035E-6</v>
      </c>
      <c r="E470" s="1"/>
      <c r="F470" s="1"/>
      <c r="G470" s="1"/>
    </row>
    <row r="471" spans="1:7">
      <c r="A471" s="4">
        <v>41817</v>
      </c>
      <c r="B471" s="11">
        <v>31.783241</v>
      </c>
      <c r="C471" s="75">
        <f t="shared" si="14"/>
        <v>4.2451296920824628E-3</v>
      </c>
      <c r="D471" s="76">
        <f t="shared" si="15"/>
        <v>1.8021126102600146E-5</v>
      </c>
      <c r="E471" s="1"/>
      <c r="F471" s="1"/>
      <c r="G471" s="1"/>
    </row>
    <row r="472" spans="1:7">
      <c r="A472" s="4">
        <v>41816</v>
      </c>
      <c r="B472" s="11">
        <v>31.648603000000001</v>
      </c>
      <c r="C472" s="75">
        <f t="shared" si="14"/>
        <v>0</v>
      </c>
      <c r="D472" s="76">
        <f t="shared" si="15"/>
        <v>0</v>
      </c>
      <c r="E472" s="1"/>
      <c r="F472" s="1"/>
      <c r="G472" s="1"/>
    </row>
    <row r="473" spans="1:7">
      <c r="A473" s="4">
        <v>41815</v>
      </c>
      <c r="B473" s="11">
        <v>31.648603000000001</v>
      </c>
      <c r="C473" s="75">
        <f t="shared" si="14"/>
        <v>-8.505446208848359E-4</v>
      </c>
      <c r="D473" s="76">
        <f t="shared" si="15"/>
        <v>7.234261521161292E-7</v>
      </c>
      <c r="E473" s="1"/>
      <c r="F473" s="1"/>
      <c r="G473" s="1"/>
    </row>
    <row r="474" spans="1:7">
      <c r="A474" s="4">
        <v>41814</v>
      </c>
      <c r="B474" s="11">
        <v>31.675533000000001</v>
      </c>
      <c r="C474" s="75">
        <f t="shared" si="14"/>
        <v>-2.8295995246385066E-3</v>
      </c>
      <c r="D474" s="76">
        <f t="shared" si="15"/>
        <v>8.006633469834462E-6</v>
      </c>
      <c r="E474" s="1"/>
      <c r="F474" s="1"/>
      <c r="G474" s="1"/>
    </row>
    <row r="475" spans="1:7">
      <c r="A475" s="4">
        <v>41813</v>
      </c>
      <c r="B475" s="11">
        <v>31.765288999999999</v>
      </c>
      <c r="C475" s="75">
        <f t="shared" si="14"/>
        <v>0</v>
      </c>
      <c r="D475" s="76">
        <f t="shared" si="15"/>
        <v>0</v>
      </c>
      <c r="E475" s="1"/>
      <c r="F475" s="1"/>
      <c r="G475" s="1"/>
    </row>
    <row r="476" spans="1:7">
      <c r="A476" s="4">
        <v>41810</v>
      </c>
      <c r="B476" s="11">
        <v>31.765288999999999</v>
      </c>
      <c r="C476" s="75">
        <f t="shared" si="14"/>
        <v>8.4801427211150186E-4</v>
      </c>
      <c r="D476" s="76">
        <f t="shared" si="15"/>
        <v>7.1912820570480029E-7</v>
      </c>
      <c r="E476" s="1"/>
      <c r="F476" s="1"/>
      <c r="G476" s="1"/>
    </row>
    <row r="477" spans="1:7">
      <c r="A477" s="4">
        <v>41809</v>
      </c>
      <c r="B477" s="11">
        <v>31.738363</v>
      </c>
      <c r="C477" s="75">
        <f t="shared" si="14"/>
        <v>4.5351392683694184E-3</v>
      </c>
      <c r="D477" s="76">
        <f t="shared" si="15"/>
        <v>2.0567488183506303E-5</v>
      </c>
      <c r="E477" s="1"/>
      <c r="F477" s="1"/>
      <c r="G477" s="1"/>
    </row>
    <row r="478" spans="1:7">
      <c r="A478" s="4">
        <v>41808</v>
      </c>
      <c r="B478" s="11">
        <v>31.594750999999999</v>
      </c>
      <c r="C478" s="75">
        <f t="shared" si="14"/>
        <v>5.126785408828799E-3</v>
      </c>
      <c r="D478" s="76">
        <f t="shared" si="15"/>
        <v>2.6283928628179875E-5</v>
      </c>
      <c r="E478" s="1"/>
      <c r="F478" s="1"/>
      <c r="G478" s="1"/>
    </row>
    <row r="479" spans="1:7">
      <c r="A479" s="4">
        <v>41807</v>
      </c>
      <c r="B479" s="11">
        <v>31.433185999999999</v>
      </c>
      <c r="C479" s="75">
        <f t="shared" si="14"/>
        <v>1.1428851336300696E-3</v>
      </c>
      <c r="D479" s="76">
        <f t="shared" si="15"/>
        <v>1.3061864286726221E-6</v>
      </c>
      <c r="E479" s="1"/>
      <c r="F479" s="1"/>
      <c r="G479" s="1"/>
    </row>
    <row r="480" spans="1:7">
      <c r="A480" s="4">
        <v>41806</v>
      </c>
      <c r="B480" s="11">
        <v>31.397282000000001</v>
      </c>
      <c r="C480" s="75">
        <f t="shared" si="14"/>
        <v>-1.4283388331114617E-3</v>
      </c>
      <c r="D480" s="76">
        <f t="shared" si="15"/>
        <v>2.0401518221742121E-6</v>
      </c>
      <c r="E480" s="1"/>
      <c r="F480" s="1"/>
      <c r="G480" s="1"/>
    </row>
    <row r="481" spans="1:7">
      <c r="A481" s="4">
        <v>41803</v>
      </c>
      <c r="B481" s="11">
        <v>31.442160000000001</v>
      </c>
      <c r="C481" s="75">
        <f t="shared" si="14"/>
        <v>5.725637192298922E-3</v>
      </c>
      <c r="D481" s="76">
        <f t="shared" si="15"/>
        <v>3.2782921257836685E-5</v>
      </c>
      <c r="E481" s="1"/>
      <c r="F481" s="1"/>
      <c r="G481" s="1"/>
    </row>
    <row r="482" spans="1:7">
      <c r="A482" s="4">
        <v>41802</v>
      </c>
      <c r="B482" s="11">
        <v>31.262647999999999</v>
      </c>
      <c r="C482" s="75">
        <f t="shared" si="14"/>
        <v>5.7439652190548955E-4</v>
      </c>
      <c r="D482" s="76">
        <f t="shared" si="15"/>
        <v>3.2993136437712354E-7</v>
      </c>
      <c r="E482" s="1"/>
      <c r="F482" s="1"/>
      <c r="G482" s="1"/>
    </row>
    <row r="483" spans="1:7">
      <c r="A483" s="4">
        <v>41801</v>
      </c>
      <c r="B483" s="11">
        <v>31.244696000000001</v>
      </c>
      <c r="C483" s="75">
        <f t="shared" si="14"/>
        <v>-3.727502066362375E-3</v>
      </c>
      <c r="D483" s="76">
        <f t="shared" si="15"/>
        <v>1.3894271654735774E-5</v>
      </c>
      <c r="E483" s="1"/>
      <c r="F483" s="1"/>
      <c r="G483" s="1"/>
    </row>
    <row r="484" spans="1:7">
      <c r="A484" s="4">
        <v>41800</v>
      </c>
      <c r="B484" s="11">
        <v>31.361377999999998</v>
      </c>
      <c r="C484" s="75">
        <f t="shared" si="14"/>
        <v>-2.0014154514059745E-3</v>
      </c>
      <c r="D484" s="76">
        <f t="shared" si="15"/>
        <v>4.0056638091265805E-6</v>
      </c>
      <c r="E484" s="1"/>
      <c r="F484" s="1"/>
      <c r="G484" s="1"/>
    </row>
    <row r="485" spans="1:7">
      <c r="A485" s="4">
        <v>41799</v>
      </c>
      <c r="B485" s="11">
        <v>31.424208</v>
      </c>
      <c r="C485" s="75">
        <f t="shared" si="14"/>
        <v>-2.8566249695466303E-4</v>
      </c>
      <c r="D485" s="76">
        <f t="shared" si="15"/>
        <v>8.1603062166372868E-8</v>
      </c>
      <c r="E485" s="1"/>
      <c r="F485" s="1"/>
      <c r="G485" s="1"/>
    </row>
    <row r="486" spans="1:7">
      <c r="A486" s="4">
        <v>41796</v>
      </c>
      <c r="B486" s="11">
        <v>31.433185999999999</v>
      </c>
      <c r="C486" s="75">
        <f t="shared" si="14"/>
        <v>-2.2817639333301671E-3</v>
      </c>
      <c r="D486" s="76">
        <f t="shared" si="15"/>
        <v>5.2064466474463552E-6</v>
      </c>
      <c r="E486" s="1"/>
      <c r="F486" s="1"/>
      <c r="G486" s="1"/>
    </row>
    <row r="487" spans="1:7">
      <c r="A487" s="4">
        <v>41795</v>
      </c>
      <c r="B487" s="11">
        <v>31.504991</v>
      </c>
      <c r="C487" s="75">
        <f t="shared" si="14"/>
        <v>1.4255200249545777E-3</v>
      </c>
      <c r="D487" s="76">
        <f t="shared" si="15"/>
        <v>2.0321073415465E-6</v>
      </c>
      <c r="E487" s="1"/>
      <c r="F487" s="1"/>
      <c r="G487" s="1"/>
    </row>
    <row r="488" spans="1:7">
      <c r="A488" s="4">
        <v>41794</v>
      </c>
      <c r="B488" s="11">
        <v>31.460111999999999</v>
      </c>
      <c r="C488" s="75">
        <f t="shared" si="14"/>
        <v>-4.2705415004532015E-3</v>
      </c>
      <c r="D488" s="76">
        <f t="shared" si="15"/>
        <v>1.8237524707093081E-5</v>
      </c>
      <c r="E488" s="1"/>
      <c r="F488" s="1"/>
      <c r="G488" s="1"/>
    </row>
    <row r="489" spans="1:7">
      <c r="A489" s="4">
        <v>41793</v>
      </c>
      <c r="B489" s="11">
        <v>31.594750999999999</v>
      </c>
      <c r="C489" s="75">
        <f t="shared" si="14"/>
        <v>-6.7949564681450622E-3</v>
      </c>
      <c r="D489" s="76">
        <f t="shared" si="15"/>
        <v>4.6171433403986415E-5</v>
      </c>
      <c r="E489" s="1"/>
      <c r="F489" s="1"/>
      <c r="G489" s="1"/>
    </row>
    <row r="490" spans="1:7">
      <c r="A490" s="4">
        <v>41792</v>
      </c>
      <c r="B490" s="11">
        <v>31.810167</v>
      </c>
      <c r="C490" s="75">
        <f t="shared" si="14"/>
        <v>-8.4622652772778264E-4</v>
      </c>
      <c r="D490" s="76">
        <f t="shared" si="15"/>
        <v>7.1609933623021968E-7</v>
      </c>
      <c r="E490" s="1"/>
      <c r="F490" s="1"/>
      <c r="G490" s="1"/>
    </row>
    <row r="491" spans="1:7">
      <c r="A491" s="4">
        <v>41789</v>
      </c>
      <c r="B491" s="11">
        <v>31.837097</v>
      </c>
      <c r="C491" s="75">
        <f t="shared" si="14"/>
        <v>2.2580294553918891E-3</v>
      </c>
      <c r="D491" s="76">
        <f t="shared" si="15"/>
        <v>5.0986970214173908E-6</v>
      </c>
      <c r="E491" s="1"/>
      <c r="F491" s="1"/>
      <c r="G491" s="1"/>
    </row>
    <row r="492" spans="1:7">
      <c r="A492" s="4">
        <v>41788</v>
      </c>
      <c r="B492" s="11">
        <v>31.765288999999999</v>
      </c>
      <c r="C492" s="75">
        <f t="shared" si="14"/>
        <v>1.4137989334694983E-3</v>
      </c>
      <c r="D492" s="76">
        <f t="shared" si="15"/>
        <v>1.998827424279491E-6</v>
      </c>
      <c r="E492" s="1"/>
      <c r="F492" s="1"/>
      <c r="G492" s="1"/>
    </row>
    <row r="493" spans="1:7">
      <c r="A493" s="4">
        <v>41787</v>
      </c>
      <c r="B493" s="11">
        <v>31.720410999999999</v>
      </c>
      <c r="C493" s="75">
        <f t="shared" si="14"/>
        <v>3.6853604151163158E-3</v>
      </c>
      <c r="D493" s="76">
        <f t="shared" si="15"/>
        <v>1.3581881389306303E-5</v>
      </c>
      <c r="E493" s="1"/>
      <c r="F493" s="1"/>
      <c r="G493" s="1"/>
    </row>
    <row r="494" spans="1:7">
      <c r="A494" s="4">
        <v>41786</v>
      </c>
      <c r="B494" s="11">
        <v>31.603725000000001</v>
      </c>
      <c r="C494" s="75">
        <f t="shared" si="14"/>
        <v>-3.1192554602497242E-3</v>
      </c>
      <c r="D494" s="76">
        <f t="shared" si="15"/>
        <v>9.7297546262977185E-6</v>
      </c>
      <c r="E494" s="1"/>
      <c r="F494" s="1"/>
      <c r="G494" s="1"/>
    </row>
    <row r="495" spans="1:7">
      <c r="A495" s="4">
        <v>41782</v>
      </c>
      <c r="B495" s="11">
        <v>31.702459000000001</v>
      </c>
      <c r="C495" s="75">
        <f t="shared" si="14"/>
        <v>-1.6973543463029899E-3</v>
      </c>
      <c r="D495" s="76">
        <f t="shared" si="15"/>
        <v>2.8810117769136499E-6</v>
      </c>
      <c r="E495" s="1"/>
      <c r="F495" s="1"/>
      <c r="G495" s="1"/>
    </row>
    <row r="496" spans="1:7">
      <c r="A496" s="4">
        <v>41781</v>
      </c>
      <c r="B496" s="11">
        <v>31.756315000000001</v>
      </c>
      <c r="C496" s="75">
        <f t="shared" si="14"/>
        <v>3.11395722423554E-3</v>
      </c>
      <c r="D496" s="76">
        <f t="shared" si="15"/>
        <v>9.6967295943687086E-6</v>
      </c>
      <c r="E496" s="1"/>
      <c r="F496" s="1"/>
      <c r="G496" s="1"/>
    </row>
    <row r="497" spans="1:7">
      <c r="A497" s="4">
        <v>41780</v>
      </c>
      <c r="B497" s="11">
        <v>31.657581</v>
      </c>
      <c r="C497" s="75">
        <f t="shared" si="14"/>
        <v>-6.4999217220603357E-3</v>
      </c>
      <c r="D497" s="76">
        <f t="shared" si="15"/>
        <v>4.2248982392911797E-5</v>
      </c>
      <c r="E497" s="1"/>
      <c r="F497" s="1"/>
      <c r="G497" s="1"/>
    </row>
    <row r="498" spans="1:7">
      <c r="A498" s="4">
        <v>41779</v>
      </c>
      <c r="B498" s="11">
        <v>31.864023</v>
      </c>
      <c r="C498" s="75">
        <f t="shared" si="14"/>
        <v>-2.448651522100339E-2</v>
      </c>
      <c r="D498" s="76">
        <f t="shared" si="15"/>
        <v>5.9958942766843071E-4</v>
      </c>
      <c r="E498" s="1"/>
      <c r="F498" s="1"/>
      <c r="G498" s="1"/>
    </row>
    <row r="499" spans="1:7">
      <c r="A499" s="4">
        <v>41778</v>
      </c>
      <c r="B499" s="11">
        <v>32.653892999999997</v>
      </c>
      <c r="C499" s="75">
        <f t="shared" si="14"/>
        <v>-9.8469329868205741E-3</v>
      </c>
      <c r="D499" s="76">
        <f t="shared" si="15"/>
        <v>9.6962089246935157E-5</v>
      </c>
      <c r="E499" s="1"/>
      <c r="F499" s="1"/>
      <c r="G499" s="1"/>
    </row>
    <row r="500" spans="1:7">
      <c r="A500" s="4">
        <v>41775</v>
      </c>
      <c r="B500" s="11">
        <v>32.977021999999998</v>
      </c>
      <c r="C500" s="75">
        <f t="shared" si="14"/>
        <v>6.0060790455606977E-3</v>
      </c>
      <c r="D500" s="76">
        <f t="shared" si="15"/>
        <v>3.6072985501523299E-5</v>
      </c>
      <c r="E500" s="1"/>
      <c r="F500" s="1"/>
      <c r="G500" s="1"/>
    </row>
    <row r="501" spans="1:7">
      <c r="A501" s="4">
        <v>41774</v>
      </c>
      <c r="B501" s="11">
        <v>32.779553</v>
      </c>
      <c r="C501" s="75">
        <f t="shared" si="14"/>
        <v>3.5660699484081622E-3</v>
      </c>
      <c r="D501" s="76">
        <f t="shared" si="15"/>
        <v>1.2716854876939793E-5</v>
      </c>
      <c r="E501" s="1"/>
    </row>
    <row r="502" spans="1:7">
      <c r="A502" s="4">
        <v>41773</v>
      </c>
      <c r="B502" s="11">
        <v>32.662866999999999</v>
      </c>
      <c r="C502" s="75">
        <f t="shared" si="14"/>
        <v>5.2348362038479737E-3</v>
      </c>
      <c r="D502" s="76">
        <f t="shared" si="15"/>
        <v>2.7403510081117466E-5</v>
      </c>
      <c r="E502" s="1"/>
    </row>
    <row r="503" spans="1:7">
      <c r="A503" s="4">
        <v>41772</v>
      </c>
      <c r="B503" s="11">
        <v>32.492328999999998</v>
      </c>
      <c r="C503" s="75">
        <f t="shared" si="14"/>
        <v>-1.016908544809637E-2</v>
      </c>
      <c r="D503" s="76">
        <f t="shared" si="15"/>
        <v>1.0341029885068536E-4</v>
      </c>
      <c r="E503" s="1"/>
    </row>
    <row r="504" spans="1:7">
      <c r="A504" s="4">
        <v>41771</v>
      </c>
      <c r="B504" s="11">
        <v>32.824432000000002</v>
      </c>
      <c r="C504" s="75">
        <f t="shared" si="14"/>
        <v>3.5612161433677689E-3</v>
      </c>
      <c r="D504" s="76">
        <f t="shared" si="15"/>
        <v>1.2682260419783206E-5</v>
      </c>
      <c r="E504" s="1"/>
    </row>
    <row r="505" spans="1:7">
      <c r="A505" s="4">
        <v>41768</v>
      </c>
      <c r="B505" s="11">
        <v>32.707745000000003</v>
      </c>
      <c r="C505" s="75">
        <f t="shared" si="14"/>
        <v>1.098202163950574E-3</v>
      </c>
      <c r="D505" s="76">
        <f t="shared" si="15"/>
        <v>1.2060479929057234E-6</v>
      </c>
      <c r="E505" s="1"/>
    </row>
    <row r="506" spans="1:7">
      <c r="A506" s="4">
        <v>41767</v>
      </c>
      <c r="B506" s="11">
        <v>32.671844999999998</v>
      </c>
      <c r="C506" s="75">
        <f t="shared" si="14"/>
        <v>1.773891711818568E-2</v>
      </c>
      <c r="D506" s="76">
        <f t="shared" si="15"/>
        <v>3.1466918052586092E-4</v>
      </c>
      <c r="E506" s="1"/>
    </row>
    <row r="507" spans="1:7">
      <c r="A507" s="4">
        <v>41766</v>
      </c>
      <c r="B507" s="11">
        <v>32.097391999999999</v>
      </c>
      <c r="C507" s="75">
        <f t="shared" si="14"/>
        <v>7.5788869420793693E-3</v>
      </c>
      <c r="D507" s="76">
        <f t="shared" si="15"/>
        <v>5.7439527280821175E-5</v>
      </c>
      <c r="E507" s="1"/>
    </row>
    <row r="508" spans="1:7">
      <c r="A508" s="4">
        <v>41765</v>
      </c>
      <c r="B508" s="11">
        <v>31.855049000000001</v>
      </c>
      <c r="C508" s="75">
        <f t="shared" si="14"/>
        <v>-7.578886942079378E-3</v>
      </c>
      <c r="D508" s="76">
        <f t="shared" si="15"/>
        <v>5.7439527280821304E-5</v>
      </c>
      <c r="E508" s="1"/>
    </row>
    <row r="509" spans="1:7">
      <c r="A509" s="4">
        <v>41764</v>
      </c>
      <c r="B509" s="11">
        <v>32.097391999999999</v>
      </c>
      <c r="C509" s="75">
        <f t="shared" si="14"/>
        <v>3.6419034630359843E-3</v>
      </c>
      <c r="D509" s="76">
        <f t="shared" si="15"/>
        <v>1.3263460834073496E-5</v>
      </c>
      <c r="E509" s="1"/>
    </row>
    <row r="510" spans="1:7">
      <c r="A510" s="4">
        <v>41761</v>
      </c>
      <c r="B510" s="11">
        <v>31.980709000000001</v>
      </c>
      <c r="C510" s="75">
        <f t="shared" si="14"/>
        <v>1.4042689849871424E-3</v>
      </c>
      <c r="D510" s="76">
        <f t="shared" si="15"/>
        <v>1.9719713821968192E-6</v>
      </c>
      <c r="E510" s="1"/>
    </row>
    <row r="511" spans="1:7">
      <c r="A511" s="4">
        <v>41760</v>
      </c>
      <c r="B511" s="11">
        <v>31.935831</v>
      </c>
      <c r="C511" s="75">
        <f t="shared" si="14"/>
        <v>-3.3669947069328503E-3</v>
      </c>
      <c r="D511" s="76">
        <f t="shared" si="15"/>
        <v>1.1336653356513831E-5</v>
      </c>
      <c r="E511" s="1"/>
    </row>
    <row r="512" spans="1:7">
      <c r="A512" s="4">
        <v>41759</v>
      </c>
      <c r="B512" s="11">
        <v>32.04354</v>
      </c>
      <c r="C512" s="75">
        <f t="shared" si="14"/>
        <v>7.8741544941238265E-3</v>
      </c>
      <c r="D512" s="76">
        <f t="shared" si="15"/>
        <v>6.2002308997330456E-5</v>
      </c>
      <c r="E512" s="1"/>
    </row>
    <row r="513" spans="1:5">
      <c r="A513" s="4">
        <v>41758</v>
      </c>
      <c r="B513" s="11">
        <v>31.792214999999999</v>
      </c>
      <c r="C513" s="75">
        <f t="shared" si="14"/>
        <v>9.6453523757965062E-3</v>
      </c>
      <c r="D513" s="76">
        <f t="shared" si="15"/>
        <v>9.3032822453283307E-5</v>
      </c>
      <c r="E513" s="1"/>
    </row>
    <row r="514" spans="1:5">
      <c r="A514" s="4">
        <v>41757</v>
      </c>
      <c r="B514" s="11">
        <v>31.487041999999999</v>
      </c>
      <c r="C514" s="75">
        <f t="shared" si="14"/>
        <v>1.6961736779869025E-2</v>
      </c>
      <c r="D514" s="76">
        <f t="shared" si="15"/>
        <v>2.8770051458956166E-4</v>
      </c>
      <c r="E514" s="1"/>
    </row>
    <row r="515" spans="1:5">
      <c r="A515" s="4">
        <v>41754</v>
      </c>
      <c r="B515" s="11">
        <v>30.957471000000002</v>
      </c>
      <c r="C515" s="75">
        <f t="shared" si="14"/>
        <v>-2.8983955287389864E-4</v>
      </c>
      <c r="D515" s="76">
        <f t="shared" si="15"/>
        <v>8.4006966410141481E-8</v>
      </c>
      <c r="E515" s="1"/>
    </row>
    <row r="516" spans="1:5">
      <c r="A516" s="4">
        <v>41753</v>
      </c>
      <c r="B516" s="11">
        <v>30.966445</v>
      </c>
      <c r="C516" s="75">
        <f t="shared" si="14"/>
        <v>-1.2100349228347096E-2</v>
      </c>
      <c r="D516" s="76">
        <f t="shared" si="15"/>
        <v>1.4641845144796017E-4</v>
      </c>
      <c r="E516" s="1"/>
    </row>
    <row r="517" spans="1:5">
      <c r="A517" s="4">
        <v>41752</v>
      </c>
      <c r="B517" s="11">
        <v>31.343426000000001</v>
      </c>
      <c r="C517" s="75">
        <f t="shared" si="14"/>
        <v>-3.848258395415366E-2</v>
      </c>
      <c r="D517" s="76">
        <f t="shared" si="15"/>
        <v>1.4809092677884846E-3</v>
      </c>
      <c r="E517" s="1"/>
    </row>
    <row r="518" spans="1:5">
      <c r="A518" s="4">
        <v>41751</v>
      </c>
      <c r="B518" s="11">
        <v>32.573110999999997</v>
      </c>
      <c r="C518" s="75">
        <f t="shared" si="14"/>
        <v>6.358004250089545E-3</v>
      </c>
      <c r="D518" s="76">
        <f t="shared" si="15"/>
        <v>4.0424218044156716E-5</v>
      </c>
      <c r="E518" s="1"/>
    </row>
    <row r="519" spans="1:5">
      <c r="A519" s="4">
        <v>41750</v>
      </c>
      <c r="B519" s="11">
        <v>32.366667999999997</v>
      </c>
      <c r="C519" s="75">
        <f t="shared" ref="C519:C582" si="16">LN(B519/B520)</f>
        <v>5.547985455966512E-4</v>
      </c>
      <c r="D519" s="76">
        <f t="shared" si="15"/>
        <v>3.0780142619615946E-7</v>
      </c>
      <c r="E519" s="1"/>
    </row>
    <row r="520" spans="1:5">
      <c r="A520" s="4">
        <v>41746</v>
      </c>
      <c r="B520" s="11">
        <v>32.348716000000003</v>
      </c>
      <c r="C520" s="75">
        <f t="shared" si="16"/>
        <v>-1.6633805002281752E-3</v>
      </c>
      <c r="D520" s="76">
        <f t="shared" ref="D520:D583" si="17">C520^2</f>
        <v>2.7668346885393342E-6</v>
      </c>
      <c r="E520" s="1"/>
    </row>
    <row r="521" spans="1:5">
      <c r="A521" s="4">
        <v>41745</v>
      </c>
      <c r="B521" s="11">
        <v>32.402569</v>
      </c>
      <c r="C521" s="75">
        <f t="shared" si="16"/>
        <v>1.1702501508463935E-2</v>
      </c>
      <c r="D521" s="76">
        <f t="shared" si="17"/>
        <v>1.3694854155560067E-4</v>
      </c>
      <c r="E521" s="1"/>
    </row>
    <row r="522" spans="1:5">
      <c r="A522" s="4">
        <v>41744</v>
      </c>
      <c r="B522" s="11">
        <v>32.025587999999999</v>
      </c>
      <c r="C522" s="75">
        <f t="shared" si="16"/>
        <v>9.0090698010761496E-3</v>
      </c>
      <c r="D522" s="76">
        <f t="shared" si="17"/>
        <v>8.1163338680662259E-5</v>
      </c>
      <c r="E522" s="1"/>
    </row>
    <row r="523" spans="1:5">
      <c r="A523" s="4">
        <v>41743</v>
      </c>
      <c r="B523" s="11">
        <v>31.738363</v>
      </c>
      <c r="C523" s="75">
        <f t="shared" si="16"/>
        <v>4.5351392683694184E-3</v>
      </c>
      <c r="D523" s="76">
        <f t="shared" si="17"/>
        <v>2.0567488183506303E-5</v>
      </c>
      <c r="E523" s="1"/>
    </row>
    <row r="524" spans="1:5">
      <c r="A524" s="4">
        <v>41740</v>
      </c>
      <c r="B524" s="11">
        <v>31.594750999999999</v>
      </c>
      <c r="C524" s="75">
        <f t="shared" si="16"/>
        <v>2.2753692801575354E-3</v>
      </c>
      <c r="D524" s="76">
        <f t="shared" si="17"/>
        <v>5.177305361084621E-6</v>
      </c>
      <c r="E524" s="1"/>
    </row>
    <row r="525" spans="1:5">
      <c r="A525" s="4">
        <v>41739</v>
      </c>
      <c r="B525" s="11">
        <v>31.522943000000001</v>
      </c>
      <c r="C525" s="75">
        <f t="shared" si="16"/>
        <v>5.7110818006286439E-3</v>
      </c>
      <c r="D525" s="76">
        <f t="shared" si="17"/>
        <v>3.2616455333471713E-5</v>
      </c>
      <c r="E525" s="1"/>
    </row>
    <row r="526" spans="1:5">
      <c r="A526" s="4">
        <v>41738</v>
      </c>
      <c r="B526" s="11">
        <v>31.343426000000001</v>
      </c>
      <c r="C526" s="75">
        <f t="shared" si="16"/>
        <v>-9.973097854998534E-3</v>
      </c>
      <c r="D526" s="76">
        <f t="shared" si="17"/>
        <v>9.9462680825376359E-5</v>
      </c>
      <c r="E526" s="1"/>
    </row>
    <row r="527" spans="1:5">
      <c r="A527" s="4">
        <v>41737</v>
      </c>
      <c r="B527" s="11">
        <v>31.657581</v>
      </c>
      <c r="C527" s="75">
        <f t="shared" si="16"/>
        <v>6.8278830702721127E-3</v>
      </c>
      <c r="D527" s="76">
        <f t="shared" si="17"/>
        <v>4.6619987221308529E-5</v>
      </c>
      <c r="E527" s="1"/>
    </row>
    <row r="528" spans="1:5">
      <c r="A528" s="4">
        <v>41736</v>
      </c>
      <c r="B528" s="11">
        <v>31.442163000000001</v>
      </c>
      <c r="C528" s="75">
        <f t="shared" si="16"/>
        <v>-1.6891052084608579E-3</v>
      </c>
      <c r="D528" s="76">
        <f t="shared" si="17"/>
        <v>2.8530764052495983E-6</v>
      </c>
      <c r="E528" s="1"/>
    </row>
    <row r="529" spans="1:5">
      <c r="A529" s="4">
        <v>41733</v>
      </c>
      <c r="B529" s="11">
        <v>31.495317</v>
      </c>
      <c r="C529" s="75">
        <f t="shared" si="16"/>
        <v>-2.2478696980361926E-3</v>
      </c>
      <c r="D529" s="76">
        <f t="shared" si="17"/>
        <v>5.0529181793493235E-6</v>
      </c>
      <c r="E529" s="1"/>
    </row>
    <row r="530" spans="1:5">
      <c r="A530" s="4">
        <v>41732</v>
      </c>
      <c r="B530" s="11">
        <v>31.566193999999999</v>
      </c>
      <c r="C530" s="75">
        <f t="shared" si="16"/>
        <v>7.3240240225482256E-3</v>
      </c>
      <c r="D530" s="76">
        <f t="shared" si="17"/>
        <v>5.3641327882863489E-5</v>
      </c>
      <c r="E530" s="1"/>
    </row>
    <row r="531" spans="1:5">
      <c r="A531" s="4">
        <v>41731</v>
      </c>
      <c r="B531" s="11">
        <v>31.335847000000001</v>
      </c>
      <c r="C531" s="75">
        <f t="shared" si="16"/>
        <v>7.9477691960056756E-3</v>
      </c>
      <c r="D531" s="76">
        <f t="shared" si="17"/>
        <v>6.3167035192976707E-5</v>
      </c>
      <c r="E531" s="1"/>
    </row>
    <row r="532" spans="1:5">
      <c r="A532" s="4">
        <v>41730</v>
      </c>
      <c r="B532" s="11">
        <v>31.087783999999999</v>
      </c>
      <c r="C532" s="75">
        <f t="shared" si="16"/>
        <v>5.7016132476265494E-4</v>
      </c>
      <c r="D532" s="76">
        <f t="shared" si="17"/>
        <v>3.2508393625510566E-7</v>
      </c>
      <c r="E532" s="1"/>
    </row>
    <row r="533" spans="1:5">
      <c r="A533" s="4">
        <v>41729</v>
      </c>
      <c r="B533" s="11">
        <v>31.070063999999999</v>
      </c>
      <c r="C533" s="75">
        <f t="shared" si="16"/>
        <v>0</v>
      </c>
      <c r="D533" s="76">
        <f t="shared" si="17"/>
        <v>0</v>
      </c>
      <c r="E533" s="1"/>
    </row>
    <row r="534" spans="1:5">
      <c r="A534" s="4">
        <v>41726</v>
      </c>
      <c r="B534" s="11">
        <v>31.070063999999999</v>
      </c>
      <c r="C534" s="75">
        <f t="shared" si="16"/>
        <v>3.1415177285512292E-3</v>
      </c>
      <c r="D534" s="76">
        <f t="shared" si="17"/>
        <v>9.8691336388016747E-6</v>
      </c>
      <c r="E534" s="1"/>
    </row>
    <row r="535" spans="1:5">
      <c r="A535" s="4">
        <v>41725</v>
      </c>
      <c r="B535" s="11">
        <v>30.97261</v>
      </c>
      <c r="C535" s="75">
        <f t="shared" si="16"/>
        <v>1.0061844948077651E-2</v>
      </c>
      <c r="D535" s="76">
        <f t="shared" si="17"/>
        <v>1.0124072375915576E-4</v>
      </c>
      <c r="E535" s="1"/>
    </row>
    <row r="536" spans="1:5">
      <c r="A536" s="4">
        <v>41724</v>
      </c>
      <c r="B536" s="11">
        <v>30.662531000000001</v>
      </c>
      <c r="C536" s="75">
        <f t="shared" si="16"/>
        <v>-3.1732364000035475E-3</v>
      </c>
      <c r="D536" s="76">
        <f t="shared" si="17"/>
        <v>1.0069429250307473E-5</v>
      </c>
      <c r="E536" s="1"/>
    </row>
    <row r="537" spans="1:5">
      <c r="A537" s="4">
        <v>41723</v>
      </c>
      <c r="B537" s="11">
        <v>30.759985</v>
      </c>
      <c r="C537" s="75">
        <f t="shared" si="16"/>
        <v>7.5167075041906641E-3</v>
      </c>
      <c r="D537" s="76">
        <f t="shared" si="17"/>
        <v>5.650089170355624E-5</v>
      </c>
      <c r="E537" s="1"/>
    </row>
    <row r="538" spans="1:5">
      <c r="A538" s="4">
        <v>41722</v>
      </c>
      <c r="B538" s="11">
        <v>30.529637999999998</v>
      </c>
      <c r="C538" s="75">
        <f t="shared" si="16"/>
        <v>4.6538744258996069E-3</v>
      </c>
      <c r="D538" s="76">
        <f t="shared" si="17"/>
        <v>2.1658547172042395E-5</v>
      </c>
      <c r="E538" s="1"/>
    </row>
    <row r="539" spans="1:5">
      <c r="A539" s="4">
        <v>41719</v>
      </c>
      <c r="B539" s="11">
        <v>30.387886999999999</v>
      </c>
      <c r="C539" s="75">
        <f t="shared" si="16"/>
        <v>6.1412253837818866E-3</v>
      </c>
      <c r="D539" s="76">
        <f t="shared" si="17"/>
        <v>3.7714649214406984E-5</v>
      </c>
      <c r="E539" s="1"/>
    </row>
    <row r="540" spans="1:5">
      <c r="A540" s="4">
        <v>41718</v>
      </c>
      <c r="B540" s="11">
        <v>30.201840000000001</v>
      </c>
      <c r="C540" s="75">
        <f t="shared" si="16"/>
        <v>3.3709414681208201E-2</v>
      </c>
      <c r="D540" s="76">
        <f t="shared" si="17"/>
        <v>1.1363246381496551E-3</v>
      </c>
      <c r="E540" s="1"/>
    </row>
    <row r="541" spans="1:5">
      <c r="A541" s="4">
        <v>41717</v>
      </c>
      <c r="B541" s="11">
        <v>29.200721999999999</v>
      </c>
      <c r="C541" s="75">
        <f t="shared" si="16"/>
        <v>-6.0661603602078144E-4</v>
      </c>
      <c r="D541" s="76">
        <f t="shared" si="17"/>
        <v>3.6798301515756599E-7</v>
      </c>
      <c r="E541" s="1"/>
    </row>
    <row r="542" spans="1:5">
      <c r="A542" s="4">
        <v>41716</v>
      </c>
      <c r="B542" s="11">
        <v>29.218440999999999</v>
      </c>
      <c r="C542" s="75">
        <f t="shared" si="16"/>
        <v>2.732657565246275E-3</v>
      </c>
      <c r="D542" s="76">
        <f t="shared" si="17"/>
        <v>7.4674173688977001E-6</v>
      </c>
      <c r="E542" s="1"/>
    </row>
    <row r="543" spans="1:5">
      <c r="A543" s="4">
        <v>41715</v>
      </c>
      <c r="B543" s="11">
        <v>29.138705999999999</v>
      </c>
      <c r="C543" s="75">
        <f t="shared" si="16"/>
        <v>1.2236251621653902E-2</v>
      </c>
      <c r="D543" s="76">
        <f t="shared" si="17"/>
        <v>1.4972585374842774E-4</v>
      </c>
      <c r="E543" s="1"/>
    </row>
    <row r="544" spans="1:5">
      <c r="A544" s="4">
        <v>41712</v>
      </c>
      <c r="B544" s="11">
        <v>28.784330000000001</v>
      </c>
      <c r="C544" s="75">
        <f t="shared" si="16"/>
        <v>4.3184264066017499E-3</v>
      </c>
      <c r="D544" s="76">
        <f t="shared" si="17"/>
        <v>1.8648806629235301E-5</v>
      </c>
      <c r="E544" s="1"/>
    </row>
    <row r="545" spans="1:5">
      <c r="A545" s="4">
        <v>41711</v>
      </c>
      <c r="B545" s="11">
        <v>28.660295000000001</v>
      </c>
      <c r="C545" s="75">
        <f t="shared" si="16"/>
        <v>-9.2702051173791243E-4</v>
      </c>
      <c r="D545" s="76">
        <f t="shared" si="17"/>
        <v>8.5936702918282107E-7</v>
      </c>
      <c r="E545" s="1"/>
    </row>
    <row r="546" spans="1:5">
      <c r="A546" s="4">
        <v>41710</v>
      </c>
      <c r="B546" s="11">
        <v>28.686876000000002</v>
      </c>
      <c r="C546" s="75">
        <f t="shared" si="16"/>
        <v>4.6432999465271987E-3</v>
      </c>
      <c r="D546" s="76">
        <f t="shared" si="17"/>
        <v>2.1560234393419486E-5</v>
      </c>
      <c r="E546" s="1"/>
    </row>
    <row r="547" spans="1:5">
      <c r="A547" s="4">
        <v>41709</v>
      </c>
      <c r="B547" s="11">
        <v>28.553982999999999</v>
      </c>
      <c r="C547" s="75">
        <f t="shared" si="16"/>
        <v>-8.6499902815476183E-3</v>
      </c>
      <c r="D547" s="76">
        <f t="shared" si="17"/>
        <v>7.4822331870868239E-5</v>
      </c>
      <c r="E547" s="1"/>
    </row>
    <row r="548" spans="1:5">
      <c r="A548" s="4">
        <v>41708</v>
      </c>
      <c r="B548" s="11">
        <v>28.802046000000001</v>
      </c>
      <c r="C548" s="75">
        <f t="shared" si="16"/>
        <v>-9.2246022824989712E-4</v>
      </c>
      <c r="D548" s="76">
        <f t="shared" si="17"/>
        <v>8.5093287270285227E-7</v>
      </c>
      <c r="E548" s="1"/>
    </row>
    <row r="549" spans="1:5">
      <c r="A549" s="4">
        <v>41705</v>
      </c>
      <c r="B549" s="11">
        <v>28.828627000000001</v>
      </c>
      <c r="C549" s="75">
        <f t="shared" si="16"/>
        <v>6.1652875424894754E-3</v>
      </c>
      <c r="D549" s="76">
        <f t="shared" si="17"/>
        <v>3.8010770481575917E-5</v>
      </c>
      <c r="E549" s="1"/>
    </row>
    <row r="550" spans="1:5">
      <c r="A550" s="4">
        <v>41704</v>
      </c>
      <c r="B550" s="11">
        <v>28.651437000000001</v>
      </c>
      <c r="C550" s="75">
        <f t="shared" si="16"/>
        <v>6.5146356254404195E-3</v>
      </c>
      <c r="D550" s="76">
        <f t="shared" si="17"/>
        <v>4.2440477332257488E-5</v>
      </c>
      <c r="E550" s="1"/>
    </row>
    <row r="551" spans="1:5">
      <c r="A551" s="4">
        <v>41703</v>
      </c>
      <c r="B551" s="11">
        <v>28.465389999999999</v>
      </c>
      <c r="C551" s="75">
        <f t="shared" si="16"/>
        <v>-6.2228156607901561E-4</v>
      </c>
      <c r="D551" s="76">
        <f t="shared" si="17"/>
        <v>3.8723434748175227E-7</v>
      </c>
      <c r="E551" s="1"/>
    </row>
    <row r="552" spans="1:5">
      <c r="A552" s="4">
        <v>41702</v>
      </c>
      <c r="B552" s="11">
        <v>28.483108999999999</v>
      </c>
      <c r="C552" s="75">
        <f t="shared" si="16"/>
        <v>9.0611871286158593E-3</v>
      </c>
      <c r="D552" s="76">
        <f t="shared" si="17"/>
        <v>8.2105112179793721E-5</v>
      </c>
      <c r="E552" s="1"/>
    </row>
    <row r="553" spans="1:5">
      <c r="A553" s="4">
        <v>41701</v>
      </c>
      <c r="B553" s="11">
        <v>28.226184</v>
      </c>
      <c r="C553" s="75">
        <f t="shared" si="16"/>
        <v>-2.1946987829759316E-3</v>
      </c>
      <c r="D553" s="76">
        <f t="shared" si="17"/>
        <v>4.8167027479960352E-6</v>
      </c>
      <c r="E553" s="1"/>
    </row>
    <row r="554" spans="1:5">
      <c r="A554" s="4">
        <v>41698</v>
      </c>
      <c r="B554" s="11">
        <v>28.2882</v>
      </c>
      <c r="C554" s="75">
        <f t="shared" si="16"/>
        <v>-9.3516794376933745E-3</v>
      </c>
      <c r="D554" s="76">
        <f t="shared" si="17"/>
        <v>8.745390830537707E-5</v>
      </c>
      <c r="E554" s="1"/>
    </row>
    <row r="555" spans="1:5">
      <c r="A555" s="4">
        <v>41697</v>
      </c>
      <c r="B555" s="11">
        <v>28.553982999999999</v>
      </c>
      <c r="C555" s="75">
        <f t="shared" si="16"/>
        <v>7.1617868113243704E-3</v>
      </c>
      <c r="D555" s="76">
        <f t="shared" si="17"/>
        <v>5.1291190330859696E-5</v>
      </c>
      <c r="E555" s="1"/>
    </row>
    <row r="556" spans="1:5">
      <c r="A556" s="4">
        <v>41696</v>
      </c>
      <c r="B556" s="11">
        <v>28.350216</v>
      </c>
      <c r="C556" s="75">
        <f t="shared" si="16"/>
        <v>-5.298385031703573E-3</v>
      </c>
      <c r="D556" s="76">
        <f t="shared" si="17"/>
        <v>2.8072883944180471E-5</v>
      </c>
      <c r="E556" s="1"/>
    </row>
    <row r="557" spans="1:5">
      <c r="A557" s="4">
        <v>41695</v>
      </c>
      <c r="B557" s="11">
        <v>28.500824999999999</v>
      </c>
      <c r="C557" s="75">
        <f t="shared" si="16"/>
        <v>-9.2823400852602798E-3</v>
      </c>
      <c r="D557" s="76">
        <f t="shared" si="17"/>
        <v>8.6161837458429823E-5</v>
      </c>
      <c r="E557" s="1"/>
    </row>
    <row r="558" spans="1:5">
      <c r="A558" s="4">
        <v>41694</v>
      </c>
      <c r="B558" s="11">
        <v>28.766611000000001</v>
      </c>
      <c r="C558" s="75">
        <f t="shared" si="16"/>
        <v>-1.01118737082954E-2</v>
      </c>
      <c r="D558" s="76">
        <f t="shared" si="17"/>
        <v>1.0224998989251577E-4</v>
      </c>
      <c r="E558" s="1"/>
    </row>
    <row r="559" spans="1:5">
      <c r="A559" s="4">
        <v>41691</v>
      </c>
      <c r="B559" s="11">
        <v>29.058971</v>
      </c>
      <c r="C559" s="75">
        <f t="shared" si="16"/>
        <v>-1.1518775823300338E-2</v>
      </c>
      <c r="D559" s="76">
        <f t="shared" si="17"/>
        <v>1.3268219646744836E-4</v>
      </c>
      <c r="E559" s="1"/>
    </row>
    <row r="560" spans="1:5">
      <c r="A560" s="4">
        <v>41690</v>
      </c>
      <c r="B560" s="11">
        <v>29.395630000000001</v>
      </c>
      <c r="C560" s="75">
        <f t="shared" si="16"/>
        <v>9.9955879238159042E-3</v>
      </c>
      <c r="D560" s="76">
        <f t="shared" si="17"/>
        <v>9.9911777942734333E-5</v>
      </c>
      <c r="E560" s="1"/>
    </row>
    <row r="561" spans="1:5">
      <c r="A561" s="4">
        <v>41689</v>
      </c>
      <c r="B561" s="11">
        <v>29.103266999999999</v>
      </c>
      <c r="C561" s="75">
        <f t="shared" si="16"/>
        <v>9.1361366419132528E-4</v>
      </c>
      <c r="D561" s="76">
        <f t="shared" si="17"/>
        <v>8.3468992739709965E-7</v>
      </c>
      <c r="E561" s="1"/>
    </row>
    <row r="562" spans="1:5">
      <c r="A562" s="4">
        <v>41688</v>
      </c>
      <c r="B562" s="11">
        <v>29.076689999999999</v>
      </c>
      <c r="C562" s="75">
        <f t="shared" si="16"/>
        <v>-1.0004678651602501E-2</v>
      </c>
      <c r="D562" s="76">
        <f t="shared" si="17"/>
        <v>1.0009359492183083E-4</v>
      </c>
      <c r="E562" s="1"/>
    </row>
    <row r="563" spans="1:5">
      <c r="A563" s="4">
        <v>41684</v>
      </c>
      <c r="B563" s="11">
        <v>29.369053000000001</v>
      </c>
      <c r="C563" s="75">
        <f t="shared" si="16"/>
        <v>-1.0204168273003553E-2</v>
      </c>
      <c r="D563" s="76">
        <f t="shared" si="17"/>
        <v>1.0412505014377232E-4</v>
      </c>
      <c r="E563" s="1"/>
    </row>
    <row r="564" spans="1:5">
      <c r="A564" s="4">
        <v>41683</v>
      </c>
      <c r="B564" s="11">
        <v>29.670273999999999</v>
      </c>
      <c r="C564" s="75">
        <f t="shared" si="16"/>
        <v>1.6559252690492979E-2</v>
      </c>
      <c r="D564" s="76">
        <f t="shared" si="17"/>
        <v>2.7420884966759893E-4</v>
      </c>
      <c r="E564" s="1"/>
    </row>
    <row r="565" spans="1:5">
      <c r="A565" s="4">
        <v>41682</v>
      </c>
      <c r="B565" s="11">
        <v>29.183001999999998</v>
      </c>
      <c r="C565" s="75">
        <f t="shared" si="16"/>
        <v>-3.0362382564033972E-4</v>
      </c>
      <c r="D565" s="76">
        <f t="shared" si="17"/>
        <v>9.2187427496475422E-8</v>
      </c>
      <c r="E565" s="1"/>
    </row>
    <row r="566" spans="1:5">
      <c r="A566" s="4">
        <v>41681</v>
      </c>
      <c r="B566" s="11">
        <v>29.191863999999999</v>
      </c>
      <c r="C566" s="75">
        <f t="shared" si="16"/>
        <v>1.5599115820990836E-2</v>
      </c>
      <c r="D566" s="76">
        <f t="shared" si="17"/>
        <v>2.4333241439668661E-4</v>
      </c>
      <c r="E566" s="1"/>
    </row>
    <row r="567" spans="1:5">
      <c r="A567" s="4">
        <v>41680</v>
      </c>
      <c r="B567" s="11">
        <v>28.740030000000001</v>
      </c>
      <c r="C567" s="75">
        <f t="shared" si="16"/>
        <v>4.3249574804393098E-3</v>
      </c>
      <c r="D567" s="76">
        <f t="shared" si="17"/>
        <v>1.8705257207607942E-5</v>
      </c>
      <c r="E567" s="1"/>
    </row>
    <row r="568" spans="1:5">
      <c r="A568" s="4">
        <v>41677</v>
      </c>
      <c r="B568" s="11">
        <v>28.615998999999999</v>
      </c>
      <c r="C568" s="75">
        <f t="shared" si="16"/>
        <v>9.3313178188755078E-3</v>
      </c>
      <c r="D568" s="76">
        <f t="shared" si="17"/>
        <v>8.7073492236863559E-5</v>
      </c>
      <c r="E568" s="1"/>
    </row>
    <row r="569" spans="1:5">
      <c r="A569" s="4">
        <v>41676</v>
      </c>
      <c r="B569" s="11">
        <v>28.350216</v>
      </c>
      <c r="C569" s="75">
        <f t="shared" si="16"/>
        <v>-2.496931568885888E-3</v>
      </c>
      <c r="D569" s="76">
        <f t="shared" si="17"/>
        <v>6.2346672596989425E-6</v>
      </c>
      <c r="E569" s="1"/>
    </row>
    <row r="570" spans="1:5">
      <c r="A570" s="4">
        <v>41675</v>
      </c>
      <c r="B570" s="11">
        <v>28.421092999999999</v>
      </c>
      <c r="C570" s="75">
        <f t="shared" si="16"/>
        <v>-1.1467611825082222E-2</v>
      </c>
      <c r="D570" s="76">
        <f t="shared" si="17"/>
        <v>1.3150612097076562E-4</v>
      </c>
      <c r="E570" s="1"/>
    </row>
    <row r="571" spans="1:5">
      <c r="A571" s="4">
        <v>41674</v>
      </c>
      <c r="B571" s="11">
        <v>28.748891</v>
      </c>
      <c r="C571" s="75">
        <f t="shared" si="16"/>
        <v>1.5528257862887142E-2</v>
      </c>
      <c r="D571" s="76">
        <f t="shared" si="17"/>
        <v>2.4112679225631636E-4</v>
      </c>
      <c r="E571" s="1"/>
    </row>
    <row r="572" spans="1:5">
      <c r="A572" s="4">
        <v>41673</v>
      </c>
      <c r="B572" s="11">
        <v>28.305918999999999</v>
      </c>
      <c r="C572" s="75">
        <f t="shared" si="16"/>
        <v>-4.1985615078786606E-2</v>
      </c>
      <c r="D572" s="76">
        <f t="shared" si="17"/>
        <v>1.7627918735440332E-3</v>
      </c>
      <c r="E572" s="1"/>
    </row>
    <row r="573" spans="1:5">
      <c r="A573" s="4">
        <v>41670</v>
      </c>
      <c r="B573" s="11">
        <v>29.519662</v>
      </c>
      <c r="C573" s="75">
        <f t="shared" si="16"/>
        <v>-8.9991014590932528E-4</v>
      </c>
      <c r="D573" s="76">
        <f t="shared" si="17"/>
        <v>8.0983827071054309E-7</v>
      </c>
      <c r="E573" s="1"/>
    </row>
    <row r="574" spans="1:5">
      <c r="A574" s="4">
        <v>41669</v>
      </c>
      <c r="B574" s="11">
        <v>29.546239</v>
      </c>
      <c r="C574" s="75">
        <f t="shared" si="16"/>
        <v>1.2000263627282468E-3</v>
      </c>
      <c r="D574" s="76">
        <f t="shared" si="17"/>
        <v>1.4400632712427857E-6</v>
      </c>
      <c r="E574" s="1"/>
    </row>
    <row r="575" spans="1:5">
      <c r="A575" s="4">
        <v>41668</v>
      </c>
      <c r="B575" s="11">
        <v>29.510804</v>
      </c>
      <c r="C575" s="75">
        <f t="shared" si="16"/>
        <v>-1.1640176123192483E-2</v>
      </c>
      <c r="D575" s="76">
        <f t="shared" si="17"/>
        <v>1.3549370017894037E-4</v>
      </c>
      <c r="E575" s="1"/>
    </row>
    <row r="576" spans="1:5">
      <c r="A576" s="4">
        <v>41667</v>
      </c>
      <c r="B576" s="11">
        <v>29.856321999999999</v>
      </c>
      <c r="C576" s="75">
        <f t="shared" si="16"/>
        <v>5.6540227867891198E-3</v>
      </c>
      <c r="D576" s="76">
        <f t="shared" si="17"/>
        <v>3.1967973673530604E-5</v>
      </c>
      <c r="E576" s="1"/>
    </row>
    <row r="577" spans="1:5">
      <c r="A577" s="4">
        <v>41666</v>
      </c>
      <c r="B577" s="11">
        <v>29.687989999999999</v>
      </c>
      <c r="C577" s="75">
        <f t="shared" si="16"/>
        <v>2.6893793378881497E-3</v>
      </c>
      <c r="D577" s="76">
        <f t="shared" si="17"/>
        <v>7.2327612230597023E-6</v>
      </c>
      <c r="E577" s="1"/>
    </row>
    <row r="578" spans="1:5">
      <c r="A578" s="4">
        <v>41663</v>
      </c>
      <c r="B578" s="11">
        <v>29.608255</v>
      </c>
      <c r="C578" s="75">
        <f t="shared" si="16"/>
        <v>-1.1306319591159433E-2</v>
      </c>
      <c r="D578" s="76">
        <f t="shared" si="17"/>
        <v>1.278328626974356E-4</v>
      </c>
      <c r="E578" s="1"/>
    </row>
    <row r="579" spans="1:5">
      <c r="A579" s="4">
        <v>41662</v>
      </c>
      <c r="B579" s="11">
        <v>29.944915000000002</v>
      </c>
      <c r="C579" s="75">
        <f t="shared" si="16"/>
        <v>1.3702913447146414E-2</v>
      </c>
      <c r="D579" s="76">
        <f t="shared" si="17"/>
        <v>1.8776983693998602E-4</v>
      </c>
      <c r="E579" s="1"/>
    </row>
    <row r="580" spans="1:5">
      <c r="A580" s="4">
        <v>41661</v>
      </c>
      <c r="B580" s="11">
        <v>29.537381</v>
      </c>
      <c r="C580" s="75">
        <f t="shared" si="16"/>
        <v>-6.8749277695601078E-3</v>
      </c>
      <c r="D580" s="76">
        <f t="shared" si="17"/>
        <v>4.7264631836668719E-5</v>
      </c>
      <c r="E580" s="1"/>
    </row>
    <row r="581" spans="1:5">
      <c r="A581" s="4">
        <v>41660</v>
      </c>
      <c r="B581" s="11">
        <v>29.741147999999999</v>
      </c>
      <c r="C581" s="75">
        <f t="shared" si="16"/>
        <v>-3.8650682111041716E-3</v>
      </c>
      <c r="D581" s="76">
        <f t="shared" si="17"/>
        <v>1.4938752276488002E-5</v>
      </c>
      <c r="E581" s="1"/>
    </row>
    <row r="582" spans="1:5">
      <c r="A582" s="4">
        <v>41656</v>
      </c>
      <c r="B582" s="11">
        <v>29.856321999999999</v>
      </c>
      <c r="C582" s="75">
        <f t="shared" si="16"/>
        <v>-7.6854738639390331E-3</v>
      </c>
      <c r="D582" s="76">
        <f t="shared" si="17"/>
        <v>5.9066508513289975E-5</v>
      </c>
      <c r="E582" s="1"/>
    </row>
    <row r="583" spans="1:5">
      <c r="A583" s="4">
        <v>41655</v>
      </c>
      <c r="B583" s="11">
        <v>30.086666000000001</v>
      </c>
      <c r="C583" s="75">
        <f t="shared" ref="C583:C646" si="18">LN(B583/B584)</f>
        <v>5.0184099806155772E-3</v>
      </c>
      <c r="D583" s="76">
        <f t="shared" si="17"/>
        <v>2.5184438733542038E-5</v>
      </c>
      <c r="E583" s="1"/>
    </row>
    <row r="584" spans="1:5">
      <c r="A584" s="4">
        <v>41654</v>
      </c>
      <c r="B584" s="11">
        <v>29.936057000000002</v>
      </c>
      <c r="C584" s="75">
        <f t="shared" si="18"/>
        <v>9.2166980977960184E-3</v>
      </c>
      <c r="D584" s="76">
        <f t="shared" ref="D584:D647" si="19">C584^2</f>
        <v>8.494752382591675E-5</v>
      </c>
      <c r="E584" s="1"/>
    </row>
    <row r="585" spans="1:5">
      <c r="A585" s="4">
        <v>41653</v>
      </c>
      <c r="B585" s="11">
        <v>29.661413</v>
      </c>
      <c r="C585" s="75">
        <f t="shared" si="18"/>
        <v>5.390849910534983E-3</v>
      </c>
      <c r="D585" s="76">
        <f t="shared" si="19"/>
        <v>2.9061262757915034E-5</v>
      </c>
      <c r="E585" s="1"/>
    </row>
    <row r="586" spans="1:5">
      <c r="A586" s="4">
        <v>41652</v>
      </c>
      <c r="B586" s="11">
        <v>29.501943000000001</v>
      </c>
      <c r="C586" s="75">
        <f t="shared" si="18"/>
        <v>-9.563725791699668E-3</v>
      </c>
      <c r="D586" s="76">
        <f t="shared" si="19"/>
        <v>9.1464851018821443E-5</v>
      </c>
      <c r="E586" s="1"/>
    </row>
    <row r="587" spans="1:5">
      <c r="A587" s="4">
        <v>41649</v>
      </c>
      <c r="B587" s="11">
        <v>29.785444999999999</v>
      </c>
      <c r="C587" s="75">
        <f t="shared" si="18"/>
        <v>2.3823198138345218E-3</v>
      </c>
      <c r="D587" s="76">
        <f t="shared" si="19"/>
        <v>5.6754476953885508E-6</v>
      </c>
      <c r="E587" s="1"/>
    </row>
    <row r="588" spans="1:5">
      <c r="A588" s="4">
        <v>41648</v>
      </c>
      <c r="B588" s="11">
        <v>29.714570999999999</v>
      </c>
      <c r="C588" s="75">
        <f t="shared" si="18"/>
        <v>-2.0655828079880152E-2</v>
      </c>
      <c r="D588" s="76">
        <f t="shared" si="19"/>
        <v>4.2666323366556539E-4</v>
      </c>
      <c r="E588" s="1"/>
    </row>
    <row r="589" spans="1:5">
      <c r="A589" s="4">
        <v>41647</v>
      </c>
      <c r="B589" s="11">
        <v>30.334733</v>
      </c>
      <c r="C589" s="75">
        <f t="shared" si="18"/>
        <v>-7.2748077274460213E-3</v>
      </c>
      <c r="D589" s="76">
        <f t="shared" si="19"/>
        <v>5.2922827471308344E-5</v>
      </c>
      <c r="E589" s="1"/>
    </row>
    <row r="590" spans="1:5">
      <c r="A590" s="4">
        <v>41646</v>
      </c>
      <c r="B590" s="11">
        <v>30.556217</v>
      </c>
      <c r="C590" s="75">
        <f t="shared" si="18"/>
        <v>-2.8602199023800625E-4</v>
      </c>
      <c r="D590" s="76">
        <f t="shared" si="19"/>
        <v>8.1808578899710144E-8</v>
      </c>
      <c r="E590" s="1"/>
    </row>
    <row r="591" spans="1:5">
      <c r="A591" s="4">
        <v>41645</v>
      </c>
      <c r="B591" s="11">
        <v>30.564958000000001</v>
      </c>
      <c r="C591" s="75">
        <f t="shared" si="18"/>
        <v>4.5871511456599011E-3</v>
      </c>
      <c r="D591" s="76">
        <f t="shared" si="19"/>
        <v>2.1041955633128942E-5</v>
      </c>
      <c r="E591" s="1"/>
    </row>
    <row r="592" spans="1:5">
      <c r="A592" s="4">
        <v>41642</v>
      </c>
      <c r="B592" s="11">
        <v>30.425073000000001</v>
      </c>
      <c r="C592" s="75">
        <f t="shared" si="18"/>
        <v>-4.3011291554220519E-3</v>
      </c>
      <c r="D592" s="76">
        <f t="shared" si="19"/>
        <v>1.8499712011621612E-5</v>
      </c>
      <c r="E592" s="1"/>
    </row>
    <row r="593" spans="1:5">
      <c r="A593" s="4">
        <v>41641</v>
      </c>
      <c r="B593" s="11">
        <v>30.556217</v>
      </c>
      <c r="C593" s="75">
        <f t="shared" si="18"/>
        <v>-5.9905850373531038E-3</v>
      </c>
      <c r="D593" s="76">
        <f t="shared" si="19"/>
        <v>3.5887109089758891E-5</v>
      </c>
      <c r="E593" s="1"/>
    </row>
    <row r="594" spans="1:5">
      <c r="A594" s="4">
        <v>41639</v>
      </c>
      <c r="B594" s="11">
        <v>30.739816000000001</v>
      </c>
      <c r="C594" s="75">
        <f t="shared" si="18"/>
        <v>-1.1370309322893566E-3</v>
      </c>
      <c r="D594" s="76">
        <f t="shared" si="19"/>
        <v>1.2928393409828036E-6</v>
      </c>
      <c r="E594" s="1"/>
    </row>
    <row r="595" spans="1:5">
      <c r="A595" s="4">
        <v>41638</v>
      </c>
      <c r="B595" s="11">
        <v>30.774788000000001</v>
      </c>
      <c r="C595" s="75">
        <f t="shared" si="18"/>
        <v>5.683538612358917E-4</v>
      </c>
      <c r="D595" s="76">
        <f t="shared" si="19"/>
        <v>3.2302611158174723E-7</v>
      </c>
      <c r="E595" s="1"/>
    </row>
    <row r="596" spans="1:5">
      <c r="A596" s="4">
        <v>41635</v>
      </c>
      <c r="B596" s="11">
        <v>30.757301999999999</v>
      </c>
      <c r="C596" s="75">
        <f t="shared" si="18"/>
        <v>5.6867707105353043E-4</v>
      </c>
      <c r="D596" s="76">
        <f t="shared" si="19"/>
        <v>3.2339361114202208E-7</v>
      </c>
      <c r="E596" s="1"/>
    </row>
    <row r="597" spans="1:5">
      <c r="A597" s="4">
        <v>41634</v>
      </c>
      <c r="B597" s="11">
        <v>30.739816000000001</v>
      </c>
      <c r="C597" s="75">
        <f t="shared" si="18"/>
        <v>5.9905850373531766E-3</v>
      </c>
      <c r="D597" s="76">
        <f t="shared" si="19"/>
        <v>3.5887109089759758E-5</v>
      </c>
      <c r="E597" s="1"/>
    </row>
    <row r="598" spans="1:5">
      <c r="A598" s="4">
        <v>41632</v>
      </c>
      <c r="B598" s="11">
        <v>30.556217</v>
      </c>
      <c r="C598" s="75">
        <f t="shared" si="18"/>
        <v>7.4670810758566625E-3</v>
      </c>
      <c r="D598" s="76">
        <f t="shared" si="19"/>
        <v>5.575729979341669E-5</v>
      </c>
      <c r="E598" s="1"/>
    </row>
    <row r="599" spans="1:5">
      <c r="A599" s="4">
        <v>41631</v>
      </c>
      <c r="B599" s="11">
        <v>30.328900999999998</v>
      </c>
      <c r="C599" s="75">
        <f t="shared" si="18"/>
        <v>1.130608557512337E-2</v>
      </c>
      <c r="D599" s="76">
        <f t="shared" si="19"/>
        <v>1.2782757103201273E-4</v>
      </c>
      <c r="E599" s="1"/>
    </row>
    <row r="600" spans="1:5">
      <c r="A600" s="4">
        <v>41628</v>
      </c>
      <c r="B600" s="11">
        <v>29.987931</v>
      </c>
      <c r="C600" s="75">
        <f t="shared" si="18"/>
        <v>-4.3636912509477455E-3</v>
      </c>
      <c r="D600" s="76">
        <f t="shared" si="19"/>
        <v>1.9041801333597899E-5</v>
      </c>
      <c r="E600" s="1"/>
    </row>
    <row r="601" spans="1:5">
      <c r="A601" s="4">
        <v>41627</v>
      </c>
      <c r="B601" s="11">
        <v>30.119074999999999</v>
      </c>
      <c r="C601" s="75">
        <f t="shared" si="18"/>
        <v>2.0339688229968375E-3</v>
      </c>
      <c r="D601" s="76">
        <f t="shared" si="19"/>
        <v>4.1370291729231404E-6</v>
      </c>
      <c r="E601" s="1"/>
    </row>
    <row r="602" spans="1:5">
      <c r="A602" s="4">
        <v>41626</v>
      </c>
      <c r="B602" s="11">
        <v>30.057876</v>
      </c>
      <c r="C602" s="75">
        <f t="shared" si="18"/>
        <v>1.5536088521332982E-2</v>
      </c>
      <c r="D602" s="76">
        <f t="shared" si="19"/>
        <v>2.4137004654269445E-4</v>
      </c>
      <c r="E602" s="1"/>
    </row>
    <row r="603" spans="1:5">
      <c r="A603" s="4">
        <v>41625</v>
      </c>
      <c r="B603" s="11">
        <v>29.594503</v>
      </c>
      <c r="C603" s="75">
        <f t="shared" si="18"/>
        <v>-8.8236835266441976E-3</v>
      </c>
      <c r="D603" s="76">
        <f t="shared" si="19"/>
        <v>7.7857390978372179E-5</v>
      </c>
      <c r="E603" s="1"/>
    </row>
    <row r="604" spans="1:5">
      <c r="A604" s="4">
        <v>41624</v>
      </c>
      <c r="B604" s="11">
        <v>29.856791000000001</v>
      </c>
      <c r="C604" s="75">
        <f t="shared" si="18"/>
        <v>8.8236835266440918E-3</v>
      </c>
      <c r="D604" s="76">
        <f t="shared" si="19"/>
        <v>7.7857390978370322E-5</v>
      </c>
      <c r="E604" s="1"/>
    </row>
    <row r="605" spans="1:5">
      <c r="A605" s="4">
        <v>41621</v>
      </c>
      <c r="B605" s="11">
        <v>29.594503</v>
      </c>
      <c r="C605" s="75">
        <f t="shared" si="18"/>
        <v>-1.1810082755620995E-3</v>
      </c>
      <c r="D605" s="76">
        <f t="shared" si="19"/>
        <v>1.3947805469461639E-6</v>
      </c>
      <c r="E605" s="1"/>
    </row>
    <row r="606" spans="1:5">
      <c r="A606" s="4">
        <v>41620</v>
      </c>
      <c r="B606" s="11">
        <v>29.629474999999999</v>
      </c>
      <c r="C606" s="75">
        <f t="shared" si="18"/>
        <v>-1.768901310805989E-3</v>
      </c>
      <c r="D606" s="76">
        <f t="shared" si="19"/>
        <v>3.1290118473711465E-6</v>
      </c>
      <c r="E606" s="1"/>
    </row>
    <row r="607" spans="1:5">
      <c r="A607" s="4">
        <v>41619</v>
      </c>
      <c r="B607" s="11">
        <v>29.681933000000001</v>
      </c>
      <c r="C607" s="75">
        <f t="shared" si="18"/>
        <v>-1.3167754152745577E-2</v>
      </c>
      <c r="D607" s="76">
        <f t="shared" si="19"/>
        <v>1.7338974942714838E-4</v>
      </c>
      <c r="E607" s="1"/>
    </row>
    <row r="608" spans="1:5">
      <c r="A608" s="4">
        <v>41618</v>
      </c>
      <c r="B608" s="11">
        <v>30.075361999999998</v>
      </c>
      <c r="C608" s="75">
        <f t="shared" si="18"/>
        <v>-8.394787929391509E-3</v>
      </c>
      <c r="D608" s="76">
        <f t="shared" si="19"/>
        <v>7.0472464379457372E-5</v>
      </c>
      <c r="E608" s="1"/>
    </row>
    <row r="609" spans="1:5">
      <c r="A609" s="4">
        <v>41617</v>
      </c>
      <c r="B609" s="11">
        <v>30.328900999999998</v>
      </c>
      <c r="C609" s="75">
        <f t="shared" si="18"/>
        <v>4.6229366793894711E-3</v>
      </c>
      <c r="D609" s="76">
        <f t="shared" si="19"/>
        <v>2.137154354164455E-5</v>
      </c>
      <c r="E609" s="1"/>
    </row>
    <row r="610" spans="1:5">
      <c r="A610" s="4">
        <v>41614</v>
      </c>
      <c r="B610" s="11">
        <v>30.189015999999999</v>
      </c>
      <c r="C610" s="75">
        <f t="shared" si="18"/>
        <v>8.1418987814285398E-3</v>
      </c>
      <c r="D610" s="76">
        <f t="shared" si="19"/>
        <v>6.6290515767027547E-5</v>
      </c>
      <c r="E610" s="1"/>
    </row>
    <row r="611" spans="1:5">
      <c r="A611" s="4">
        <v>41613</v>
      </c>
      <c r="B611" s="11">
        <v>29.944217999999999</v>
      </c>
      <c r="C611" s="75">
        <f t="shared" si="18"/>
        <v>-1.0167074115119459E-2</v>
      </c>
      <c r="D611" s="76">
        <f t="shared" si="19"/>
        <v>1.0336939606233213E-4</v>
      </c>
      <c r="E611" s="1"/>
    </row>
    <row r="612" spans="1:5">
      <c r="A612" s="4">
        <v>41612</v>
      </c>
      <c r="B612" s="11">
        <v>30.250216000000002</v>
      </c>
      <c r="C612" s="75">
        <f t="shared" si="18"/>
        <v>-4.0381538854114595E-3</v>
      </c>
      <c r="D612" s="76">
        <f t="shared" si="19"/>
        <v>1.6306686802263667E-5</v>
      </c>
      <c r="E612" s="1"/>
    </row>
    <row r="613" spans="1:5">
      <c r="A613" s="4">
        <v>41611</v>
      </c>
      <c r="B613" s="11">
        <v>30.372617999999999</v>
      </c>
      <c r="C613" s="75">
        <f t="shared" si="18"/>
        <v>-1.725559380721808E-3</v>
      </c>
      <c r="D613" s="76">
        <f t="shared" si="19"/>
        <v>2.9775551763970294E-6</v>
      </c>
      <c r="E613" s="1"/>
    </row>
    <row r="614" spans="1:5">
      <c r="A614" s="4">
        <v>41610</v>
      </c>
      <c r="B614" s="11">
        <v>30.425073000000001</v>
      </c>
      <c r="C614" s="75">
        <f t="shared" si="18"/>
        <v>-1.1712735996963999E-2</v>
      </c>
      <c r="D614" s="76">
        <f t="shared" si="19"/>
        <v>1.3718818453457626E-4</v>
      </c>
      <c r="E614" s="1"/>
    </row>
    <row r="615" spans="1:5">
      <c r="A615" s="4">
        <v>41607</v>
      </c>
      <c r="B615" s="11">
        <v>30.783529000000001</v>
      </c>
      <c r="C615" s="75">
        <f t="shared" si="18"/>
        <v>-5.6641736707746743E-3</v>
      </c>
      <c r="D615" s="76">
        <f t="shared" si="19"/>
        <v>3.2082863372697048E-5</v>
      </c>
      <c r="E615" s="1"/>
    </row>
    <row r="616" spans="1:5">
      <c r="A616" s="4">
        <v>41605</v>
      </c>
      <c r="B616" s="11">
        <v>30.958386999999998</v>
      </c>
      <c r="C616" s="75">
        <f t="shared" si="18"/>
        <v>3.6780711228987214E-3</v>
      </c>
      <c r="D616" s="76">
        <f t="shared" si="19"/>
        <v>1.3528207185101461E-5</v>
      </c>
      <c r="E616" s="1"/>
    </row>
    <row r="617" spans="1:5">
      <c r="A617" s="4">
        <v>41604</v>
      </c>
      <c r="B617" s="11">
        <v>30.844729000000001</v>
      </c>
      <c r="C617" s="75">
        <f t="shared" si="18"/>
        <v>-2.5477871753440099E-3</v>
      </c>
      <c r="D617" s="76">
        <f t="shared" si="19"/>
        <v>6.4912194908474082E-6</v>
      </c>
      <c r="E617" s="1"/>
    </row>
    <row r="618" spans="1:5">
      <c r="A618" s="4">
        <v>41603</v>
      </c>
      <c r="B618" s="11">
        <v>30.923414999999999</v>
      </c>
      <c r="C618" s="75">
        <f t="shared" si="18"/>
        <v>-1.4125908466755769E-3</v>
      </c>
      <c r="D618" s="76">
        <f t="shared" si="19"/>
        <v>1.995412900111623E-6</v>
      </c>
      <c r="E618" s="1"/>
    </row>
    <row r="619" spans="1:5">
      <c r="A619" s="4">
        <v>41600</v>
      </c>
      <c r="B619" s="11">
        <v>30.967127999999999</v>
      </c>
      <c r="C619" s="75">
        <f t="shared" si="18"/>
        <v>3.3936346594561628E-3</v>
      </c>
      <c r="D619" s="76">
        <f t="shared" si="19"/>
        <v>1.1516756201862147E-5</v>
      </c>
      <c r="E619" s="1"/>
    </row>
    <row r="620" spans="1:5">
      <c r="A620" s="4">
        <v>41599</v>
      </c>
      <c r="B620" s="11">
        <v>30.862214999999999</v>
      </c>
      <c r="C620" s="75">
        <f t="shared" si="18"/>
        <v>-2.8289088309757056E-3</v>
      </c>
      <c r="D620" s="76">
        <f t="shared" si="19"/>
        <v>8.002725173972333E-6</v>
      </c>
      <c r="E620" s="1"/>
    </row>
    <row r="621" spans="1:5">
      <c r="A621" s="4">
        <v>41598</v>
      </c>
      <c r="B621" s="11">
        <v>30.949645</v>
      </c>
      <c r="C621" s="75">
        <f t="shared" si="18"/>
        <v>-8.9989422004239147E-3</v>
      </c>
      <c r="D621" s="76">
        <f t="shared" si="19"/>
        <v>8.0980960726570402E-5</v>
      </c>
      <c r="E621" s="1"/>
    </row>
    <row r="622" spans="1:5">
      <c r="A622" s="4">
        <v>41597</v>
      </c>
      <c r="B622" s="11">
        <v>31.229416000000001</v>
      </c>
      <c r="C622" s="75">
        <f t="shared" si="18"/>
        <v>3.3652128823797936E-3</v>
      </c>
      <c r="D622" s="76">
        <f t="shared" si="19"/>
        <v>1.1324657743734919E-5</v>
      </c>
      <c r="E622" s="1"/>
    </row>
    <row r="623" spans="1:5">
      <c r="A623" s="4">
        <v>41596</v>
      </c>
      <c r="B623" s="11">
        <v>31.124499</v>
      </c>
      <c r="C623" s="75">
        <f t="shared" si="18"/>
        <v>4.7866471323667805E-3</v>
      </c>
      <c r="D623" s="76">
        <f t="shared" si="19"/>
        <v>2.2911990769795123E-5</v>
      </c>
      <c r="E623" s="1"/>
    </row>
    <row r="624" spans="1:5">
      <c r="A624" s="4">
        <v>41593</v>
      </c>
      <c r="B624" s="11">
        <v>30.975873</v>
      </c>
      <c r="C624" s="75">
        <f t="shared" si="18"/>
        <v>7.6498587312810295E-3</v>
      </c>
      <c r="D624" s="76">
        <f t="shared" si="19"/>
        <v>5.8520338608556601E-5</v>
      </c>
      <c r="E624" s="1"/>
    </row>
    <row r="625" spans="1:5">
      <c r="A625" s="4">
        <v>41592</v>
      </c>
      <c r="B625" s="11">
        <v>30.739816000000001</v>
      </c>
      <c r="C625" s="75">
        <f t="shared" si="18"/>
        <v>2.5630238033993499E-3</v>
      </c>
      <c r="D625" s="76">
        <f t="shared" si="19"/>
        <v>6.5690910167916691E-6</v>
      </c>
      <c r="E625" s="1"/>
    </row>
    <row r="626" spans="1:5">
      <c r="A626" s="4">
        <v>41591</v>
      </c>
      <c r="B626" s="11">
        <v>30.66113</v>
      </c>
      <c r="C626" s="75">
        <f t="shared" si="18"/>
        <v>-2.8473377194265337E-3</v>
      </c>
      <c r="D626" s="76">
        <f t="shared" si="19"/>
        <v>8.1073320884690934E-6</v>
      </c>
      <c r="E626" s="1"/>
    </row>
    <row r="627" spans="1:5">
      <c r="A627" s="4">
        <v>41590</v>
      </c>
      <c r="B627" s="11">
        <v>30.748557000000002</v>
      </c>
      <c r="C627" s="75">
        <f t="shared" si="18"/>
        <v>3.9885859272364215E-3</v>
      </c>
      <c r="D627" s="76">
        <f t="shared" si="19"/>
        <v>1.5908817698948426E-5</v>
      </c>
      <c r="E627" s="1"/>
    </row>
    <row r="628" spans="1:5">
      <c r="A628" s="4">
        <v>41589</v>
      </c>
      <c r="B628" s="11">
        <v>30.626158</v>
      </c>
      <c r="C628" s="75">
        <f t="shared" si="18"/>
        <v>-3.9885859272363747E-3</v>
      </c>
      <c r="D628" s="76">
        <f t="shared" si="19"/>
        <v>1.590881769894805E-5</v>
      </c>
      <c r="E628" s="1"/>
    </row>
    <row r="629" spans="1:5">
      <c r="A629" s="4">
        <v>41586</v>
      </c>
      <c r="B629" s="11">
        <v>30.748557000000002</v>
      </c>
      <c r="C629" s="75">
        <f t="shared" si="18"/>
        <v>1.7073904745079636E-3</v>
      </c>
      <c r="D629" s="76">
        <f t="shared" si="19"/>
        <v>2.9151822324405291E-6</v>
      </c>
      <c r="E629" s="1"/>
    </row>
    <row r="630" spans="1:5">
      <c r="A630" s="4">
        <v>41585</v>
      </c>
      <c r="B630" s="11">
        <v>30.696102</v>
      </c>
      <c r="C630" s="75">
        <f t="shared" si="18"/>
        <v>-2.0020391982463311E-2</v>
      </c>
      <c r="D630" s="76">
        <f t="shared" si="19"/>
        <v>4.0081609513148122E-4</v>
      </c>
      <c r="E630" s="1"/>
    </row>
    <row r="631" spans="1:5">
      <c r="A631" s="4">
        <v>41584</v>
      </c>
      <c r="B631" s="11">
        <v>31.316842999999999</v>
      </c>
      <c r="C631" s="75">
        <f t="shared" si="18"/>
        <v>8.1290097777476662E-3</v>
      </c>
      <c r="D631" s="76">
        <f t="shared" si="19"/>
        <v>6.6080799966717154E-5</v>
      </c>
      <c r="E631" s="1"/>
    </row>
    <row r="632" spans="1:5">
      <c r="A632" s="4">
        <v>41583</v>
      </c>
      <c r="B632" s="11">
        <v>31.063300000000002</v>
      </c>
      <c r="C632" s="75">
        <f t="shared" si="18"/>
        <v>-2.5564110942855073E-2</v>
      </c>
      <c r="D632" s="76">
        <f t="shared" si="19"/>
        <v>6.5352376829860251E-4</v>
      </c>
      <c r="E632" s="1"/>
    </row>
    <row r="633" spans="1:5">
      <c r="A633" s="4">
        <v>41582</v>
      </c>
      <c r="B633" s="11">
        <v>31.867643000000001</v>
      </c>
      <c r="C633" s="75">
        <f t="shared" si="18"/>
        <v>5.7779586806082856E-3</v>
      </c>
      <c r="D633" s="76">
        <f t="shared" si="19"/>
        <v>3.338480651481664E-5</v>
      </c>
      <c r="E633" s="1"/>
    </row>
    <row r="634" spans="1:5">
      <c r="A634" s="4">
        <v>41579</v>
      </c>
      <c r="B634" s="11">
        <v>31.684044</v>
      </c>
      <c r="C634" s="75">
        <f t="shared" si="18"/>
        <v>1.1043828493928014E-3</v>
      </c>
      <c r="D634" s="76">
        <f t="shared" si="19"/>
        <v>1.2196614780329631E-6</v>
      </c>
      <c r="E634" s="1"/>
    </row>
    <row r="635" spans="1:5">
      <c r="A635" s="4">
        <v>41578</v>
      </c>
      <c r="B635" s="11">
        <v>31.649072</v>
      </c>
      <c r="C635" s="75">
        <f t="shared" si="18"/>
        <v>-1.6560226048615502E-3</v>
      </c>
      <c r="D635" s="76">
        <f t="shared" si="19"/>
        <v>2.7424108678124341E-6</v>
      </c>
      <c r="E635" s="1"/>
    </row>
    <row r="636" spans="1:5">
      <c r="A636" s="4">
        <v>41577</v>
      </c>
      <c r="B636" s="11">
        <v>31.701526999999999</v>
      </c>
      <c r="C636" s="75">
        <f t="shared" si="18"/>
        <v>-2.7578464359009945E-4</v>
      </c>
      <c r="D636" s="76">
        <f t="shared" si="19"/>
        <v>7.6057169640118185E-8</v>
      </c>
      <c r="E636" s="1"/>
    </row>
    <row r="637" spans="1:5">
      <c r="A637" s="4">
        <v>41576</v>
      </c>
      <c r="B637" s="11">
        <v>31.710270999999999</v>
      </c>
      <c r="C637" s="75">
        <f t="shared" si="18"/>
        <v>1.9488379773114385E-2</v>
      </c>
      <c r="D637" s="76">
        <f t="shared" si="19"/>
        <v>3.7979694618113388E-4</v>
      </c>
      <c r="E637" s="1"/>
    </row>
    <row r="638" spans="1:5">
      <c r="A638" s="4">
        <v>41575</v>
      </c>
      <c r="B638" s="11">
        <v>31.098272000000001</v>
      </c>
      <c r="C638" s="75">
        <f t="shared" si="18"/>
        <v>1.074067316122437E-2</v>
      </c>
      <c r="D638" s="76">
        <f t="shared" si="19"/>
        <v>1.1536205995624549E-4</v>
      </c>
      <c r="E638" s="1"/>
    </row>
    <row r="639" spans="1:5">
      <c r="A639" s="4">
        <v>41572</v>
      </c>
      <c r="B639" s="11">
        <v>30.766043</v>
      </c>
      <c r="C639" s="75">
        <f t="shared" si="18"/>
        <v>1.6041498271764373E-2</v>
      </c>
      <c r="D639" s="76">
        <f t="shared" si="19"/>
        <v>2.5732966680301936E-4</v>
      </c>
      <c r="E639" s="1"/>
    </row>
    <row r="640" spans="1:5">
      <c r="A640" s="4">
        <v>41571</v>
      </c>
      <c r="B640" s="11">
        <v>30.276447000000001</v>
      </c>
      <c r="C640" s="75">
        <f t="shared" si="18"/>
        <v>-1.8595793250627064E-2</v>
      </c>
      <c r="D640" s="76">
        <f t="shared" si="19"/>
        <v>3.4580352662006705E-4</v>
      </c>
      <c r="E640" s="1"/>
    </row>
    <row r="641" spans="1:5">
      <c r="A641" s="4">
        <v>41570</v>
      </c>
      <c r="B641" s="11">
        <v>30.844729000000001</v>
      </c>
      <c r="C641" s="75">
        <f t="shared" si="18"/>
        <v>1.4182327762038481E-3</v>
      </c>
      <c r="D641" s="76">
        <f t="shared" si="19"/>
        <v>2.0113842074988744E-6</v>
      </c>
      <c r="E641" s="1"/>
    </row>
    <row r="642" spans="1:5">
      <c r="A642" s="4">
        <v>41569</v>
      </c>
      <c r="B642" s="11">
        <v>30.801015</v>
      </c>
      <c r="C642" s="75">
        <f t="shared" si="18"/>
        <v>2.8382962496710577E-4</v>
      </c>
      <c r="D642" s="76">
        <f t="shared" si="19"/>
        <v>8.0559256008967911E-8</v>
      </c>
      <c r="E642" s="1"/>
    </row>
    <row r="643" spans="1:5">
      <c r="A643" s="4">
        <v>41568</v>
      </c>
      <c r="B643" s="11">
        <v>30.792273999999999</v>
      </c>
      <c r="C643" s="75">
        <f t="shared" si="18"/>
        <v>1.7471475391139392E-2</v>
      </c>
      <c r="D643" s="76">
        <f t="shared" si="19"/>
        <v>3.0525245234318938E-4</v>
      </c>
      <c r="E643" s="1"/>
    </row>
    <row r="644" spans="1:5">
      <c r="A644" s="4">
        <v>41565</v>
      </c>
      <c r="B644" s="11">
        <v>30.258959999999998</v>
      </c>
      <c r="C644" s="75">
        <f t="shared" si="18"/>
        <v>4.9240367182882454E-3</v>
      </c>
      <c r="D644" s="76">
        <f t="shared" si="19"/>
        <v>2.4246137603050873E-5</v>
      </c>
      <c r="E644" s="1"/>
    </row>
    <row r="645" spans="1:5">
      <c r="A645" s="4">
        <v>41564</v>
      </c>
      <c r="B645" s="11">
        <v>30.110330000000001</v>
      </c>
      <c r="C645" s="75">
        <f t="shared" si="18"/>
        <v>6.9929658057316406E-3</v>
      </c>
      <c r="D645" s="76">
        <f t="shared" si="19"/>
        <v>4.8901570760131972E-5</v>
      </c>
      <c r="E645" s="1"/>
    </row>
    <row r="646" spans="1:5">
      <c r="A646" s="4">
        <v>41563</v>
      </c>
      <c r="B646" s="11">
        <v>29.900504000000002</v>
      </c>
      <c r="C646" s="75">
        <f t="shared" si="18"/>
        <v>1.4431147602124902E-2</v>
      </c>
      <c r="D646" s="76">
        <f t="shared" si="19"/>
        <v>2.082580211143153E-4</v>
      </c>
      <c r="E646" s="1"/>
    </row>
    <row r="647" spans="1:5">
      <c r="A647" s="4">
        <v>41562</v>
      </c>
      <c r="B647" s="11">
        <v>29.472104000000002</v>
      </c>
      <c r="C647" s="75">
        <f t="shared" ref="C647:C710" si="20">LN(B647/B648)</f>
        <v>-6.2102621217440604E-3</v>
      </c>
      <c r="D647" s="76">
        <f t="shared" si="19"/>
        <v>3.8567355620769037E-5</v>
      </c>
      <c r="E647" s="1"/>
    </row>
    <row r="648" spans="1:5">
      <c r="A648" s="4">
        <v>41561</v>
      </c>
      <c r="B648" s="11">
        <v>29.655702999999999</v>
      </c>
      <c r="C648" s="75">
        <f t="shared" si="20"/>
        <v>-8.2208854803807931E-3</v>
      </c>
      <c r="D648" s="76">
        <f t="shared" ref="D648:D711" si="21">C648^2</f>
        <v>6.7582958081535742E-5</v>
      </c>
      <c r="E648" s="1"/>
    </row>
    <row r="649" spans="1:5">
      <c r="A649" s="4">
        <v>41558</v>
      </c>
      <c r="B649" s="11">
        <v>29.900504000000002</v>
      </c>
      <c r="C649" s="75">
        <f t="shared" si="20"/>
        <v>1.4630182908053893E-3</v>
      </c>
      <c r="D649" s="76">
        <f t="shared" si="21"/>
        <v>2.1404225192311226E-6</v>
      </c>
      <c r="E649" s="1"/>
    </row>
    <row r="650" spans="1:5">
      <c r="A650" s="4">
        <v>41557</v>
      </c>
      <c r="B650" s="11">
        <v>29.856791000000001</v>
      </c>
      <c r="C650" s="75">
        <f t="shared" si="20"/>
        <v>1.1782219161376109E-2</v>
      </c>
      <c r="D650" s="76">
        <f t="shared" si="21"/>
        <v>1.3882068836669833E-4</v>
      </c>
      <c r="E650" s="1"/>
    </row>
    <row r="651" spans="1:5">
      <c r="A651" s="4">
        <v>41556</v>
      </c>
      <c r="B651" s="11">
        <v>29.507076000000001</v>
      </c>
      <c r="C651" s="75">
        <f t="shared" si="20"/>
        <v>1.9145045400713025E-2</v>
      </c>
      <c r="D651" s="76">
        <f t="shared" si="21"/>
        <v>3.6653276339536296E-4</v>
      </c>
      <c r="E651" s="1"/>
    </row>
    <row r="652" spans="1:5">
      <c r="A652" s="4">
        <v>41555</v>
      </c>
      <c r="B652" s="11">
        <v>28.947534999999998</v>
      </c>
      <c r="C652" s="75">
        <f t="shared" si="20"/>
        <v>-1.3201551047579401E-2</v>
      </c>
      <c r="D652" s="76">
        <f t="shared" si="21"/>
        <v>1.7428095006184478E-4</v>
      </c>
      <c r="E652" s="1"/>
    </row>
    <row r="653" spans="1:5">
      <c r="A653" s="4">
        <v>41554</v>
      </c>
      <c r="B653" s="11">
        <v>29.332221000000001</v>
      </c>
      <c r="C653" s="75">
        <f t="shared" si="20"/>
        <v>7.3801040146697213E-3</v>
      </c>
      <c r="D653" s="76">
        <f t="shared" si="21"/>
        <v>5.4465935267344136E-5</v>
      </c>
      <c r="E653" s="1"/>
    </row>
    <row r="654" spans="1:5">
      <c r="A654" s="4">
        <v>41551</v>
      </c>
      <c r="B654" s="11">
        <v>29.116543</v>
      </c>
      <c r="C654" s="75">
        <f t="shared" si="20"/>
        <v>3.2646041846221821E-3</v>
      </c>
      <c r="D654" s="76">
        <f t="shared" si="21"/>
        <v>1.0657640482252663E-5</v>
      </c>
      <c r="E654" s="1"/>
    </row>
    <row r="655" spans="1:5">
      <c r="A655" s="4">
        <v>41550</v>
      </c>
      <c r="B655" s="11">
        <v>29.021643999999998</v>
      </c>
      <c r="C655" s="75">
        <f t="shared" si="20"/>
        <v>-8.878400457544915E-3</v>
      </c>
      <c r="D655" s="76">
        <f t="shared" si="21"/>
        <v>7.882599468453376E-5</v>
      </c>
      <c r="E655" s="1"/>
    </row>
    <row r="656" spans="1:5">
      <c r="A656" s="4">
        <v>41549</v>
      </c>
      <c r="B656" s="11">
        <v>29.280456999999998</v>
      </c>
      <c r="C656" s="75">
        <f t="shared" si="20"/>
        <v>-3.529501140535293E-3</v>
      </c>
      <c r="D656" s="76">
        <f t="shared" si="21"/>
        <v>1.2457378301039935E-5</v>
      </c>
      <c r="E656" s="1"/>
    </row>
    <row r="657" spans="1:5">
      <c r="A657" s="4">
        <v>41548</v>
      </c>
      <c r="B657" s="11">
        <v>29.383984999999999</v>
      </c>
      <c r="C657" s="75">
        <f t="shared" si="20"/>
        <v>7.0713667018978184E-3</v>
      </c>
      <c r="D657" s="76">
        <f t="shared" si="21"/>
        <v>5.0004227032709233E-5</v>
      </c>
      <c r="E657" s="1"/>
    </row>
    <row r="658" spans="1:5">
      <c r="A658" s="4">
        <v>41547</v>
      </c>
      <c r="B658" s="11">
        <v>29.176932999999998</v>
      </c>
      <c r="C658" s="75">
        <f t="shared" si="20"/>
        <v>-4.7197392662686188E-3</v>
      </c>
      <c r="D658" s="76">
        <f t="shared" si="21"/>
        <v>2.2275938741557842E-5</v>
      </c>
      <c r="E658" s="1"/>
    </row>
    <row r="659" spans="1:5">
      <c r="A659" s="4">
        <v>41544</v>
      </c>
      <c r="B659" s="11">
        <v>29.314965999999998</v>
      </c>
      <c r="C659" s="75">
        <f t="shared" si="20"/>
        <v>-7.3303332488326598E-3</v>
      </c>
      <c r="D659" s="76">
        <f t="shared" si="21"/>
        <v>5.3733785538941575E-5</v>
      </c>
      <c r="E659" s="1"/>
    </row>
    <row r="660" spans="1:5">
      <c r="A660" s="4">
        <v>41543</v>
      </c>
      <c r="B660" s="11">
        <v>29.530643999999999</v>
      </c>
      <c r="C660" s="75">
        <f t="shared" si="20"/>
        <v>5.2724123087216079E-3</v>
      </c>
      <c r="D660" s="76">
        <f t="shared" si="21"/>
        <v>2.7798331553159118E-5</v>
      </c>
      <c r="E660" s="1"/>
    </row>
    <row r="661" spans="1:5">
      <c r="A661" s="4">
        <v>41542</v>
      </c>
      <c r="B661" s="11">
        <v>29.375356</v>
      </c>
      <c r="C661" s="75">
        <f t="shared" si="20"/>
        <v>-1.1740707401288639E-3</v>
      </c>
      <c r="D661" s="76">
        <f t="shared" si="21"/>
        <v>1.3784421028267383E-6</v>
      </c>
      <c r="E661" s="1"/>
    </row>
    <row r="662" spans="1:5">
      <c r="A662" s="4">
        <v>41541</v>
      </c>
      <c r="B662" s="11">
        <v>29.409865</v>
      </c>
      <c r="C662" s="75">
        <f t="shared" si="20"/>
        <v>-3.8062294224789489E-3</v>
      </c>
      <c r="D662" s="76">
        <f t="shared" si="21"/>
        <v>1.4487382416544432E-5</v>
      </c>
      <c r="E662" s="1"/>
    </row>
    <row r="663" spans="1:5">
      <c r="A663" s="4">
        <v>41540</v>
      </c>
      <c r="B663" s="11">
        <v>29.522019</v>
      </c>
      <c r="C663" s="75">
        <f t="shared" si="20"/>
        <v>-2.626584427637654E-3</v>
      </c>
      <c r="D663" s="76">
        <f t="shared" si="21"/>
        <v>6.8989457555086223E-6</v>
      </c>
      <c r="E663" s="1"/>
    </row>
    <row r="664" spans="1:5">
      <c r="A664" s="4">
        <v>41537</v>
      </c>
      <c r="B664" s="11">
        <v>29.599663</v>
      </c>
      <c r="C664" s="75">
        <f t="shared" si="20"/>
        <v>-1.4467838023401057E-2</v>
      </c>
      <c r="D664" s="76">
        <f t="shared" si="21"/>
        <v>2.0931833707136941E-4</v>
      </c>
      <c r="E664" s="1"/>
    </row>
    <row r="665" spans="1:5">
      <c r="A665" s="4">
        <v>41536</v>
      </c>
      <c r="B665" s="11">
        <v>30.031019000000001</v>
      </c>
      <c r="C665" s="75">
        <f t="shared" si="20"/>
        <v>-4.0137423991652172E-3</v>
      </c>
      <c r="D665" s="76">
        <f t="shared" si="21"/>
        <v>1.6110128046856555E-5</v>
      </c>
      <c r="E665" s="1"/>
    </row>
    <row r="666" spans="1:5">
      <c r="A666" s="4">
        <v>41535</v>
      </c>
      <c r="B666" s="11">
        <v>30.151797999999999</v>
      </c>
      <c r="C666" s="75">
        <f t="shared" si="20"/>
        <v>5.7389140868803002E-3</v>
      </c>
      <c r="D666" s="76">
        <f t="shared" si="21"/>
        <v>3.2935134896593152E-5</v>
      </c>
      <c r="E666" s="1"/>
    </row>
    <row r="667" spans="1:5">
      <c r="A667" s="4">
        <v>41534</v>
      </c>
      <c r="B667" s="11">
        <v>29.979254999999998</v>
      </c>
      <c r="C667" s="75">
        <f t="shared" si="20"/>
        <v>5.1933104546021333E-3</v>
      </c>
      <c r="D667" s="76">
        <f t="shared" si="21"/>
        <v>2.6970473477879815E-5</v>
      </c>
      <c r="E667" s="1"/>
    </row>
    <row r="668" spans="1:5">
      <c r="A668" s="4">
        <v>41533</v>
      </c>
      <c r="B668" s="11">
        <v>29.823967</v>
      </c>
      <c r="C668" s="75">
        <f t="shared" si="20"/>
        <v>7.257976099495243E-3</v>
      </c>
      <c r="D668" s="76">
        <f t="shared" si="21"/>
        <v>5.2678217060844179E-5</v>
      </c>
      <c r="E668" s="1"/>
    </row>
    <row r="669" spans="1:5">
      <c r="A669" s="4">
        <v>41530</v>
      </c>
      <c r="B669" s="11">
        <v>29.608288999999999</v>
      </c>
      <c r="C669" s="75">
        <f t="shared" si="20"/>
        <v>-1.7467677149412681E-3</v>
      </c>
      <c r="D669" s="76">
        <f t="shared" si="21"/>
        <v>3.0511974499611389E-6</v>
      </c>
      <c r="E669" s="1"/>
    </row>
    <row r="670" spans="1:5">
      <c r="A670" s="4">
        <v>41529</v>
      </c>
      <c r="B670" s="11">
        <v>29.660053000000001</v>
      </c>
      <c r="C670" s="75">
        <f t="shared" si="20"/>
        <v>1.1997214635971148E-2</v>
      </c>
      <c r="D670" s="76">
        <f t="shared" si="21"/>
        <v>1.4393315902156033E-4</v>
      </c>
      <c r="E670" s="1"/>
    </row>
    <row r="671" spans="1:5">
      <c r="A671" s="4">
        <v>41528</v>
      </c>
      <c r="B671" s="11">
        <v>29.306341</v>
      </c>
      <c r="C671" s="75">
        <f t="shared" si="20"/>
        <v>0</v>
      </c>
      <c r="D671" s="76">
        <f t="shared" si="21"/>
        <v>0</v>
      </c>
      <c r="E671" s="1"/>
    </row>
    <row r="672" spans="1:5">
      <c r="A672" s="4">
        <v>41527</v>
      </c>
      <c r="B672" s="11">
        <v>29.306341</v>
      </c>
      <c r="C672" s="75">
        <f t="shared" si="20"/>
        <v>1.0059283176343978E-2</v>
      </c>
      <c r="D672" s="76">
        <f t="shared" si="21"/>
        <v>1.0118917802187699E-4</v>
      </c>
      <c r="E672" s="1"/>
    </row>
    <row r="673" spans="1:5">
      <c r="A673" s="4">
        <v>41526</v>
      </c>
      <c r="B673" s="11">
        <v>29.013017999999999</v>
      </c>
      <c r="C673" s="75">
        <f t="shared" si="20"/>
        <v>6.5632788230722853E-3</v>
      </c>
      <c r="D673" s="76">
        <f t="shared" si="21"/>
        <v>4.3076628909389124E-5</v>
      </c>
      <c r="E673" s="1"/>
    </row>
    <row r="674" spans="1:5">
      <c r="A674" s="4">
        <v>41523</v>
      </c>
      <c r="B674" s="11">
        <v>28.823221</v>
      </c>
      <c r="C674" s="75">
        <f t="shared" si="20"/>
        <v>2.097383655960891E-3</v>
      </c>
      <c r="D674" s="76">
        <f t="shared" si="21"/>
        <v>4.3990182002918737E-6</v>
      </c>
      <c r="E674" s="1"/>
    </row>
    <row r="675" spans="1:5">
      <c r="A675" s="4">
        <v>41522</v>
      </c>
      <c r="B675" s="11">
        <v>28.762830999999998</v>
      </c>
      <c r="C675" s="75">
        <f t="shared" si="20"/>
        <v>-1.1926235695751514E-2</v>
      </c>
      <c r="D675" s="76">
        <f t="shared" si="21"/>
        <v>1.4223509787061761E-4</v>
      </c>
      <c r="E675" s="1"/>
    </row>
    <row r="676" spans="1:5">
      <c r="A676" s="4">
        <v>41521</v>
      </c>
      <c r="B676" s="11">
        <v>29.107917</v>
      </c>
      <c r="C676" s="75">
        <f t="shared" si="20"/>
        <v>1.2526321888985689E-2</v>
      </c>
      <c r="D676" s="76">
        <f t="shared" si="21"/>
        <v>1.5690874006648198E-4</v>
      </c>
      <c r="E676" s="1"/>
    </row>
    <row r="677" spans="1:5">
      <c r="A677" s="4">
        <v>41520</v>
      </c>
      <c r="B677" s="11">
        <v>28.745576</v>
      </c>
      <c r="C677" s="75">
        <f t="shared" si="20"/>
        <v>-1.5190257795698702E-2</v>
      </c>
      <c r="D677" s="76">
        <f t="shared" si="21"/>
        <v>2.3074393189978517E-4</v>
      </c>
      <c r="E677" s="1"/>
    </row>
    <row r="678" spans="1:5">
      <c r="A678" s="4">
        <v>41516</v>
      </c>
      <c r="B678" s="11">
        <v>29.185562000000001</v>
      </c>
      <c r="C678" s="75">
        <f t="shared" si="20"/>
        <v>5.3349528806332586E-3</v>
      </c>
      <c r="D678" s="76">
        <f t="shared" si="21"/>
        <v>2.8461722238577105E-5</v>
      </c>
      <c r="E678" s="1"/>
    </row>
    <row r="679" spans="1:5">
      <c r="A679" s="4">
        <v>41515</v>
      </c>
      <c r="B679" s="11">
        <v>29.030273000000001</v>
      </c>
      <c r="C679" s="75">
        <f t="shared" si="20"/>
        <v>2.0824089446611596E-3</v>
      </c>
      <c r="D679" s="76">
        <f t="shared" si="21"/>
        <v>4.3364270128048048E-6</v>
      </c>
      <c r="E679" s="1"/>
    </row>
    <row r="680" spans="1:5">
      <c r="A680" s="4">
        <v>41514</v>
      </c>
      <c r="B680" s="11">
        <v>28.969882999999999</v>
      </c>
      <c r="C680" s="75">
        <f t="shared" si="20"/>
        <v>-3.270324364987877E-3</v>
      </c>
      <c r="D680" s="76">
        <f t="shared" si="21"/>
        <v>1.0695021452233361E-5</v>
      </c>
      <c r="E680" s="1"/>
    </row>
    <row r="681" spans="1:5">
      <c r="A681" s="4">
        <v>41513</v>
      </c>
      <c r="B681" s="11">
        <v>29.064779000000001</v>
      </c>
      <c r="C681" s="75">
        <f t="shared" si="20"/>
        <v>-3.8513338560352021E-3</v>
      </c>
      <c r="D681" s="76">
        <f t="shared" si="21"/>
        <v>1.4832772470642979E-5</v>
      </c>
      <c r="E681" s="1"/>
    </row>
    <row r="682" spans="1:5">
      <c r="A682" s="4">
        <v>41512</v>
      </c>
      <c r="B682" s="11">
        <v>29.176932999999998</v>
      </c>
      <c r="C682" s="75">
        <f t="shared" si="20"/>
        <v>-1.3801428991538757E-2</v>
      </c>
      <c r="D682" s="76">
        <f t="shared" si="21"/>
        <v>1.9047944220848651E-4</v>
      </c>
      <c r="E682" s="1"/>
    </row>
    <row r="683" spans="1:5">
      <c r="A683" s="4">
        <v>41509</v>
      </c>
      <c r="B683" s="11">
        <v>29.582408000000001</v>
      </c>
      <c r="C683" s="75">
        <f t="shared" si="20"/>
        <v>1.3801428991538833E-2</v>
      </c>
      <c r="D683" s="76">
        <f t="shared" si="21"/>
        <v>1.9047944220848859E-4</v>
      </c>
      <c r="E683" s="1"/>
    </row>
    <row r="684" spans="1:5">
      <c r="A684" s="4">
        <v>41508</v>
      </c>
      <c r="B684" s="11">
        <v>29.176932999999998</v>
      </c>
      <c r="C684" s="75">
        <f t="shared" si="20"/>
        <v>1.0104125120666652E-2</v>
      </c>
      <c r="D684" s="76">
        <f t="shared" si="21"/>
        <v>1.0209334445408689E-4</v>
      </c>
      <c r="E684" s="1"/>
    </row>
    <row r="685" spans="1:5">
      <c r="A685" s="4">
        <v>41507</v>
      </c>
      <c r="B685" s="11">
        <v>28.883610000000001</v>
      </c>
      <c r="C685" s="75">
        <f t="shared" si="20"/>
        <v>-1.1581393057182313E-2</v>
      </c>
      <c r="D685" s="76">
        <f t="shared" si="21"/>
        <v>1.3412866514495069E-4</v>
      </c>
      <c r="E685" s="1"/>
    </row>
    <row r="686" spans="1:5">
      <c r="A686" s="4">
        <v>41506</v>
      </c>
      <c r="B686" s="11">
        <v>29.220067</v>
      </c>
      <c r="C686" s="75">
        <f t="shared" si="20"/>
        <v>2.364697930831665E-3</v>
      </c>
      <c r="D686" s="76">
        <f t="shared" si="21"/>
        <v>5.5917963040795581E-6</v>
      </c>
      <c r="E686" s="1"/>
    </row>
    <row r="687" spans="1:5">
      <c r="A687" s="4">
        <v>41505</v>
      </c>
      <c r="B687" s="11">
        <v>29.151052</v>
      </c>
      <c r="C687" s="75">
        <f t="shared" si="20"/>
        <v>-1.1475782521357392E-2</v>
      </c>
      <c r="D687" s="76">
        <f t="shared" si="21"/>
        <v>1.3169358447749182E-4</v>
      </c>
      <c r="E687" s="1"/>
    </row>
    <row r="688" spans="1:5">
      <c r="A688" s="4">
        <v>41502</v>
      </c>
      <c r="B688" s="11">
        <v>29.48751</v>
      </c>
      <c r="C688" s="75">
        <f t="shared" si="20"/>
        <v>-4.9612698186176528E-3</v>
      </c>
      <c r="D688" s="76">
        <f t="shared" si="21"/>
        <v>2.4614198213126436E-5</v>
      </c>
      <c r="E688" s="1"/>
    </row>
    <row r="689" spans="1:5">
      <c r="A689" s="4">
        <v>41501</v>
      </c>
      <c r="B689" s="11">
        <v>29.634169</v>
      </c>
      <c r="C689" s="75">
        <f t="shared" si="20"/>
        <v>-1.215298788247276E-2</v>
      </c>
      <c r="D689" s="76">
        <f t="shared" si="21"/>
        <v>1.4769511447152974E-4</v>
      </c>
      <c r="E689" s="1"/>
    </row>
    <row r="690" spans="1:5">
      <c r="A690" s="4">
        <v>41500</v>
      </c>
      <c r="B690" s="11">
        <v>29.996510000000001</v>
      </c>
      <c r="C690" s="75">
        <f t="shared" si="20"/>
        <v>1.4390355358896408E-3</v>
      </c>
      <c r="D690" s="76">
        <f t="shared" si="21"/>
        <v>2.0708232735531855E-6</v>
      </c>
      <c r="E690" s="1"/>
    </row>
    <row r="691" spans="1:5">
      <c r="A691" s="4">
        <v>41499</v>
      </c>
      <c r="B691" s="11">
        <v>29.953375000000001</v>
      </c>
      <c r="C691" s="75">
        <f t="shared" si="20"/>
        <v>-5.7437587678533216E-3</v>
      </c>
      <c r="D691" s="76">
        <f t="shared" si="21"/>
        <v>3.2990764783291906E-5</v>
      </c>
      <c r="E691" s="1"/>
    </row>
    <row r="692" spans="1:5">
      <c r="A692" s="4">
        <v>41498</v>
      </c>
      <c r="B692" s="11">
        <v>30.125914999999999</v>
      </c>
      <c r="C692" s="75">
        <f t="shared" si="20"/>
        <v>3.4423281662772157E-3</v>
      </c>
      <c r="D692" s="76">
        <f t="shared" si="21"/>
        <v>1.1849623204345459E-5</v>
      </c>
      <c r="E692" s="1"/>
    </row>
    <row r="693" spans="1:5">
      <c r="A693" s="4">
        <v>41495</v>
      </c>
      <c r="B693" s="11">
        <v>30.022390000000001</v>
      </c>
      <c r="C693" s="75">
        <f t="shared" si="20"/>
        <v>-1.3982314805407561E-2</v>
      </c>
      <c r="D693" s="76">
        <f t="shared" si="21"/>
        <v>1.9550512731751949E-4</v>
      </c>
      <c r="E693" s="1"/>
    </row>
    <row r="694" spans="1:5">
      <c r="A694" s="4">
        <v>41494</v>
      </c>
      <c r="B694" s="11">
        <v>30.445121</v>
      </c>
      <c r="C694" s="75">
        <f t="shared" si="20"/>
        <v>-8.4650382733037245E-3</v>
      </c>
      <c r="D694" s="76">
        <f t="shared" si="21"/>
        <v>7.1656872968496908E-5</v>
      </c>
      <c r="E694" s="1"/>
    </row>
    <row r="695" spans="1:5">
      <c r="A695" s="4">
        <v>41493</v>
      </c>
      <c r="B695" s="11">
        <v>30.703934</v>
      </c>
      <c r="C695" s="75">
        <f t="shared" si="20"/>
        <v>3.0955628908093439E-3</v>
      </c>
      <c r="D695" s="76">
        <f t="shared" si="21"/>
        <v>9.5825096109559013E-6</v>
      </c>
      <c r="E695" s="1"/>
    </row>
    <row r="696" spans="1:5">
      <c r="A696" s="4">
        <v>41492</v>
      </c>
      <c r="B696" s="11">
        <v>30.609034999999999</v>
      </c>
      <c r="C696" s="75">
        <f t="shared" si="20"/>
        <v>-5.3407980304150627E-3</v>
      </c>
      <c r="D696" s="76">
        <f t="shared" si="21"/>
        <v>2.8524123601685412E-5</v>
      </c>
      <c r="E696" s="1"/>
    </row>
    <row r="697" spans="1:5">
      <c r="A697" s="4">
        <v>41491</v>
      </c>
      <c r="B697" s="11">
        <v>30.772949000000001</v>
      </c>
      <c r="C697" s="75">
        <f t="shared" si="20"/>
        <v>-2.7996111429974442E-3</v>
      </c>
      <c r="D697" s="76">
        <f t="shared" si="21"/>
        <v>7.8378225519954559E-6</v>
      </c>
      <c r="E697" s="1"/>
    </row>
    <row r="698" spans="1:5">
      <c r="A698" s="4">
        <v>41488</v>
      </c>
      <c r="B698" s="11">
        <v>30.859221999999999</v>
      </c>
      <c r="C698" s="75">
        <f t="shared" si="20"/>
        <v>1.3987771681233721E-3</v>
      </c>
      <c r="D698" s="76">
        <f t="shared" si="21"/>
        <v>1.9565775660632405E-6</v>
      </c>
      <c r="E698" s="1"/>
    </row>
    <row r="699" spans="1:5">
      <c r="A699" s="4">
        <v>41487</v>
      </c>
      <c r="B699" s="11">
        <v>30.816087</v>
      </c>
      <c r="C699" s="75">
        <f t="shared" si="20"/>
        <v>1.2678025533664457E-2</v>
      </c>
      <c r="D699" s="76">
        <f t="shared" si="21"/>
        <v>1.6073233143224793E-4</v>
      </c>
      <c r="E699" s="1"/>
    </row>
    <row r="700" spans="1:5">
      <c r="A700" s="4">
        <v>41486</v>
      </c>
      <c r="B700" s="11">
        <v>30.427866000000002</v>
      </c>
      <c r="C700" s="75">
        <f t="shared" si="20"/>
        <v>-4.2438272858527455E-3</v>
      </c>
      <c r="D700" s="76">
        <f t="shared" si="21"/>
        <v>1.8010070032148282E-5</v>
      </c>
      <c r="E700" s="1"/>
    </row>
    <row r="701" spans="1:5">
      <c r="A701" s="4">
        <v>41485</v>
      </c>
      <c r="B701" s="11">
        <v>30.557271</v>
      </c>
      <c r="C701" s="75">
        <f t="shared" si="20"/>
        <v>-1.2903479936583891E-2</v>
      </c>
      <c r="D701" s="76">
        <f t="shared" si="21"/>
        <v>1.6649979447382301E-4</v>
      </c>
      <c r="E701" s="1"/>
    </row>
    <row r="702" spans="1:5">
      <c r="A702" s="4">
        <v>41484</v>
      </c>
      <c r="B702" s="11">
        <v>30.954121000000001</v>
      </c>
      <c r="C702" s="75">
        <f t="shared" si="20"/>
        <v>7.8344490618818541E-3</v>
      </c>
      <c r="D702" s="76">
        <f t="shared" si="21"/>
        <v>6.1378592103221468E-5</v>
      </c>
      <c r="E702" s="1"/>
    </row>
    <row r="703" spans="1:5">
      <c r="A703" s="4">
        <v>41481</v>
      </c>
      <c r="B703" s="11">
        <v>30.71256</v>
      </c>
      <c r="C703" s="75">
        <f t="shared" si="20"/>
        <v>3.9403460268046496E-3</v>
      </c>
      <c r="D703" s="76">
        <f t="shared" si="21"/>
        <v>1.5526326810955187E-5</v>
      </c>
      <c r="E703" s="1"/>
    </row>
    <row r="704" spans="1:5">
      <c r="A704" s="4">
        <v>41480</v>
      </c>
      <c r="B704" s="11">
        <v>30.59178</v>
      </c>
      <c r="C704" s="75">
        <f t="shared" si="20"/>
        <v>1.6933907514189376E-3</v>
      </c>
      <c r="D704" s="76">
        <f t="shared" si="21"/>
        <v>2.8675722369911941E-6</v>
      </c>
      <c r="E704" s="1"/>
    </row>
    <row r="705" spans="1:5">
      <c r="A705" s="4">
        <v>41479</v>
      </c>
      <c r="B705" s="11">
        <v>30.540019999999998</v>
      </c>
      <c r="C705" s="75">
        <f t="shared" si="20"/>
        <v>-1.151536076172315E-2</v>
      </c>
      <c r="D705" s="76">
        <f t="shared" si="21"/>
        <v>1.3260353347263317E-4</v>
      </c>
      <c r="E705" s="1"/>
    </row>
    <row r="706" spans="1:5">
      <c r="A706" s="4">
        <v>41478</v>
      </c>
      <c r="B706" s="11">
        <v>30.893732</v>
      </c>
      <c r="C706" s="75">
        <f t="shared" si="20"/>
        <v>6.4435063941994985E-3</v>
      </c>
      <c r="D706" s="76">
        <f t="shared" si="21"/>
        <v>4.1518774652089821E-5</v>
      </c>
      <c r="E706" s="1"/>
    </row>
    <row r="707" spans="1:5">
      <c r="A707" s="4">
        <v>41477</v>
      </c>
      <c r="B707" s="11">
        <v>30.695308000000001</v>
      </c>
      <c r="C707" s="75">
        <f t="shared" si="20"/>
        <v>-6.4435063941994447E-3</v>
      </c>
      <c r="D707" s="76">
        <f t="shared" si="21"/>
        <v>4.1518774652089129E-5</v>
      </c>
      <c r="E707" s="1"/>
    </row>
    <row r="708" spans="1:5">
      <c r="A708" s="4">
        <v>41474</v>
      </c>
      <c r="B708" s="11">
        <v>30.893732</v>
      </c>
      <c r="C708" s="75">
        <f t="shared" si="20"/>
        <v>1.9566784995311576E-3</v>
      </c>
      <c r="D708" s="76">
        <f t="shared" si="21"/>
        <v>3.8285907505275022E-6</v>
      </c>
      <c r="E708" s="1"/>
    </row>
    <row r="709" spans="1:5">
      <c r="A709" s="4">
        <v>41473</v>
      </c>
      <c r="B709" s="11">
        <v>30.833341999999998</v>
      </c>
      <c r="C709" s="75">
        <f t="shared" si="20"/>
        <v>-6.1366440082789445E-3</v>
      </c>
      <c r="D709" s="76">
        <f t="shared" si="21"/>
        <v>3.7658399684345873E-5</v>
      </c>
      <c r="E709" s="1"/>
    </row>
    <row r="710" spans="1:5">
      <c r="A710" s="4">
        <v>41472</v>
      </c>
      <c r="B710" s="11">
        <v>31.023136999999998</v>
      </c>
      <c r="C710" s="75">
        <f t="shared" si="20"/>
        <v>2.2271404303655343E-3</v>
      </c>
      <c r="D710" s="76">
        <f t="shared" si="21"/>
        <v>4.9601544965687772E-6</v>
      </c>
      <c r="E710" s="1"/>
    </row>
    <row r="711" spans="1:5">
      <c r="A711" s="4">
        <v>41471</v>
      </c>
      <c r="B711" s="11">
        <v>30.954121000000001</v>
      </c>
      <c r="C711" s="75">
        <f t="shared" ref="C711:C774" si="22">LN(B711/B712)</f>
        <v>9.2399105209878228E-3</v>
      </c>
      <c r="D711" s="76">
        <f t="shared" si="21"/>
        <v>8.537594643586146E-5</v>
      </c>
      <c r="E711" s="1"/>
    </row>
    <row r="712" spans="1:5">
      <c r="A712" s="4">
        <v>41470</v>
      </c>
      <c r="B712" s="11">
        <v>30.669425</v>
      </c>
      <c r="C712" s="75">
        <f t="shared" si="22"/>
        <v>-7.2870854426055186E-3</v>
      </c>
      <c r="D712" s="76">
        <f t="shared" ref="D712:D775" si="23">C712^2</f>
        <v>5.3101614247833267E-5</v>
      </c>
      <c r="E712" s="1"/>
    </row>
    <row r="713" spans="1:5">
      <c r="A713" s="4">
        <v>41467</v>
      </c>
      <c r="B713" s="11">
        <v>30.893732</v>
      </c>
      <c r="C713" s="75">
        <f t="shared" si="22"/>
        <v>-1.6740188100492605E-3</v>
      </c>
      <c r="D713" s="76">
        <f t="shared" si="23"/>
        <v>2.8023389763987422E-6</v>
      </c>
      <c r="E713" s="1"/>
    </row>
    <row r="714" spans="1:5">
      <c r="A714" s="4">
        <v>41466</v>
      </c>
      <c r="B714" s="11">
        <v>30.945492000000002</v>
      </c>
      <c r="C714" s="75">
        <f t="shared" si="22"/>
        <v>1.3471966789461528E-2</v>
      </c>
      <c r="D714" s="76">
        <f t="shared" si="23"/>
        <v>1.8149388917635434E-4</v>
      </c>
      <c r="E714" s="1"/>
    </row>
    <row r="715" spans="1:5">
      <c r="A715" s="4">
        <v>41465</v>
      </c>
      <c r="B715" s="11">
        <v>30.531390999999999</v>
      </c>
      <c r="C715" s="75">
        <f t="shared" si="22"/>
        <v>-5.9163239959126868E-3</v>
      </c>
      <c r="D715" s="76">
        <f t="shared" si="23"/>
        <v>3.500288962461226E-5</v>
      </c>
      <c r="E715" s="1"/>
    </row>
    <row r="716" spans="1:5">
      <c r="A716" s="4">
        <v>41464</v>
      </c>
      <c r="B716" s="11">
        <v>30.71256</v>
      </c>
      <c r="C716" s="75">
        <f t="shared" si="22"/>
        <v>5.6188241069985497E-4</v>
      </c>
      <c r="D716" s="76">
        <f t="shared" si="23"/>
        <v>3.1571184345388051E-7</v>
      </c>
      <c r="E716" s="1"/>
    </row>
    <row r="717" spans="1:5">
      <c r="A717" s="4">
        <v>41463</v>
      </c>
      <c r="B717" s="11">
        <v>30.695308000000001</v>
      </c>
      <c r="C717" s="75">
        <f t="shared" si="22"/>
        <v>5.6370431561434302E-3</v>
      </c>
      <c r="D717" s="76">
        <f t="shared" si="23"/>
        <v>3.1776255544223486E-5</v>
      </c>
      <c r="E717" s="1"/>
    </row>
    <row r="718" spans="1:5">
      <c r="A718" s="4">
        <v>41460</v>
      </c>
      <c r="B718" s="11">
        <v>30.522763999999999</v>
      </c>
      <c r="C718" s="75">
        <f t="shared" si="22"/>
        <v>5.8783116220031233E-3</v>
      </c>
      <c r="D718" s="76">
        <f t="shared" si="23"/>
        <v>3.4554547525376988E-5</v>
      </c>
      <c r="E718" s="1"/>
    </row>
    <row r="719" spans="1:5">
      <c r="A719" s="4">
        <v>41458</v>
      </c>
      <c r="B719" s="11">
        <v>30.343868000000001</v>
      </c>
      <c r="C719" s="75">
        <f t="shared" si="22"/>
        <v>2.5299024073675721E-3</v>
      </c>
      <c r="D719" s="76">
        <f t="shared" si="23"/>
        <v>6.400406190804237E-6</v>
      </c>
      <c r="E719" s="1"/>
    </row>
    <row r="720" spans="1:5">
      <c r="A720" s="4">
        <v>41457</v>
      </c>
      <c r="B720" s="11">
        <v>30.267198</v>
      </c>
      <c r="C720" s="75">
        <f t="shared" si="22"/>
        <v>6.4944207200553902E-3</v>
      </c>
      <c r="D720" s="76">
        <f t="shared" si="23"/>
        <v>4.2177500489084773E-5</v>
      </c>
      <c r="E720" s="1"/>
    </row>
    <row r="721" spans="1:5">
      <c r="A721" s="4">
        <v>41456</v>
      </c>
      <c r="B721" s="11">
        <v>30.071266999999999</v>
      </c>
      <c r="C721" s="75">
        <f t="shared" si="22"/>
        <v>-2.8289316333317931E-3</v>
      </c>
      <c r="D721" s="76">
        <f t="shared" si="23"/>
        <v>8.0028541860652864E-6</v>
      </c>
      <c r="E721" s="1"/>
    </row>
    <row r="722" spans="1:5">
      <c r="A722" s="4">
        <v>41453</v>
      </c>
      <c r="B722" s="11">
        <v>30.156457</v>
      </c>
      <c r="C722" s="75">
        <f t="shared" si="22"/>
        <v>-6.47613368866614E-3</v>
      </c>
      <c r="D722" s="76">
        <f t="shared" si="23"/>
        <v>4.1940307553476503E-5</v>
      </c>
      <c r="E722" s="1"/>
    </row>
    <row r="723" spans="1:5">
      <c r="A723" s="4">
        <v>41452</v>
      </c>
      <c r="B723" s="11">
        <v>30.352388000000001</v>
      </c>
      <c r="C723" s="75">
        <f t="shared" si="22"/>
        <v>8.4554787633091683E-3</v>
      </c>
      <c r="D723" s="76">
        <f t="shared" si="23"/>
        <v>7.1495121116772338E-5</v>
      </c>
      <c r="E723" s="1"/>
    </row>
    <row r="724" spans="1:5">
      <c r="A724" s="4">
        <v>41451</v>
      </c>
      <c r="B724" s="11">
        <v>30.096826</v>
      </c>
      <c r="C724" s="75">
        <f t="shared" si="22"/>
        <v>8.5277180445883522E-3</v>
      </c>
      <c r="D724" s="76">
        <f t="shared" si="23"/>
        <v>7.2721975047997784E-5</v>
      </c>
      <c r="E724" s="1"/>
    </row>
    <row r="725" spans="1:5">
      <c r="A725" s="4">
        <v>41450</v>
      </c>
      <c r="B725" s="11">
        <v>29.841259999999998</v>
      </c>
      <c r="C725" s="75">
        <f t="shared" si="22"/>
        <v>1.6405605039916202E-2</v>
      </c>
      <c r="D725" s="76">
        <f t="shared" si="23"/>
        <v>2.6914387672572393E-4</v>
      </c>
      <c r="E725" s="1"/>
    </row>
    <row r="726" spans="1:5">
      <c r="A726" s="4">
        <v>41449</v>
      </c>
      <c r="B726" s="11">
        <v>29.355689999999999</v>
      </c>
      <c r="C726" s="75">
        <f t="shared" si="22"/>
        <v>-2.9022528698786985E-4</v>
      </c>
      <c r="D726" s="76">
        <f t="shared" si="23"/>
        <v>8.423071720719142E-8</v>
      </c>
      <c r="E726" s="1"/>
    </row>
    <row r="727" spans="1:5">
      <c r="A727" s="4">
        <v>41446</v>
      </c>
      <c r="B727" s="11">
        <v>29.364211000000001</v>
      </c>
      <c r="C727" s="75">
        <f t="shared" si="22"/>
        <v>3.4874548946829103E-3</v>
      </c>
      <c r="D727" s="76">
        <f t="shared" si="23"/>
        <v>1.216234164244779E-5</v>
      </c>
      <c r="E727" s="1"/>
    </row>
    <row r="728" spans="1:5">
      <c r="A728" s="4">
        <v>41445</v>
      </c>
      <c r="B728" s="11">
        <v>29.261983000000001</v>
      </c>
      <c r="C728" s="75">
        <f t="shared" si="22"/>
        <v>-2.5863560178622569E-2</v>
      </c>
      <c r="D728" s="76">
        <f t="shared" si="23"/>
        <v>6.6892374511323108E-4</v>
      </c>
      <c r="E728" s="1"/>
    </row>
    <row r="729" spans="1:5">
      <c r="A729" s="4">
        <v>41444</v>
      </c>
      <c r="B729" s="11">
        <v>30.028673999999999</v>
      </c>
      <c r="C729" s="75">
        <f t="shared" si="22"/>
        <v>-2.5764448730885025E-2</v>
      </c>
      <c r="D729" s="76">
        <f t="shared" si="23"/>
        <v>6.6380681840640294E-4</v>
      </c>
      <c r="E729" s="1"/>
    </row>
    <row r="730" spans="1:5">
      <c r="A730" s="4">
        <v>41443</v>
      </c>
      <c r="B730" s="11">
        <v>30.812398999999999</v>
      </c>
      <c r="C730" s="75">
        <f t="shared" si="22"/>
        <v>1.1400074004230603E-2</v>
      </c>
      <c r="D730" s="76">
        <f t="shared" si="23"/>
        <v>1.2996168730193438E-4</v>
      </c>
      <c r="E730" s="1"/>
    </row>
    <row r="731" spans="1:5">
      <c r="A731" s="4">
        <v>41442</v>
      </c>
      <c r="B731" s="11">
        <v>30.46313</v>
      </c>
      <c r="C731" s="75">
        <f t="shared" si="22"/>
        <v>-4.1859041695969899E-3</v>
      </c>
      <c r="D731" s="76">
        <f t="shared" si="23"/>
        <v>1.7521793717049466E-5</v>
      </c>
      <c r="E731" s="1"/>
    </row>
    <row r="732" spans="1:5">
      <c r="A732" s="4">
        <v>41439</v>
      </c>
      <c r="B732" s="11">
        <v>30.590913</v>
      </c>
      <c r="C732" s="75">
        <f t="shared" si="22"/>
        <v>-1.0801896236924111E-2</v>
      </c>
      <c r="D732" s="76">
        <f t="shared" si="23"/>
        <v>1.1668096231327526E-4</v>
      </c>
      <c r="E732" s="1"/>
    </row>
    <row r="733" spans="1:5">
      <c r="A733" s="4">
        <v>41438</v>
      </c>
      <c r="B733" s="11">
        <v>30.923144000000001</v>
      </c>
      <c r="C733" s="75">
        <f t="shared" si="22"/>
        <v>1.8910446050864095E-2</v>
      </c>
      <c r="D733" s="76">
        <f t="shared" si="23"/>
        <v>3.5760496984264144E-4</v>
      </c>
      <c r="E733" s="1"/>
    </row>
    <row r="734" spans="1:5">
      <c r="A734" s="4">
        <v>41437</v>
      </c>
      <c r="B734" s="11">
        <v>30.343868000000001</v>
      </c>
      <c r="C734" s="75">
        <f t="shared" si="22"/>
        <v>-3.9226456443430691E-3</v>
      </c>
      <c r="D734" s="76">
        <f t="shared" si="23"/>
        <v>1.538714885108365E-5</v>
      </c>
      <c r="E734" s="1"/>
    </row>
    <row r="735" spans="1:5">
      <c r="A735" s="4">
        <v>41436</v>
      </c>
      <c r="B735" s="11">
        <v>30.46313</v>
      </c>
      <c r="C735" s="75">
        <f t="shared" si="22"/>
        <v>-6.4112446990943327E-3</v>
      </c>
      <c r="D735" s="76">
        <f t="shared" si="23"/>
        <v>4.1104058591665182E-5</v>
      </c>
      <c r="E735" s="1"/>
    </row>
    <row r="736" spans="1:5">
      <c r="A736" s="4">
        <v>41435</v>
      </c>
      <c r="B736" s="11">
        <v>30.659064000000001</v>
      </c>
      <c r="C736" s="75">
        <f t="shared" si="22"/>
        <v>1.5117877669532693E-2</v>
      </c>
      <c r="D736" s="76">
        <f t="shared" si="23"/>
        <v>2.2855022523095525E-4</v>
      </c>
      <c r="E736" s="1"/>
    </row>
    <row r="737" spans="1:5">
      <c r="A737" s="4">
        <v>41432</v>
      </c>
      <c r="B737" s="11">
        <v>30.19905</v>
      </c>
      <c r="C737" s="75">
        <f t="shared" si="22"/>
        <v>-1.0103936765365118E-2</v>
      </c>
      <c r="D737" s="76">
        <f t="shared" si="23"/>
        <v>1.0208953815849691E-4</v>
      </c>
      <c r="E737" s="1"/>
    </row>
    <row r="738" spans="1:5">
      <c r="A738" s="4">
        <v>41431</v>
      </c>
      <c r="B738" s="11">
        <v>30.505725999999999</v>
      </c>
      <c r="C738" s="75">
        <f t="shared" si="22"/>
        <v>1.5478089829165678E-2</v>
      </c>
      <c r="D738" s="76">
        <f t="shared" si="23"/>
        <v>2.3957126475972199E-4</v>
      </c>
      <c r="E738" s="1"/>
    </row>
    <row r="739" spans="1:5">
      <c r="A739" s="4">
        <v>41430</v>
      </c>
      <c r="B739" s="11">
        <v>30.037191</v>
      </c>
      <c r="C739" s="75">
        <f t="shared" si="22"/>
        <v>-1.156083349842967E-2</v>
      </c>
      <c r="D739" s="76">
        <f t="shared" si="23"/>
        <v>1.3365287117841362E-4</v>
      </c>
      <c r="E739" s="1"/>
    </row>
    <row r="740" spans="1:5">
      <c r="A740" s="4">
        <v>41429</v>
      </c>
      <c r="B740" s="11">
        <v>30.386461000000001</v>
      </c>
      <c r="C740" s="75">
        <f t="shared" si="22"/>
        <v>1.6963890316676423E-2</v>
      </c>
      <c r="D740" s="76">
        <f t="shared" si="23"/>
        <v>2.8777357467622811E-4</v>
      </c>
      <c r="E740" s="1"/>
    </row>
    <row r="741" spans="1:5">
      <c r="A741" s="4">
        <v>41428</v>
      </c>
      <c r="B741" s="11">
        <v>29.875336000000001</v>
      </c>
      <c r="C741" s="75">
        <f t="shared" si="22"/>
        <v>2.2837181202447067E-3</v>
      </c>
      <c r="D741" s="76">
        <f t="shared" si="23"/>
        <v>5.2153684527340163E-6</v>
      </c>
      <c r="E741" s="1"/>
    </row>
    <row r="742" spans="1:5">
      <c r="A742" s="4">
        <v>41425</v>
      </c>
      <c r="B742" s="11">
        <v>29.807186999999999</v>
      </c>
      <c r="C742" s="75">
        <f t="shared" si="22"/>
        <v>-1.4470342915874769E-2</v>
      </c>
      <c r="D742" s="76">
        <f t="shared" si="23"/>
        <v>2.0939082410300711E-4</v>
      </c>
      <c r="E742" s="1"/>
    </row>
    <row r="743" spans="1:5">
      <c r="A743" s="4">
        <v>41424</v>
      </c>
      <c r="B743" s="11">
        <v>30.241643</v>
      </c>
      <c r="C743" s="75">
        <f t="shared" si="22"/>
        <v>-1.1483122226452459E-2</v>
      </c>
      <c r="D743" s="76">
        <f t="shared" si="23"/>
        <v>1.3186209606764649E-4</v>
      </c>
      <c r="E743" s="1"/>
    </row>
    <row r="744" spans="1:5">
      <c r="A744" s="4">
        <v>41423</v>
      </c>
      <c r="B744" s="11">
        <v>30.590913</v>
      </c>
      <c r="C744" s="75">
        <f t="shared" si="22"/>
        <v>-7.4906761202771987E-3</v>
      </c>
      <c r="D744" s="76">
        <f t="shared" si="23"/>
        <v>5.6110228738891065E-5</v>
      </c>
      <c r="E744" s="1"/>
    </row>
    <row r="745" spans="1:5">
      <c r="A745" s="4">
        <v>41422</v>
      </c>
      <c r="B745" s="11">
        <v>30.820920000000001</v>
      </c>
      <c r="C745" s="75">
        <f t="shared" si="22"/>
        <v>-1.563174410252953E-2</v>
      </c>
      <c r="D745" s="76">
        <f t="shared" si="23"/>
        <v>2.4435142368696671E-4</v>
      </c>
      <c r="E745" s="1"/>
    </row>
    <row r="746" spans="1:5">
      <c r="A746" s="4">
        <v>41418</v>
      </c>
      <c r="B746" s="11">
        <v>31.30649</v>
      </c>
      <c r="C746" s="75">
        <f t="shared" si="22"/>
        <v>2.7212118051786591E-4</v>
      </c>
      <c r="D746" s="76">
        <f t="shared" si="23"/>
        <v>7.4049936886436957E-8</v>
      </c>
      <c r="E746" s="1"/>
    </row>
    <row r="747" spans="1:5">
      <c r="A747" s="4">
        <v>41417</v>
      </c>
      <c r="B747" s="11">
        <v>31.297972000000001</v>
      </c>
      <c r="C747" s="75">
        <f t="shared" si="22"/>
        <v>3.271595804769926E-3</v>
      </c>
      <c r="D747" s="76">
        <f t="shared" si="23"/>
        <v>1.070333910978818E-5</v>
      </c>
      <c r="E747" s="1"/>
    </row>
    <row r="748" spans="1:5">
      <c r="A748" s="4">
        <v>41416</v>
      </c>
      <c r="B748" s="11">
        <v>31.195744999999999</v>
      </c>
      <c r="C748" s="75">
        <f t="shared" si="22"/>
        <v>-8.7004126154367201E-3</v>
      </c>
      <c r="D748" s="76">
        <f t="shared" si="23"/>
        <v>7.5697179678850429E-5</v>
      </c>
      <c r="E748" s="1"/>
    </row>
    <row r="749" spans="1:5">
      <c r="A749" s="4">
        <v>41415</v>
      </c>
      <c r="B749" s="11">
        <v>31.468344999999999</v>
      </c>
      <c r="C749" s="75">
        <f t="shared" si="22"/>
        <v>-7.5513513372365507E-3</v>
      </c>
      <c r="D749" s="76">
        <f t="shared" si="23"/>
        <v>5.7022907018384245E-5</v>
      </c>
      <c r="E749" s="1"/>
    </row>
    <row r="750" spans="1:5">
      <c r="A750" s="4">
        <v>41414</v>
      </c>
      <c r="B750" s="11">
        <v>31.706873000000002</v>
      </c>
      <c r="C750" s="75">
        <f t="shared" si="22"/>
        <v>-5.8933375196504384E-3</v>
      </c>
      <c r="D750" s="76">
        <f t="shared" si="23"/>
        <v>3.4731427120519579E-5</v>
      </c>
      <c r="E750" s="1"/>
    </row>
    <row r="751" spans="1:5">
      <c r="A751" s="4">
        <v>41411</v>
      </c>
      <c r="B751" s="11">
        <v>31.894283999999999</v>
      </c>
      <c r="C751" s="75">
        <f t="shared" si="22"/>
        <v>1.6037982486659045E-3</v>
      </c>
      <c r="D751" s="76">
        <f t="shared" si="23"/>
        <v>2.5721688224238226E-6</v>
      </c>
      <c r="E751" s="1"/>
    </row>
    <row r="752" spans="1:5">
      <c r="A752" s="4">
        <v>41410</v>
      </c>
      <c r="B752" s="11">
        <v>31.843173</v>
      </c>
      <c r="C752" s="75">
        <f t="shared" si="22"/>
        <v>-4.0047612899729666E-3</v>
      </c>
      <c r="D752" s="76">
        <f t="shared" si="23"/>
        <v>1.6038112989665938E-5</v>
      </c>
      <c r="E752" s="1"/>
    </row>
    <row r="753" spans="1:5">
      <c r="A753" s="4">
        <v>41409</v>
      </c>
      <c r="B753" s="11">
        <v>31.970953000000002</v>
      </c>
      <c r="C753" s="75">
        <f t="shared" si="22"/>
        <v>8.0257197929961954E-3</v>
      </c>
      <c r="D753" s="76">
        <f t="shared" si="23"/>
        <v>6.4412178195690889E-5</v>
      </c>
      <c r="E753" s="1"/>
    </row>
    <row r="754" spans="1:5">
      <c r="A754" s="4">
        <v>41408</v>
      </c>
      <c r="B754" s="11">
        <v>31.715389999999999</v>
      </c>
      <c r="C754" s="75">
        <f t="shared" si="22"/>
        <v>6.1969508937936126E-3</v>
      </c>
      <c r="D754" s="76">
        <f t="shared" si="23"/>
        <v>3.8402200380089457E-5</v>
      </c>
      <c r="E754" s="1"/>
    </row>
    <row r="755" spans="1:5">
      <c r="A755" s="4">
        <v>41407</v>
      </c>
      <c r="B755" s="11">
        <v>31.519459000000001</v>
      </c>
      <c r="C755" s="75">
        <f t="shared" si="22"/>
        <v>-9.6827064570674769E-3</v>
      </c>
      <c r="D755" s="76">
        <f t="shared" si="23"/>
        <v>9.3754804333736209E-5</v>
      </c>
      <c r="E755" s="1"/>
    </row>
    <row r="756" spans="1:5">
      <c r="A756" s="4">
        <v>41404</v>
      </c>
      <c r="B756" s="11">
        <v>31.826135000000001</v>
      </c>
      <c r="C756" s="75">
        <f t="shared" si="22"/>
        <v>8.0327898035061377E-4</v>
      </c>
      <c r="D756" s="76">
        <f t="shared" si="23"/>
        <v>6.4525712027312173E-7</v>
      </c>
      <c r="E756" s="1"/>
    </row>
    <row r="757" spans="1:5">
      <c r="A757" s="4">
        <v>41403</v>
      </c>
      <c r="B757" s="11">
        <v>31.80058</v>
      </c>
      <c r="C757" s="75">
        <f t="shared" si="22"/>
        <v>-1.3305156416558014E-2</v>
      </c>
      <c r="D757" s="76">
        <f t="shared" si="23"/>
        <v>1.7702718726907491E-4</v>
      </c>
      <c r="E757" s="1"/>
    </row>
    <row r="758" spans="1:5">
      <c r="A758" s="4">
        <v>41402</v>
      </c>
      <c r="B758" s="11">
        <v>32.226519000000003</v>
      </c>
      <c r="C758" s="75">
        <f t="shared" si="22"/>
        <v>8.2283467612709726E-3</v>
      </c>
      <c r="D758" s="76">
        <f t="shared" si="23"/>
        <v>6.7705690423718498E-5</v>
      </c>
      <c r="E758" s="1"/>
    </row>
    <row r="759" spans="1:5">
      <c r="A759" s="4">
        <v>41401</v>
      </c>
      <c r="B759" s="11">
        <v>31.962436</v>
      </c>
      <c r="C759" s="75">
        <f t="shared" si="22"/>
        <v>1.1526756829119002E-2</v>
      </c>
      <c r="D759" s="76">
        <f t="shared" si="23"/>
        <v>1.3286612299764154E-4</v>
      </c>
      <c r="E759" s="1"/>
    </row>
    <row r="760" spans="1:5">
      <c r="A760" s="4">
        <v>41400</v>
      </c>
      <c r="B760" s="11">
        <v>31.596128</v>
      </c>
      <c r="C760" s="75">
        <f t="shared" si="22"/>
        <v>-6.7177366188530341E-3</v>
      </c>
      <c r="D760" s="76">
        <f t="shared" si="23"/>
        <v>4.5127985280278992E-5</v>
      </c>
      <c r="E760" s="1"/>
    </row>
    <row r="761" spans="1:5">
      <c r="A761" s="4">
        <v>41397</v>
      </c>
      <c r="B761" s="11">
        <v>31.809097000000001</v>
      </c>
      <c r="C761" s="75">
        <f t="shared" si="22"/>
        <v>-5.8745788002603416E-3</v>
      </c>
      <c r="D761" s="76">
        <f t="shared" si="23"/>
        <v>3.4510676080468234E-5</v>
      </c>
      <c r="E761" s="1"/>
    </row>
    <row r="762" spans="1:5">
      <c r="A762" s="4">
        <v>41396</v>
      </c>
      <c r="B762" s="11">
        <v>31.996511999999999</v>
      </c>
      <c r="C762" s="75">
        <f t="shared" si="22"/>
        <v>0</v>
      </c>
      <c r="D762" s="76">
        <f t="shared" si="23"/>
        <v>0</v>
      </c>
      <c r="E762" s="1"/>
    </row>
    <row r="763" spans="1:5">
      <c r="A763" s="4">
        <v>41395</v>
      </c>
      <c r="B763" s="11">
        <v>31.996511999999999</v>
      </c>
      <c r="C763" s="75">
        <f t="shared" si="22"/>
        <v>2.6660284076844886E-3</v>
      </c>
      <c r="D763" s="76">
        <f t="shared" si="23"/>
        <v>7.1077074705806893E-6</v>
      </c>
      <c r="E763" s="1"/>
    </row>
    <row r="764" spans="1:5">
      <c r="A764" s="4">
        <v>41394</v>
      </c>
      <c r="B764" s="11">
        <v>31.911321999999998</v>
      </c>
      <c r="C764" s="75">
        <f t="shared" si="22"/>
        <v>4.2803590076182559E-3</v>
      </c>
      <c r="D764" s="76">
        <f t="shared" si="23"/>
        <v>1.8321473234098741E-5</v>
      </c>
      <c r="E764" s="1"/>
    </row>
    <row r="765" spans="1:5">
      <c r="A765" s="4">
        <v>41393</v>
      </c>
      <c r="B765" s="11">
        <v>31.775022</v>
      </c>
      <c r="C765" s="75">
        <f t="shared" si="22"/>
        <v>6.9948823587623506E-3</v>
      </c>
      <c r="D765" s="76">
        <f t="shared" si="23"/>
        <v>4.8928379212924743E-5</v>
      </c>
      <c r="E765" s="1"/>
    </row>
    <row r="766" spans="1:5">
      <c r="A766" s="4">
        <v>41390</v>
      </c>
      <c r="B766" s="11">
        <v>31.553535</v>
      </c>
      <c r="C766" s="75">
        <f t="shared" si="22"/>
        <v>-6.4585312089853178E-3</v>
      </c>
      <c r="D766" s="76">
        <f t="shared" si="23"/>
        <v>4.1712625377437352E-5</v>
      </c>
      <c r="E766" s="1"/>
    </row>
    <row r="767" spans="1:5">
      <c r="A767" s="4">
        <v>41389</v>
      </c>
      <c r="B767" s="11">
        <v>31.757984</v>
      </c>
      <c r="C767" s="75">
        <f t="shared" si="22"/>
        <v>6.4585312089853221E-3</v>
      </c>
      <c r="D767" s="76">
        <f t="shared" si="23"/>
        <v>4.1712625377437406E-5</v>
      </c>
      <c r="E767" s="1"/>
    </row>
    <row r="768" spans="1:5">
      <c r="A768" s="4">
        <v>41388</v>
      </c>
      <c r="B768" s="11">
        <v>31.553535</v>
      </c>
      <c r="C768" s="75">
        <f t="shared" si="22"/>
        <v>-5.156322136695949E-2</v>
      </c>
      <c r="D768" s="76">
        <f t="shared" si="23"/>
        <v>2.6587657977380679E-3</v>
      </c>
      <c r="E768" s="1"/>
    </row>
    <row r="769" spans="1:5">
      <c r="A769" s="4">
        <v>41387</v>
      </c>
      <c r="B769" s="11">
        <v>33.223213999999999</v>
      </c>
      <c r="C769" s="75">
        <f t="shared" si="22"/>
        <v>6.9471869690345099E-3</v>
      </c>
      <c r="D769" s="76">
        <f t="shared" si="23"/>
        <v>4.8263406782722898E-5</v>
      </c>
      <c r="E769" s="1"/>
    </row>
    <row r="770" spans="1:5">
      <c r="A770" s="4">
        <v>41386</v>
      </c>
      <c r="B770" s="11">
        <v>32.993206000000001</v>
      </c>
      <c r="C770" s="75">
        <f t="shared" si="22"/>
        <v>1.1686934186678008E-2</v>
      </c>
      <c r="D770" s="76">
        <f t="shared" si="23"/>
        <v>1.3658443068374315E-4</v>
      </c>
      <c r="E770" s="1"/>
    </row>
    <row r="771" spans="1:5">
      <c r="A771" s="4">
        <v>41383</v>
      </c>
      <c r="B771" s="11">
        <v>32.609861000000002</v>
      </c>
      <c r="C771" s="75">
        <f t="shared" si="22"/>
        <v>1.4206942253092311E-2</v>
      </c>
      <c r="D771" s="76">
        <f t="shared" si="23"/>
        <v>2.0183720818269963E-4</v>
      </c>
      <c r="E771" s="1"/>
    </row>
    <row r="772" spans="1:5">
      <c r="A772" s="4">
        <v>41382</v>
      </c>
      <c r="B772" s="11">
        <v>32.149850000000001</v>
      </c>
      <c r="C772" s="75">
        <f t="shared" si="22"/>
        <v>-1.0592260371619245E-3</v>
      </c>
      <c r="D772" s="76">
        <f t="shared" si="23"/>
        <v>1.1219597978017546E-6</v>
      </c>
      <c r="E772" s="1"/>
    </row>
    <row r="773" spans="1:5">
      <c r="A773" s="4">
        <v>41381</v>
      </c>
      <c r="B773" s="11">
        <v>32.183922000000003</v>
      </c>
      <c r="C773" s="75">
        <f t="shared" si="22"/>
        <v>-4.2261223015204324E-3</v>
      </c>
      <c r="D773" s="76">
        <f t="shared" si="23"/>
        <v>1.7860109707408358E-5</v>
      </c>
      <c r="E773" s="1"/>
    </row>
    <row r="774" spans="1:5">
      <c r="A774" s="4">
        <v>41380</v>
      </c>
      <c r="B774" s="11">
        <v>32.320222999999999</v>
      </c>
      <c r="C774" s="75">
        <f t="shared" si="22"/>
        <v>-2.6357730297903246E-4</v>
      </c>
      <c r="D774" s="76">
        <f t="shared" si="23"/>
        <v>6.9472994645700674E-8</v>
      </c>
      <c r="E774" s="1"/>
    </row>
    <row r="775" spans="1:5">
      <c r="A775" s="4">
        <v>41379</v>
      </c>
      <c r="B775" s="11">
        <v>32.328743000000003</v>
      </c>
      <c r="C775" s="75">
        <f t="shared" ref="C775:C838" si="24">LN(B775/B776)</f>
        <v>-1.6723657624467293E-2</v>
      </c>
      <c r="D775" s="76">
        <f t="shared" si="23"/>
        <v>2.7968072434040301E-4</v>
      </c>
      <c r="E775" s="1"/>
    </row>
    <row r="776" spans="1:5">
      <c r="A776" s="4">
        <v>41376</v>
      </c>
      <c r="B776" s="11">
        <v>32.873944000000002</v>
      </c>
      <c r="C776" s="75">
        <f t="shared" si="24"/>
        <v>1.2964862562791742E-3</v>
      </c>
      <c r="D776" s="76">
        <f t="shared" ref="D776:D839" si="25">C776^2</f>
        <v>1.6808766127207886E-6</v>
      </c>
      <c r="E776" s="1"/>
    </row>
    <row r="777" spans="1:5">
      <c r="A777" s="4">
        <v>41375</v>
      </c>
      <c r="B777" s="11">
        <v>32.831350999999998</v>
      </c>
      <c r="C777" s="75">
        <f t="shared" si="24"/>
        <v>9.3848500176930572E-3</v>
      </c>
      <c r="D777" s="76">
        <f t="shared" si="25"/>
        <v>8.8075409854593379E-5</v>
      </c>
      <c r="E777" s="1"/>
    </row>
    <row r="778" spans="1:5">
      <c r="A778" s="4">
        <v>41374</v>
      </c>
      <c r="B778" s="11">
        <v>32.524675000000002</v>
      </c>
      <c r="C778" s="75">
        <f t="shared" si="24"/>
        <v>1.1061555904350975E-2</v>
      </c>
      <c r="D778" s="76">
        <f t="shared" si="25"/>
        <v>1.2235801902508192E-4</v>
      </c>
      <c r="E778" s="1"/>
    </row>
    <row r="779" spans="1:5">
      <c r="A779" s="4">
        <v>41373</v>
      </c>
      <c r="B779" s="11">
        <v>32.166884000000003</v>
      </c>
      <c r="C779" s="75">
        <f t="shared" si="24"/>
        <v>3.7144920845748708E-3</v>
      </c>
      <c r="D779" s="76">
        <f t="shared" si="25"/>
        <v>1.3797451446369369E-5</v>
      </c>
      <c r="E779" s="1"/>
    </row>
    <row r="780" spans="1:5">
      <c r="A780" s="4">
        <v>41372</v>
      </c>
      <c r="B780" s="11">
        <v>32.047621999999997</v>
      </c>
      <c r="C780" s="75">
        <f t="shared" si="24"/>
        <v>1.3299373441380438E-3</v>
      </c>
      <c r="D780" s="76">
        <f t="shared" si="25"/>
        <v>1.7687333393329536E-6</v>
      </c>
      <c r="E780" s="1"/>
    </row>
    <row r="781" spans="1:5">
      <c r="A781" s="4">
        <v>41369</v>
      </c>
      <c r="B781" s="11">
        <v>32.005029</v>
      </c>
      <c r="C781" s="75">
        <f t="shared" si="24"/>
        <v>2.8974262988742221E-3</v>
      </c>
      <c r="D781" s="76">
        <f t="shared" si="25"/>
        <v>8.3950791574079726E-6</v>
      </c>
      <c r="E781" s="1"/>
    </row>
    <row r="782" spans="1:5">
      <c r="A782" s="4">
        <v>41368</v>
      </c>
      <c r="B782" s="11">
        <v>31.912431000000002</v>
      </c>
      <c r="C782" s="75">
        <f t="shared" si="24"/>
        <v>1.6757953731248217E-2</v>
      </c>
      <c r="D782" s="76">
        <f t="shared" si="25"/>
        <v>2.8082901325865607E-4</v>
      </c>
      <c r="E782" s="1"/>
    </row>
    <row r="783" spans="1:5">
      <c r="A783" s="4">
        <v>41367</v>
      </c>
      <c r="B783" s="11">
        <v>31.382100000000001</v>
      </c>
      <c r="C783" s="75">
        <f t="shared" si="24"/>
        <v>-7.7488883261857032E-3</v>
      </c>
      <c r="D783" s="76">
        <f t="shared" si="25"/>
        <v>6.004527029169707E-5</v>
      </c>
      <c r="E783" s="1"/>
    </row>
    <row r="784" spans="1:5">
      <c r="A784" s="4">
        <v>41366</v>
      </c>
      <c r="B784" s="11">
        <v>31.626221000000001</v>
      </c>
      <c r="C784" s="75">
        <f t="shared" si="24"/>
        <v>8.553906662364651E-3</v>
      </c>
      <c r="D784" s="76">
        <f t="shared" si="25"/>
        <v>7.3169319188446362E-5</v>
      </c>
      <c r="E784" s="1"/>
    </row>
    <row r="785" spans="1:5">
      <c r="A785" s="4">
        <v>41365</v>
      </c>
      <c r="B785" s="11">
        <v>31.356846999999998</v>
      </c>
      <c r="C785" s="75">
        <f t="shared" si="24"/>
        <v>1.5147740513648851E-2</v>
      </c>
      <c r="D785" s="76">
        <f t="shared" si="25"/>
        <v>2.2945404266883873E-4</v>
      </c>
      <c r="E785" s="1"/>
    </row>
    <row r="786" spans="1:5">
      <c r="A786" s="4">
        <v>41361</v>
      </c>
      <c r="B786" s="11">
        <v>30.885441</v>
      </c>
      <c r="C786" s="75">
        <f t="shared" si="24"/>
        <v>1.909679121265612E-3</v>
      </c>
      <c r="D786" s="76">
        <f t="shared" si="25"/>
        <v>3.6468743461978001E-6</v>
      </c>
      <c r="E786" s="1"/>
    </row>
    <row r="787" spans="1:5">
      <c r="A787" s="4">
        <v>41360</v>
      </c>
      <c r="B787" s="11">
        <v>30.826516000000002</v>
      </c>
      <c r="C787" s="75">
        <f t="shared" si="24"/>
        <v>-3.2715940650785893E-3</v>
      </c>
      <c r="D787" s="76">
        <f t="shared" si="25"/>
        <v>1.0703327726657448E-5</v>
      </c>
      <c r="E787" s="1"/>
    </row>
    <row r="788" spans="1:5">
      <c r="A788" s="4">
        <v>41359</v>
      </c>
      <c r="B788" s="11">
        <v>30.927533</v>
      </c>
      <c r="C788" s="75">
        <f t="shared" si="24"/>
        <v>9.5721300491086979E-3</v>
      </c>
      <c r="D788" s="76">
        <f t="shared" si="25"/>
        <v>9.1625673677049683E-5</v>
      </c>
      <c r="E788" s="1"/>
    </row>
    <row r="789" spans="1:5">
      <c r="A789" s="4">
        <v>41358</v>
      </c>
      <c r="B789" s="11">
        <v>30.632902999999999</v>
      </c>
      <c r="C789" s="75">
        <f t="shared" si="24"/>
        <v>-1.0986391380900492E-3</v>
      </c>
      <c r="D789" s="76">
        <f t="shared" si="25"/>
        <v>1.207007955743246E-6</v>
      </c>
      <c r="E789" s="1"/>
    </row>
    <row r="790" spans="1:5">
      <c r="A790" s="4">
        <v>41355</v>
      </c>
      <c r="B790" s="11">
        <v>30.666575999999999</v>
      </c>
      <c r="C790" s="75">
        <f t="shared" si="24"/>
        <v>7.7156467021398216E-3</v>
      </c>
      <c r="D790" s="76">
        <f t="shared" si="25"/>
        <v>5.9531204032241104E-5</v>
      </c>
      <c r="E790" s="1"/>
    </row>
    <row r="791" spans="1:5">
      <c r="A791" s="4">
        <v>41354</v>
      </c>
      <c r="B791" s="11">
        <v>30.430873999999999</v>
      </c>
      <c r="C791" s="75">
        <f t="shared" si="24"/>
        <v>-1.1058304396940441E-3</v>
      </c>
      <c r="D791" s="76">
        <f t="shared" si="25"/>
        <v>1.2228609613539229E-6</v>
      </c>
      <c r="E791" s="1"/>
    </row>
    <row r="792" spans="1:5">
      <c r="A792" s="4">
        <v>41353</v>
      </c>
      <c r="B792" s="11">
        <v>30.464544</v>
      </c>
      <c r="C792" s="75">
        <f t="shared" si="24"/>
        <v>1.3825285330297653E-3</v>
      </c>
      <c r="D792" s="76">
        <f t="shared" si="25"/>
        <v>1.9113851446414351E-6</v>
      </c>
      <c r="E792" s="1"/>
    </row>
    <row r="793" spans="1:5">
      <c r="A793" s="4">
        <v>41352</v>
      </c>
      <c r="B793" s="11">
        <v>30.422454999999999</v>
      </c>
      <c r="C793" s="75">
        <f t="shared" si="24"/>
        <v>-2.7669809333562962E-4</v>
      </c>
      <c r="D793" s="76">
        <f t="shared" si="25"/>
        <v>7.6561834855572801E-8</v>
      </c>
      <c r="E793" s="1"/>
    </row>
    <row r="794" spans="1:5">
      <c r="A794" s="4">
        <v>41351</v>
      </c>
      <c r="B794" s="11">
        <v>30.430873999999999</v>
      </c>
      <c r="C794" s="75">
        <f t="shared" si="24"/>
        <v>-7.7156467021398962E-3</v>
      </c>
      <c r="D794" s="76">
        <f t="shared" si="25"/>
        <v>5.9531204032242256E-5</v>
      </c>
      <c r="E794" s="1"/>
    </row>
    <row r="795" spans="1:5">
      <c r="A795" s="4">
        <v>41348</v>
      </c>
      <c r="B795" s="11">
        <v>30.666575999999999</v>
      </c>
      <c r="C795" s="75">
        <f t="shared" si="24"/>
        <v>-1.1734352084904349E-2</v>
      </c>
      <c r="D795" s="76">
        <f t="shared" si="25"/>
        <v>1.3769501885249906E-4</v>
      </c>
      <c r="E795" s="1"/>
    </row>
    <row r="796" spans="1:5">
      <c r="A796" s="4">
        <v>41347</v>
      </c>
      <c r="B796" s="11">
        <v>31.028548000000001</v>
      </c>
      <c r="C796" s="75">
        <f t="shared" si="24"/>
        <v>7.0787900806525868E-3</v>
      </c>
      <c r="D796" s="76">
        <f t="shared" si="25"/>
        <v>5.0109269005945453E-5</v>
      </c>
      <c r="E796" s="1"/>
    </row>
    <row r="797" spans="1:5">
      <c r="A797" s="4">
        <v>41346</v>
      </c>
      <c r="B797" s="11">
        <v>30.809678999999999</v>
      </c>
      <c r="C797" s="75">
        <f t="shared" si="24"/>
        <v>-3.2734113675039686E-3</v>
      </c>
      <c r="D797" s="76">
        <f t="shared" si="25"/>
        <v>1.0715221980904202E-5</v>
      </c>
      <c r="E797" s="1"/>
    </row>
    <row r="798" spans="1:5">
      <c r="A798" s="4">
        <v>41345</v>
      </c>
      <c r="B798" s="11">
        <v>30.910696999999999</v>
      </c>
      <c r="C798" s="75">
        <f t="shared" si="24"/>
        <v>3.2734113675040033E-3</v>
      </c>
      <c r="D798" s="76">
        <f t="shared" si="25"/>
        <v>1.0715221980904429E-5</v>
      </c>
      <c r="E798" s="1"/>
    </row>
    <row r="799" spans="1:5">
      <c r="A799" s="4">
        <v>41344</v>
      </c>
      <c r="B799" s="11">
        <v>30.809678999999999</v>
      </c>
      <c r="C799" s="75">
        <f t="shared" si="24"/>
        <v>-2.1834535963263469E-3</v>
      </c>
      <c r="D799" s="76">
        <f t="shared" si="25"/>
        <v>4.767469607310458E-6</v>
      </c>
      <c r="E799" s="1"/>
    </row>
    <row r="800" spans="1:5">
      <c r="A800" s="4">
        <v>41341</v>
      </c>
      <c r="B800" s="11">
        <v>30.877023999999999</v>
      </c>
      <c r="C800" s="75">
        <f t="shared" si="24"/>
        <v>7.9376547386681429E-3</v>
      </c>
      <c r="D800" s="76">
        <f t="shared" si="25"/>
        <v>6.3006362750300826E-5</v>
      </c>
      <c r="E800" s="1"/>
    </row>
    <row r="801" spans="1:5">
      <c r="A801" s="4">
        <v>41340</v>
      </c>
      <c r="B801" s="11">
        <v>30.632902999999999</v>
      </c>
      <c r="C801" s="75">
        <f t="shared" si="24"/>
        <v>2.7517428309338475E-3</v>
      </c>
      <c r="D801" s="76">
        <f t="shared" si="25"/>
        <v>7.5720886075958256E-6</v>
      </c>
      <c r="E801" s="1"/>
    </row>
    <row r="802" spans="1:5">
      <c r="A802" s="4">
        <v>41339</v>
      </c>
      <c r="B802" s="11">
        <v>30.548725000000001</v>
      </c>
      <c r="C802" s="75">
        <f t="shared" si="24"/>
        <v>-8.5059439732756807E-3</v>
      </c>
      <c r="D802" s="76">
        <f t="shared" si="25"/>
        <v>7.2351082876504879E-5</v>
      </c>
      <c r="E802" s="1"/>
    </row>
    <row r="803" spans="1:5">
      <c r="A803" s="4">
        <v>41338</v>
      </c>
      <c r="B803" s="11">
        <v>30.809678999999999</v>
      </c>
      <c r="C803" s="75">
        <f t="shared" si="24"/>
        <v>1.0160703759697718E-2</v>
      </c>
      <c r="D803" s="76">
        <f t="shared" si="25"/>
        <v>1.0323990089233535E-4</v>
      </c>
      <c r="E803" s="1"/>
    </row>
    <row r="804" spans="1:5">
      <c r="A804" s="4">
        <v>41337</v>
      </c>
      <c r="B804" s="11">
        <v>30.498215999999999</v>
      </c>
      <c r="C804" s="75">
        <f t="shared" si="24"/>
        <v>6.0908669096367907E-3</v>
      </c>
      <c r="D804" s="76">
        <f t="shared" si="25"/>
        <v>3.7098659710908429E-5</v>
      </c>
      <c r="E804" s="1"/>
    </row>
    <row r="805" spans="1:5">
      <c r="A805" s="4">
        <v>41334</v>
      </c>
      <c r="B805" s="11">
        <v>30.313020000000002</v>
      </c>
      <c r="C805" s="75">
        <f t="shared" si="24"/>
        <v>2.7808214503040108E-3</v>
      </c>
      <c r="D805" s="76">
        <f t="shared" si="25"/>
        <v>7.7329679384709027E-6</v>
      </c>
      <c r="E805" s="1"/>
    </row>
    <row r="806" spans="1:5">
      <c r="A806" s="4">
        <v>41333</v>
      </c>
      <c r="B806" s="11">
        <v>30.228842</v>
      </c>
      <c r="C806" s="75">
        <f t="shared" si="24"/>
        <v>1.6722851803900294E-3</v>
      </c>
      <c r="D806" s="76">
        <f t="shared" si="25"/>
        <v>2.7965377245521133E-6</v>
      </c>
      <c r="E806" s="1"/>
    </row>
    <row r="807" spans="1:5">
      <c r="A807" s="4">
        <v>41332</v>
      </c>
      <c r="B807" s="11">
        <v>30.178332999999999</v>
      </c>
      <c r="C807" s="75">
        <f t="shared" si="24"/>
        <v>1.0092499241512308E-2</v>
      </c>
      <c r="D807" s="76">
        <f t="shared" si="25"/>
        <v>1.0185854093992652E-4</v>
      </c>
      <c r="E807" s="1"/>
    </row>
    <row r="808" spans="1:5">
      <c r="A808" s="4">
        <v>41331</v>
      </c>
      <c r="B808" s="11">
        <v>29.87529</v>
      </c>
      <c r="C808" s="75">
        <f t="shared" si="24"/>
        <v>8.4891038714630489E-3</v>
      </c>
      <c r="D808" s="76">
        <f t="shared" si="25"/>
        <v>7.206488454048893E-5</v>
      </c>
      <c r="E808" s="1"/>
    </row>
    <row r="809" spans="1:5">
      <c r="A809" s="4">
        <v>41330</v>
      </c>
      <c r="B809" s="11">
        <v>29.622748999999999</v>
      </c>
      <c r="C809" s="75">
        <f t="shared" si="24"/>
        <v>-1.3828412559380946E-2</v>
      </c>
      <c r="D809" s="76">
        <f t="shared" si="25"/>
        <v>1.9122499391244468E-4</v>
      </c>
      <c r="E809" s="1"/>
    </row>
    <row r="810" spans="1:5">
      <c r="A810" s="4">
        <v>41327</v>
      </c>
      <c r="B810" s="11">
        <v>30.035229999999999</v>
      </c>
      <c r="C810" s="75">
        <f t="shared" si="24"/>
        <v>7.0314008816221105E-3</v>
      </c>
      <c r="D810" s="76">
        <f t="shared" si="25"/>
        <v>4.9440598358076196E-5</v>
      </c>
      <c r="E810" s="1"/>
    </row>
    <row r="811" spans="1:5">
      <c r="A811" s="4">
        <v>41326</v>
      </c>
      <c r="B811" s="11">
        <v>29.824781000000002</v>
      </c>
      <c r="C811" s="75">
        <f t="shared" si="24"/>
        <v>-1.1283906970822731E-3</v>
      </c>
      <c r="D811" s="76">
        <f t="shared" si="25"/>
        <v>1.2732655652618184E-6</v>
      </c>
      <c r="E811" s="1"/>
    </row>
    <row r="812" spans="1:5">
      <c r="A812" s="4">
        <v>41325</v>
      </c>
      <c r="B812" s="11">
        <v>29.858453999999998</v>
      </c>
      <c r="C812" s="75">
        <f t="shared" si="24"/>
        <v>-5.6226334256035265E-3</v>
      </c>
      <c r="D812" s="76">
        <f t="shared" si="25"/>
        <v>3.1614006638714046E-5</v>
      </c>
      <c r="E812" s="1"/>
    </row>
    <row r="813" spans="1:5">
      <c r="A813" s="4">
        <v>41324</v>
      </c>
      <c r="B813" s="11">
        <v>30.026810000000001</v>
      </c>
      <c r="C813" s="75">
        <f t="shared" si="24"/>
        <v>8.7286844455760418E-3</v>
      </c>
      <c r="D813" s="76">
        <f t="shared" si="25"/>
        <v>7.618993215044113E-5</v>
      </c>
      <c r="E813" s="1"/>
    </row>
    <row r="814" spans="1:5">
      <c r="A814" s="4">
        <v>41320</v>
      </c>
      <c r="B814" s="11">
        <v>29.765855999999999</v>
      </c>
      <c r="C814" s="75">
        <f t="shared" si="24"/>
        <v>1.9816128769383503E-3</v>
      </c>
      <c r="D814" s="76">
        <f t="shared" si="25"/>
        <v>3.9267895940478857E-6</v>
      </c>
      <c r="E814" s="1"/>
    </row>
    <row r="815" spans="1:5">
      <c r="A815" s="4">
        <v>41319</v>
      </c>
      <c r="B815" s="11">
        <v>29.70693</v>
      </c>
      <c r="C815" s="75">
        <f t="shared" si="24"/>
        <v>-3.676917772900678E-3</v>
      </c>
      <c r="D815" s="76">
        <f t="shared" si="25"/>
        <v>1.3519724308672881E-5</v>
      </c>
      <c r="E815" s="1"/>
    </row>
    <row r="816" spans="1:5">
      <c r="A816" s="4">
        <v>41318</v>
      </c>
      <c r="B816" s="11">
        <v>29.816361000000001</v>
      </c>
      <c r="C816" s="75">
        <f t="shared" si="24"/>
        <v>-5.0690385708818363E-3</v>
      </c>
      <c r="D816" s="76">
        <f t="shared" si="25"/>
        <v>2.569515203308777E-5</v>
      </c>
      <c r="E816" s="1"/>
    </row>
    <row r="817" spans="1:5">
      <c r="A817" s="4">
        <v>41317</v>
      </c>
      <c r="B817" s="11">
        <v>29.967884999999999</v>
      </c>
      <c r="C817" s="75">
        <f t="shared" si="24"/>
        <v>1.0447612685146846E-2</v>
      </c>
      <c r="D817" s="76">
        <f t="shared" si="25"/>
        <v>1.0915261081884128E-4</v>
      </c>
      <c r="E817" s="1"/>
    </row>
    <row r="818" spans="1:5">
      <c r="A818" s="4">
        <v>41316</v>
      </c>
      <c r="B818" s="11">
        <v>29.656421999999999</v>
      </c>
      <c r="C818" s="75">
        <f t="shared" si="24"/>
        <v>-1.1347592371968491E-3</v>
      </c>
      <c r="D818" s="76">
        <f t="shared" si="25"/>
        <v>1.287678526403575E-6</v>
      </c>
      <c r="E818" s="1"/>
    </row>
    <row r="819" spans="1:5">
      <c r="A819" s="4">
        <v>41313</v>
      </c>
      <c r="B819" s="11">
        <v>29.690093999999998</v>
      </c>
      <c r="C819" s="75">
        <f t="shared" si="24"/>
        <v>0</v>
      </c>
      <c r="D819" s="76">
        <f t="shared" si="25"/>
        <v>0</v>
      </c>
      <c r="E819" s="1"/>
    </row>
    <row r="820" spans="1:5">
      <c r="A820" s="4">
        <v>41312</v>
      </c>
      <c r="B820" s="11">
        <v>29.690093999999998</v>
      </c>
      <c r="C820" s="75">
        <f t="shared" si="24"/>
        <v>-4.526170303996194E-3</v>
      </c>
      <c r="D820" s="76">
        <f t="shared" si="25"/>
        <v>2.0486217620777E-5</v>
      </c>
      <c r="E820" s="1"/>
    </row>
    <row r="821" spans="1:5">
      <c r="A821" s="4">
        <v>41311</v>
      </c>
      <c r="B821" s="11">
        <v>29.824781000000002</v>
      </c>
      <c r="C821" s="75">
        <f t="shared" si="24"/>
        <v>2.2605747845489267E-3</v>
      </c>
      <c r="D821" s="76">
        <f t="shared" si="25"/>
        <v>5.110198356538426E-6</v>
      </c>
      <c r="E821" s="1"/>
    </row>
    <row r="822" spans="1:5">
      <c r="A822" s="4">
        <v>41310</v>
      </c>
      <c r="B822" s="11">
        <v>29.757435999999998</v>
      </c>
      <c r="C822" s="75">
        <f t="shared" si="24"/>
        <v>3.4003547566442572E-3</v>
      </c>
      <c r="D822" s="76">
        <f t="shared" si="25"/>
        <v>1.1562412471033225E-5</v>
      </c>
      <c r="E822" s="1"/>
    </row>
    <row r="823" spans="1:5">
      <c r="A823" s="4">
        <v>41309</v>
      </c>
      <c r="B823" s="11">
        <v>29.656421999999999</v>
      </c>
      <c r="C823" s="75">
        <f t="shared" si="24"/>
        <v>-7.9163052902714304E-3</v>
      </c>
      <c r="D823" s="76">
        <f t="shared" si="25"/>
        <v>6.2667889448779441E-5</v>
      </c>
      <c r="E823" s="1"/>
    </row>
    <row r="824" spans="1:5">
      <c r="A824" s="4">
        <v>41306</v>
      </c>
      <c r="B824" s="11">
        <v>29.892123000000002</v>
      </c>
      <c r="C824" s="75">
        <f t="shared" si="24"/>
        <v>2.048428792220033E-2</v>
      </c>
      <c r="D824" s="76">
        <f t="shared" si="25"/>
        <v>4.1960605167960232E-4</v>
      </c>
      <c r="E824" s="1"/>
    </row>
    <row r="825" spans="1:5">
      <c r="A825" s="4">
        <v>41305</v>
      </c>
      <c r="B825" s="11">
        <v>29.286033</v>
      </c>
      <c r="C825" s="75">
        <f t="shared" si="24"/>
        <v>8.9505669377926301E-3</v>
      </c>
      <c r="D825" s="76">
        <f t="shared" si="25"/>
        <v>8.0112648507906536E-5</v>
      </c>
      <c r="E825" s="1"/>
    </row>
    <row r="826" spans="1:5">
      <c r="A826" s="4">
        <v>41304</v>
      </c>
      <c r="B826" s="11">
        <v>29.025075999999999</v>
      </c>
      <c r="C826" s="75">
        <f t="shared" si="24"/>
        <v>-5.7837092164237727E-3</v>
      </c>
      <c r="D826" s="76">
        <f t="shared" si="25"/>
        <v>3.3451292300145292E-5</v>
      </c>
      <c r="E826" s="1"/>
    </row>
    <row r="827" spans="1:5">
      <c r="A827" s="4">
        <v>41303</v>
      </c>
      <c r="B827" s="11">
        <v>29.193435000000001</v>
      </c>
      <c r="C827" s="75">
        <f t="shared" si="24"/>
        <v>1.5986354097118984E-2</v>
      </c>
      <c r="D827" s="76">
        <f t="shared" si="25"/>
        <v>2.5556351731847294E-4</v>
      </c>
      <c r="E827" s="1"/>
    </row>
    <row r="828" spans="1:5">
      <c r="A828" s="4">
        <v>41302</v>
      </c>
      <c r="B828" s="11">
        <v>28.730449</v>
      </c>
      <c r="C828" s="75">
        <f t="shared" si="24"/>
        <v>3.2281967712340632E-3</v>
      </c>
      <c r="D828" s="76">
        <f t="shared" si="25"/>
        <v>1.0421254393806031E-5</v>
      </c>
      <c r="E828" s="1"/>
    </row>
    <row r="829" spans="1:5">
      <c r="A829" s="4">
        <v>41299</v>
      </c>
      <c r="B829" s="11">
        <v>28.637851000000001</v>
      </c>
      <c r="C829" s="75">
        <f t="shared" si="24"/>
        <v>7.9681861308607081E-3</v>
      </c>
      <c r="D829" s="76">
        <f t="shared" si="25"/>
        <v>6.3491990216040938E-5</v>
      </c>
      <c r="E829" s="1"/>
    </row>
    <row r="830" spans="1:5">
      <c r="A830" s="4">
        <v>41298</v>
      </c>
      <c r="B830" s="11">
        <v>28.410565999999999</v>
      </c>
      <c r="C830" s="75">
        <f t="shared" si="24"/>
        <v>-8.8846464594580644E-4</v>
      </c>
      <c r="D830" s="76">
        <f t="shared" si="25"/>
        <v>7.8936942709560722E-7</v>
      </c>
      <c r="E830" s="1"/>
    </row>
    <row r="831" spans="1:5">
      <c r="A831" s="4">
        <v>41297</v>
      </c>
      <c r="B831" s="11">
        <v>28.435818999999999</v>
      </c>
      <c r="C831" s="75">
        <f t="shared" si="24"/>
        <v>5.0452318599189441E-3</v>
      </c>
      <c r="D831" s="76">
        <f t="shared" si="25"/>
        <v>2.5454364520341169E-5</v>
      </c>
      <c r="E831" s="1"/>
    </row>
    <row r="832" spans="1:5">
      <c r="A832" s="4">
        <v>41296</v>
      </c>
      <c r="B832" s="11">
        <v>28.292715000000001</v>
      </c>
      <c r="C832" s="75">
        <f t="shared" si="24"/>
        <v>5.0708864025814163E-3</v>
      </c>
      <c r="D832" s="76">
        <f t="shared" si="25"/>
        <v>2.5713888907885097E-5</v>
      </c>
      <c r="E832" s="1"/>
    </row>
    <row r="833" spans="1:5">
      <c r="A833" s="4">
        <v>41292</v>
      </c>
      <c r="B833" s="11">
        <v>28.149609000000002</v>
      </c>
      <c r="C833" s="75">
        <f t="shared" si="24"/>
        <v>7.2028519452580226E-3</v>
      </c>
      <c r="D833" s="76">
        <f t="shared" si="25"/>
        <v>5.1881076145307277E-5</v>
      </c>
      <c r="E833" s="1"/>
    </row>
    <row r="834" spans="1:5">
      <c r="A834" s="4">
        <v>41291</v>
      </c>
      <c r="B834" s="11">
        <v>27.947579999999999</v>
      </c>
      <c r="C834" s="75">
        <f t="shared" si="24"/>
        <v>-1.8055023108527401E-3</v>
      </c>
      <c r="D834" s="76">
        <f t="shared" si="25"/>
        <v>3.2598385944945844E-6</v>
      </c>
      <c r="E834" s="1"/>
    </row>
    <row r="835" spans="1:5">
      <c r="A835" s="4">
        <v>41290</v>
      </c>
      <c r="B835" s="11">
        <v>27.998085</v>
      </c>
      <c r="C835" s="75">
        <f t="shared" si="24"/>
        <v>-1.4921222390814403E-2</v>
      </c>
      <c r="D835" s="76">
        <f t="shared" si="25"/>
        <v>2.2264287763614109E-4</v>
      </c>
      <c r="E835" s="1"/>
    </row>
    <row r="836" spans="1:5">
      <c r="A836" s="4">
        <v>41289</v>
      </c>
      <c r="B836" s="11">
        <v>28.418983000000001</v>
      </c>
      <c r="C836" s="75">
        <f t="shared" si="24"/>
        <v>-7.6719669910062776E-3</v>
      </c>
      <c r="D836" s="76">
        <f t="shared" si="25"/>
        <v>5.885907751108992E-5</v>
      </c>
      <c r="E836" s="1"/>
    </row>
    <row r="837" spans="1:5">
      <c r="A837" s="4">
        <v>41288</v>
      </c>
      <c r="B837" s="11">
        <v>28.637851000000001</v>
      </c>
      <c r="C837" s="75">
        <f t="shared" si="24"/>
        <v>-7.3217613803476427E-3</v>
      </c>
      <c r="D837" s="76">
        <f t="shared" si="25"/>
        <v>5.3608189710750221E-5</v>
      </c>
      <c r="E837" s="1"/>
    </row>
    <row r="838" spans="1:5">
      <c r="A838" s="4">
        <v>41285</v>
      </c>
      <c r="B838" s="11">
        <v>28.848299999999998</v>
      </c>
      <c r="C838" s="75">
        <f t="shared" si="24"/>
        <v>-2.913704607911077E-3</v>
      </c>
      <c r="D838" s="76">
        <f t="shared" si="25"/>
        <v>8.4896745421622436E-6</v>
      </c>
      <c r="E838" s="1"/>
    </row>
    <row r="839" spans="1:5">
      <c r="A839" s="4">
        <v>41284</v>
      </c>
      <c r="B839" s="11">
        <v>28.932478</v>
      </c>
      <c r="C839" s="75">
        <f t="shared" ref="C839:C902" si="26">LN(B839/B840)</f>
        <v>3.7894601755407214E-3</v>
      </c>
      <c r="D839" s="76">
        <f t="shared" si="25"/>
        <v>1.4360008422009116E-5</v>
      </c>
      <c r="E839" s="1"/>
    </row>
    <row r="840" spans="1:5">
      <c r="A840" s="4">
        <v>41283</v>
      </c>
      <c r="B840" s="11">
        <v>28.823046999999999</v>
      </c>
      <c r="C840" s="75">
        <f t="shared" si="26"/>
        <v>-3.207384198815679E-3</v>
      </c>
      <c r="D840" s="76">
        <f t="shared" ref="D840:D903" si="27">C840^2</f>
        <v>1.0287313398812495E-5</v>
      </c>
      <c r="E840" s="1"/>
    </row>
    <row r="841" spans="1:5">
      <c r="A841" s="4">
        <v>41282</v>
      </c>
      <c r="B841" s="11">
        <v>28.915641999999998</v>
      </c>
      <c r="C841" s="75">
        <f t="shared" si="26"/>
        <v>-1.7030293827220964E-2</v>
      </c>
      <c r="D841" s="76">
        <f t="shared" si="27"/>
        <v>2.9003090784148047E-4</v>
      </c>
      <c r="E841" s="1"/>
    </row>
    <row r="842" spans="1:5">
      <c r="A842" s="4">
        <v>41281</v>
      </c>
      <c r="B842" s="11">
        <v>29.412300999999999</v>
      </c>
      <c r="C842" s="75">
        <f t="shared" si="26"/>
        <v>4.5312843434636221E-3</v>
      </c>
      <c r="D842" s="76">
        <f t="shared" si="27"/>
        <v>2.053253780131855E-5</v>
      </c>
      <c r="E842" s="1"/>
    </row>
    <row r="843" spans="1:5">
      <c r="A843" s="4">
        <v>41278</v>
      </c>
      <c r="B843" s="11">
        <v>29.279326999999999</v>
      </c>
      <c r="C843" s="75">
        <f t="shared" si="26"/>
        <v>5.97866354490978E-3</v>
      </c>
      <c r="D843" s="76">
        <f t="shared" si="27"/>
        <v>3.5744417783233175E-5</v>
      </c>
      <c r="E843" s="1"/>
    </row>
    <row r="844" spans="1:5">
      <c r="A844" s="4">
        <v>41277</v>
      </c>
      <c r="B844" s="11">
        <v>29.104797999999999</v>
      </c>
      <c r="C844" s="75">
        <f t="shared" si="26"/>
        <v>5.7127172954069807E-4</v>
      </c>
      <c r="D844" s="76">
        <f t="shared" si="27"/>
        <v>3.2635138897242047E-7</v>
      </c>
      <c r="E844" s="1"/>
    </row>
    <row r="845" spans="1:5">
      <c r="A845" s="4">
        <v>41276</v>
      </c>
      <c r="B845" s="11">
        <v>29.088176000000001</v>
      </c>
      <c r="C845" s="75">
        <f t="shared" si="26"/>
        <v>3.7553565856807539E-2</v>
      </c>
      <c r="D845" s="76">
        <f t="shared" si="27"/>
        <v>1.4102703085615809E-3</v>
      </c>
      <c r="E845" s="1"/>
    </row>
    <row r="846" spans="1:5">
      <c r="A846" s="4">
        <v>41274</v>
      </c>
      <c r="B846" s="11">
        <v>28.016068000000001</v>
      </c>
      <c r="C846" s="75">
        <f t="shared" si="26"/>
        <v>1.1636698267559847E-2</v>
      </c>
      <c r="D846" s="76">
        <f t="shared" si="27"/>
        <v>1.3541274657023034E-4</v>
      </c>
      <c r="E846" s="1"/>
    </row>
    <row r="847" spans="1:5">
      <c r="A847" s="4">
        <v>41271</v>
      </c>
      <c r="B847" s="11">
        <v>27.691942999999998</v>
      </c>
      <c r="C847" s="75">
        <f t="shared" si="26"/>
        <v>-1.0152376935470563E-2</v>
      </c>
      <c r="D847" s="76">
        <f t="shared" si="27"/>
        <v>1.0307075743987467E-4</v>
      </c>
      <c r="E847" s="1"/>
    </row>
    <row r="848" spans="1:5">
      <c r="A848" s="4">
        <v>41270</v>
      </c>
      <c r="B848" s="11">
        <v>27.974513999999999</v>
      </c>
      <c r="C848" s="75">
        <f t="shared" si="26"/>
        <v>-3.5586909972461192E-3</v>
      </c>
      <c r="D848" s="76">
        <f t="shared" si="27"/>
        <v>1.2664281613880579E-5</v>
      </c>
      <c r="E848" s="1"/>
    </row>
    <row r="849" spans="1:5">
      <c r="A849" s="4">
        <v>41269</v>
      </c>
      <c r="B849" s="11">
        <v>28.074244</v>
      </c>
      <c r="C849" s="75">
        <f t="shared" si="26"/>
        <v>1.1847405354241337E-3</v>
      </c>
      <c r="D849" s="76">
        <f t="shared" si="27"/>
        <v>1.4036101362770631E-6</v>
      </c>
      <c r="E849" s="1"/>
    </row>
    <row r="850" spans="1:5">
      <c r="A850" s="4">
        <v>41267</v>
      </c>
      <c r="B850" s="11">
        <v>28.041003</v>
      </c>
      <c r="C850" s="75">
        <f t="shared" si="26"/>
        <v>2.0769384752586015E-3</v>
      </c>
      <c r="D850" s="76">
        <f t="shared" si="27"/>
        <v>4.3136734300095243E-6</v>
      </c>
      <c r="E850" s="1"/>
    </row>
    <row r="851" spans="1:5">
      <c r="A851" s="4">
        <v>41264</v>
      </c>
      <c r="B851" s="11">
        <v>27.982824000000001</v>
      </c>
      <c r="C851" s="75">
        <f t="shared" si="26"/>
        <v>-1.474082056106361E-2</v>
      </c>
      <c r="D851" s="76">
        <f t="shared" si="27"/>
        <v>2.172917908134757E-4</v>
      </c>
      <c r="E851" s="1"/>
    </row>
    <row r="852" spans="1:5">
      <c r="A852" s="4">
        <v>41263</v>
      </c>
      <c r="B852" s="11">
        <v>28.398368999999999</v>
      </c>
      <c r="C852" s="75">
        <f t="shared" si="26"/>
        <v>7.6380539142301175E-3</v>
      </c>
      <c r="D852" s="76">
        <f t="shared" si="27"/>
        <v>5.833986759668602E-5</v>
      </c>
      <c r="E852" s="1"/>
    </row>
    <row r="853" spans="1:5">
      <c r="A853" s="4">
        <v>41262</v>
      </c>
      <c r="B853" s="11">
        <v>28.182286999999999</v>
      </c>
      <c r="C853" s="75">
        <f t="shared" si="26"/>
        <v>-1.260089869114067E-2</v>
      </c>
      <c r="D853" s="76">
        <f t="shared" si="27"/>
        <v>1.5878264782439065E-4</v>
      </c>
      <c r="E853" s="1"/>
    </row>
    <row r="854" spans="1:5">
      <c r="A854" s="4">
        <v>41261</v>
      </c>
      <c r="B854" s="11">
        <v>28.539656000000001</v>
      </c>
      <c r="C854" s="75">
        <f t="shared" si="26"/>
        <v>3.2084035823606917E-3</v>
      </c>
      <c r="D854" s="76">
        <f t="shared" si="27"/>
        <v>1.0293853547304919E-5</v>
      </c>
      <c r="E854" s="1"/>
    </row>
    <row r="855" spans="1:5">
      <c r="A855" s="4">
        <v>41260</v>
      </c>
      <c r="B855" s="11">
        <v>28.448236000000001</v>
      </c>
      <c r="C855" s="75">
        <f t="shared" si="26"/>
        <v>6.4478902249032067E-3</v>
      </c>
      <c r="D855" s="76">
        <f t="shared" si="27"/>
        <v>4.1575288352402327E-5</v>
      </c>
      <c r="E855" s="1"/>
    </row>
    <row r="856" spans="1:5">
      <c r="A856" s="4">
        <v>41257</v>
      </c>
      <c r="B856" s="11">
        <v>28.265395000000002</v>
      </c>
      <c r="C856" s="75">
        <f t="shared" si="26"/>
        <v>-9.0737064644612776E-3</v>
      </c>
      <c r="D856" s="76">
        <f t="shared" si="27"/>
        <v>8.2332149003206377E-5</v>
      </c>
      <c r="E856" s="1"/>
    </row>
    <row r="857" spans="1:5">
      <c r="A857" s="4">
        <v>41256</v>
      </c>
      <c r="B857" s="11">
        <v>28.523033999999999</v>
      </c>
      <c r="C857" s="75">
        <f t="shared" si="26"/>
        <v>-4.9412072814450803E-3</v>
      </c>
      <c r="D857" s="76">
        <f t="shared" si="27"/>
        <v>2.4415529398205882E-5</v>
      </c>
      <c r="E857" s="1"/>
    </row>
    <row r="858" spans="1:5">
      <c r="A858" s="4">
        <v>41255</v>
      </c>
      <c r="B858" s="11">
        <v>28.664321000000001</v>
      </c>
      <c r="C858" s="75">
        <f t="shared" si="26"/>
        <v>9.9068456822454729E-3</v>
      </c>
      <c r="D858" s="76">
        <f t="shared" si="27"/>
        <v>9.8145591371825766E-5</v>
      </c>
      <c r="E858" s="1"/>
    </row>
    <row r="859" spans="1:5">
      <c r="A859" s="4">
        <v>41254</v>
      </c>
      <c r="B859" s="11">
        <v>28.38175</v>
      </c>
      <c r="C859" s="75">
        <f t="shared" si="26"/>
        <v>1.2374968124153422E-2</v>
      </c>
      <c r="D859" s="76">
        <f t="shared" si="27"/>
        <v>1.5313983607381326E-4</v>
      </c>
      <c r="E859" s="1"/>
    </row>
    <row r="860" spans="1:5">
      <c r="A860" s="4">
        <v>41253</v>
      </c>
      <c r="B860" s="11">
        <v>28.032691</v>
      </c>
      <c r="C860" s="75">
        <f t="shared" si="26"/>
        <v>-2.9646700504087659E-4</v>
      </c>
      <c r="D860" s="76">
        <f t="shared" si="27"/>
        <v>8.789268507790714E-8</v>
      </c>
      <c r="E860" s="1"/>
    </row>
    <row r="861" spans="1:5">
      <c r="A861" s="4">
        <v>41250</v>
      </c>
      <c r="B861" s="11">
        <v>28.041003</v>
      </c>
      <c r="C861" s="75">
        <f t="shared" si="26"/>
        <v>2.6710149332710062E-3</v>
      </c>
      <c r="D861" s="76">
        <f t="shared" si="27"/>
        <v>7.1343207737567184E-6</v>
      </c>
      <c r="E861" s="1"/>
    </row>
    <row r="862" spans="1:5">
      <c r="A862" s="4">
        <v>41249</v>
      </c>
      <c r="B862" s="11">
        <v>27.966204999999999</v>
      </c>
      <c r="C862" s="75">
        <f t="shared" si="26"/>
        <v>-7.6968431048460113E-3</v>
      </c>
      <c r="D862" s="76">
        <f t="shared" si="27"/>
        <v>5.9241393780615589E-5</v>
      </c>
      <c r="E862" s="1"/>
    </row>
    <row r="863" spans="1:5">
      <c r="A863" s="4">
        <v>41248</v>
      </c>
      <c r="B863" s="11">
        <v>28.182286999999999</v>
      </c>
      <c r="C863" s="75">
        <f t="shared" si="26"/>
        <v>-2.9482259804884052E-4</v>
      </c>
      <c r="D863" s="76">
        <f t="shared" si="27"/>
        <v>8.6920364320268184E-8</v>
      </c>
      <c r="E863" s="1"/>
    </row>
    <row r="864" spans="1:5">
      <c r="A864" s="4">
        <v>41247</v>
      </c>
      <c r="B864" s="11">
        <v>28.190597</v>
      </c>
      <c r="C864" s="75">
        <f t="shared" si="26"/>
        <v>-6.4649432038219783E-3</v>
      </c>
      <c r="D864" s="76">
        <f t="shared" si="27"/>
        <v>4.1795490628643983E-5</v>
      </c>
      <c r="E864" s="1"/>
    </row>
    <row r="865" spans="1:5">
      <c r="A865" s="4">
        <v>41246</v>
      </c>
      <c r="B865" s="11">
        <v>28.373438</v>
      </c>
      <c r="C865" s="75">
        <f t="shared" si="26"/>
        <v>2.9292245628567649E-4</v>
      </c>
      <c r="D865" s="76">
        <f t="shared" si="27"/>
        <v>8.5803565396434053E-8</v>
      </c>
      <c r="E865" s="1"/>
    </row>
    <row r="866" spans="1:5">
      <c r="A866" s="4">
        <v>41243</v>
      </c>
      <c r="B866" s="11">
        <v>28.365127999999999</v>
      </c>
      <c r="C866" s="75">
        <f t="shared" si="26"/>
        <v>5.8772141195016668E-3</v>
      </c>
      <c r="D866" s="76">
        <f t="shared" si="27"/>
        <v>3.454164580646975E-5</v>
      </c>
      <c r="E866" s="1"/>
    </row>
    <row r="867" spans="1:5">
      <c r="A867" s="4">
        <v>41242</v>
      </c>
      <c r="B867" s="11">
        <v>28.198909</v>
      </c>
      <c r="C867" s="75">
        <f t="shared" si="26"/>
        <v>9.1784819111639451E-3</v>
      </c>
      <c r="D867" s="76">
        <f t="shared" si="27"/>
        <v>8.4244530193563751E-5</v>
      </c>
      <c r="E867" s="1"/>
    </row>
    <row r="868" spans="1:5">
      <c r="A868" s="4">
        <v>41241</v>
      </c>
      <c r="B868" s="11">
        <v>27.941269999999999</v>
      </c>
      <c r="C868" s="75">
        <f t="shared" si="26"/>
        <v>0</v>
      </c>
      <c r="D868" s="76">
        <f t="shared" si="27"/>
        <v>0</v>
      </c>
      <c r="E868" s="1"/>
    </row>
    <row r="869" spans="1:5">
      <c r="A869" s="4">
        <v>41240</v>
      </c>
      <c r="B869" s="11">
        <v>27.941269999999999</v>
      </c>
      <c r="C869" s="75">
        <f t="shared" si="26"/>
        <v>-1.0356733819908219E-2</v>
      </c>
      <c r="D869" s="76">
        <f t="shared" si="27"/>
        <v>1.072619354164307E-4</v>
      </c>
      <c r="E869" s="1"/>
    </row>
    <row r="870" spans="1:5">
      <c r="A870" s="4">
        <v>41239</v>
      </c>
      <c r="B870" s="11">
        <v>28.232154000000001</v>
      </c>
      <c r="C870" s="75">
        <f t="shared" si="26"/>
        <v>-1.1415300707282278E-2</v>
      </c>
      <c r="D870" s="76">
        <f t="shared" si="27"/>
        <v>1.3030909023767926E-4</v>
      </c>
      <c r="E870" s="1"/>
    </row>
    <row r="871" spans="1:5">
      <c r="A871" s="4">
        <v>41236</v>
      </c>
      <c r="B871" s="11">
        <v>28.556279</v>
      </c>
      <c r="C871" s="75">
        <f t="shared" si="26"/>
        <v>1.4954158370413534E-2</v>
      </c>
      <c r="D871" s="76">
        <f t="shared" si="27"/>
        <v>2.2362685256740916E-4</v>
      </c>
      <c r="E871" s="1"/>
    </row>
    <row r="872" spans="1:5">
      <c r="A872" s="4">
        <v>41234</v>
      </c>
      <c r="B872" s="11">
        <v>28.132421000000001</v>
      </c>
      <c r="C872" s="75">
        <f t="shared" si="26"/>
        <v>5.0347591451060381E-3</v>
      </c>
      <c r="D872" s="76">
        <f t="shared" si="27"/>
        <v>2.5348799649228885E-5</v>
      </c>
      <c r="E872" s="1"/>
    </row>
    <row r="873" spans="1:5">
      <c r="A873" s="4">
        <v>41233</v>
      </c>
      <c r="B873" s="11">
        <v>27.991136999999998</v>
      </c>
      <c r="C873" s="75">
        <f t="shared" si="26"/>
        <v>-4.1481289341657093E-3</v>
      </c>
      <c r="D873" s="76">
        <f t="shared" si="27"/>
        <v>1.7206973654462744E-5</v>
      </c>
      <c r="E873" s="1"/>
    </row>
    <row r="874" spans="1:5">
      <c r="A874" s="4">
        <v>41232</v>
      </c>
      <c r="B874" s="11">
        <v>28.107489000000001</v>
      </c>
      <c r="C874" s="75">
        <f t="shared" si="26"/>
        <v>2.0311342121711217E-2</v>
      </c>
      <c r="D874" s="76">
        <f t="shared" si="27"/>
        <v>4.1255061878520035E-4</v>
      </c>
      <c r="E874" s="1"/>
    </row>
    <row r="875" spans="1:5">
      <c r="A875" s="4">
        <v>41229</v>
      </c>
      <c r="B875" s="11">
        <v>27.542346999999999</v>
      </c>
      <c r="C875" s="75">
        <f t="shared" si="26"/>
        <v>-8.4134605422570754E-3</v>
      </c>
      <c r="D875" s="76">
        <f t="shared" si="27"/>
        <v>7.0786318296116728E-5</v>
      </c>
      <c r="E875" s="1"/>
    </row>
    <row r="876" spans="1:5">
      <c r="A876" s="4">
        <v>41228</v>
      </c>
      <c r="B876" s="11">
        <v>27.775051000000001</v>
      </c>
      <c r="C876" s="75">
        <f t="shared" si="26"/>
        <v>-1.0714400682546931E-2</v>
      </c>
      <c r="D876" s="76">
        <f t="shared" si="27"/>
        <v>1.1479838198616214E-4</v>
      </c>
      <c r="E876" s="1"/>
    </row>
    <row r="877" spans="1:5">
      <c r="A877" s="4">
        <v>41227</v>
      </c>
      <c r="B877" s="11">
        <v>28.074244</v>
      </c>
      <c r="C877" s="75">
        <f t="shared" si="26"/>
        <v>-5.0200340720280455E-3</v>
      </c>
      <c r="D877" s="76">
        <f t="shared" si="27"/>
        <v>2.5200742084322478E-5</v>
      </c>
      <c r="E877" s="1"/>
    </row>
    <row r="878" spans="1:5">
      <c r="A878" s="4">
        <v>41226</v>
      </c>
      <c r="B878" s="11">
        <v>28.215532</v>
      </c>
      <c r="C878" s="75">
        <f t="shared" si="26"/>
        <v>2.359248901996291E-3</v>
      </c>
      <c r="D878" s="76">
        <f t="shared" si="27"/>
        <v>5.5660553815707052E-6</v>
      </c>
      <c r="E878" s="1"/>
    </row>
    <row r="879" spans="1:5">
      <c r="A879" s="4">
        <v>41225</v>
      </c>
      <c r="B879" s="11">
        <v>28.149042999999999</v>
      </c>
      <c r="C879" s="75">
        <f t="shared" si="26"/>
        <v>9.790876688868631E-3</v>
      </c>
      <c r="D879" s="76">
        <f t="shared" si="27"/>
        <v>9.5861266336631171E-5</v>
      </c>
      <c r="E879" s="1"/>
    </row>
    <row r="880" spans="1:5">
      <c r="A880" s="4">
        <v>41222</v>
      </c>
      <c r="B880" s="11">
        <v>27.874783999999998</v>
      </c>
      <c r="C880" s="75">
        <f t="shared" si="26"/>
        <v>1.0188885637714673E-2</v>
      </c>
      <c r="D880" s="76">
        <f t="shared" si="27"/>
        <v>1.0381339053842833E-4</v>
      </c>
      <c r="E880" s="1"/>
    </row>
    <row r="881" spans="1:5">
      <c r="A881" s="4">
        <v>41221</v>
      </c>
      <c r="B881" s="11">
        <v>27.592213000000001</v>
      </c>
      <c r="C881" s="75">
        <f t="shared" si="26"/>
        <v>-1.3165925870591072E-2</v>
      </c>
      <c r="D881" s="76">
        <f t="shared" si="27"/>
        <v>1.7334160402989927E-4</v>
      </c>
      <c r="E881" s="1"/>
    </row>
    <row r="882" spans="1:5">
      <c r="A882" s="4">
        <v>41220</v>
      </c>
      <c r="B882" s="11">
        <v>27.957892000000001</v>
      </c>
      <c r="C882" s="75">
        <f t="shared" si="26"/>
        <v>-3.3901543329796932E-2</v>
      </c>
      <c r="D882" s="76">
        <f t="shared" si="27"/>
        <v>1.1493146401420989E-3</v>
      </c>
      <c r="E882" s="1"/>
    </row>
    <row r="883" spans="1:5">
      <c r="A883" s="4">
        <v>41219</v>
      </c>
      <c r="B883" s="11">
        <v>28.921956999999999</v>
      </c>
      <c r="C883" s="75">
        <f t="shared" si="26"/>
        <v>-8.6177630881105233E-4</v>
      </c>
      <c r="D883" s="76">
        <f t="shared" si="27"/>
        <v>7.4265840642800225E-7</v>
      </c>
      <c r="E883" s="1"/>
    </row>
    <row r="884" spans="1:5">
      <c r="A884" s="4">
        <v>41218</v>
      </c>
      <c r="B884" s="11">
        <v>28.946891999999998</v>
      </c>
      <c r="C884" s="75">
        <f t="shared" si="26"/>
        <v>-2.8669372937180169E-3</v>
      </c>
      <c r="D884" s="76">
        <f t="shared" si="27"/>
        <v>8.2193294461111863E-6</v>
      </c>
      <c r="E884" s="1"/>
    </row>
    <row r="885" spans="1:5">
      <c r="A885" s="4">
        <v>41215</v>
      </c>
      <c r="B885" s="11">
        <v>29.03</v>
      </c>
      <c r="C885" s="75">
        <f t="shared" si="26"/>
        <v>-4.5701129294547652E-3</v>
      </c>
      <c r="D885" s="76">
        <f t="shared" si="27"/>
        <v>2.0885932187969615E-5</v>
      </c>
      <c r="E885" s="1"/>
    </row>
    <row r="886" spans="1:5">
      <c r="A886" s="4">
        <v>41214</v>
      </c>
      <c r="B886" s="11">
        <v>29.162973999999998</v>
      </c>
      <c r="C886" s="75">
        <f t="shared" si="26"/>
        <v>1.4351553808341187E-2</v>
      </c>
      <c r="D886" s="76">
        <f t="shared" si="27"/>
        <v>2.0596709671371244E-4</v>
      </c>
      <c r="E886" s="1"/>
    </row>
    <row r="887" spans="1:5">
      <c r="A887" s="4">
        <v>41213</v>
      </c>
      <c r="B887" s="11">
        <v>28.747429</v>
      </c>
      <c r="C887" s="75">
        <f t="shared" si="26"/>
        <v>-1.1557830683489561E-3</v>
      </c>
      <c r="D887" s="76">
        <f t="shared" si="27"/>
        <v>1.3358345010821278E-6</v>
      </c>
      <c r="E887" s="1"/>
    </row>
    <row r="888" spans="1:5">
      <c r="A888" s="4">
        <v>41208</v>
      </c>
      <c r="B888" s="11">
        <v>28.780674000000001</v>
      </c>
      <c r="C888" s="75">
        <f t="shared" si="26"/>
        <v>3.7610761421610676E-3</v>
      </c>
      <c r="D888" s="76">
        <f t="shared" si="27"/>
        <v>1.4145693747133178E-5</v>
      </c>
      <c r="E888" s="1"/>
    </row>
    <row r="889" spans="1:5">
      <c r="A889" s="4">
        <v>41207</v>
      </c>
      <c r="B889" s="11">
        <v>28.672630999999999</v>
      </c>
      <c r="C889" s="75">
        <f t="shared" si="26"/>
        <v>-6.068469151283026E-3</v>
      </c>
      <c r="D889" s="76">
        <f t="shared" si="27"/>
        <v>3.6826317840073728E-5</v>
      </c>
      <c r="E889" s="1"/>
    </row>
    <row r="890" spans="1:5">
      <c r="A890" s="4">
        <v>41206</v>
      </c>
      <c r="B890" s="11">
        <v>28.847159000000001</v>
      </c>
      <c r="C890" s="75">
        <f t="shared" si="26"/>
        <v>-8.3202553467010536E-3</v>
      </c>
      <c r="D890" s="76">
        <f t="shared" si="27"/>
        <v>6.9226649034307477E-5</v>
      </c>
      <c r="E890" s="1"/>
    </row>
    <row r="891" spans="1:5">
      <c r="A891" s="4">
        <v>41205</v>
      </c>
      <c r="B891" s="11">
        <v>29.088176000000001</v>
      </c>
      <c r="C891" s="75">
        <f t="shared" si="26"/>
        <v>-7.4010611147362002E-3</v>
      </c>
      <c r="D891" s="76">
        <f t="shared" si="27"/>
        <v>5.4775705624060243E-5</v>
      </c>
      <c r="E891" s="1"/>
    </row>
    <row r="892" spans="1:5">
      <c r="A892" s="4">
        <v>41204</v>
      </c>
      <c r="B892" s="11">
        <v>29.304258000000001</v>
      </c>
      <c r="C892" s="75">
        <f t="shared" si="26"/>
        <v>-1.7002518468056821E-3</v>
      </c>
      <c r="D892" s="76">
        <f t="shared" si="27"/>
        <v>2.8908563425661326E-6</v>
      </c>
      <c r="E892" s="1"/>
    </row>
    <row r="893" spans="1:5">
      <c r="A893" s="4">
        <v>41201</v>
      </c>
      <c r="B893" s="11">
        <v>29.354125</v>
      </c>
      <c r="C893" s="75">
        <f t="shared" si="26"/>
        <v>-1.9624980071285072E-2</v>
      </c>
      <c r="D893" s="76">
        <f t="shared" si="27"/>
        <v>3.8513984279833622E-4</v>
      </c>
      <c r="E893" s="1"/>
    </row>
    <row r="894" spans="1:5">
      <c r="A894" s="4">
        <v>41200</v>
      </c>
      <c r="B894" s="11">
        <v>29.935889</v>
      </c>
      <c r="C894" s="75">
        <f t="shared" si="26"/>
        <v>8.363542423148013E-3</v>
      </c>
      <c r="D894" s="76">
        <f t="shared" si="27"/>
        <v>6.9948841863796531E-5</v>
      </c>
      <c r="E894" s="1"/>
    </row>
    <row r="895" spans="1:5">
      <c r="A895" s="4">
        <v>41199</v>
      </c>
      <c r="B895" s="11">
        <v>29.686563</v>
      </c>
      <c r="C895" s="75">
        <f t="shared" si="26"/>
        <v>8.9989340796339714E-3</v>
      </c>
      <c r="D895" s="76">
        <f t="shared" si="27"/>
        <v>8.0980814569597714E-5</v>
      </c>
      <c r="E895" s="1"/>
    </row>
    <row r="896" spans="1:5">
      <c r="A896" s="4">
        <v>41198</v>
      </c>
      <c r="B896" s="11">
        <v>29.420614</v>
      </c>
      <c r="C896" s="75">
        <f t="shared" si="26"/>
        <v>5.3817809393876589E-3</v>
      </c>
      <c r="D896" s="76">
        <f t="shared" si="27"/>
        <v>2.8963566079556311E-5</v>
      </c>
      <c r="E896" s="1"/>
    </row>
    <row r="897" spans="1:5">
      <c r="A897" s="4">
        <v>41197</v>
      </c>
      <c r="B897" s="11">
        <v>29.262703999999999</v>
      </c>
      <c r="C897" s="75">
        <f t="shared" si="26"/>
        <v>-1.1857910634615519E-2</v>
      </c>
      <c r="D897" s="76">
        <f t="shared" si="27"/>
        <v>1.4061004461852784E-4</v>
      </c>
      <c r="E897" s="1"/>
    </row>
    <row r="898" spans="1:5">
      <c r="A898" s="4">
        <v>41194</v>
      </c>
      <c r="B898" s="11">
        <v>29.611764000000001</v>
      </c>
      <c r="C898" s="75">
        <f t="shared" si="26"/>
        <v>-1.7527153278701746E-2</v>
      </c>
      <c r="D898" s="76">
        <f t="shared" si="27"/>
        <v>3.0720110205510536E-4</v>
      </c>
      <c r="E898" s="1"/>
    </row>
    <row r="899" spans="1:5">
      <c r="A899" s="4">
        <v>41193</v>
      </c>
      <c r="B899" s="11">
        <v>30.135349000000001</v>
      </c>
      <c r="C899" s="75">
        <f t="shared" si="26"/>
        <v>-1.8038208676104561E-2</v>
      </c>
      <c r="D899" s="76">
        <f t="shared" si="27"/>
        <v>3.2537697224269385E-4</v>
      </c>
      <c r="E899" s="1"/>
    </row>
    <row r="900" spans="1:5">
      <c r="A900" s="4">
        <v>41192</v>
      </c>
      <c r="B900" s="11">
        <v>30.683869000000001</v>
      </c>
      <c r="C900" s="75">
        <f t="shared" si="26"/>
        <v>-5.9411801088244199E-3</v>
      </c>
      <c r="D900" s="76">
        <f t="shared" si="27"/>
        <v>3.5297621085490944E-5</v>
      </c>
      <c r="E900" s="1"/>
    </row>
    <row r="901" spans="1:5">
      <c r="A901" s="4">
        <v>41191</v>
      </c>
      <c r="B901" s="11">
        <v>30.866710000000001</v>
      </c>
      <c r="C901" s="75">
        <f t="shared" si="26"/>
        <v>-1.3903961437478669E-2</v>
      </c>
      <c r="D901" s="76">
        <f t="shared" si="27"/>
        <v>1.9332014365489389E-4</v>
      </c>
      <c r="E901" s="1"/>
    </row>
    <row r="902" spans="1:5">
      <c r="A902" s="4">
        <v>41190</v>
      </c>
      <c r="B902" s="11">
        <v>31.298877000000001</v>
      </c>
      <c r="C902" s="75">
        <f t="shared" si="26"/>
        <v>-5.2966496750940168E-3</v>
      </c>
      <c r="D902" s="76">
        <f t="shared" si="27"/>
        <v>2.8054497780673553E-5</v>
      </c>
      <c r="E902" s="1"/>
    </row>
    <row r="903" spans="1:5">
      <c r="A903" s="4">
        <v>41187</v>
      </c>
      <c r="B903" s="11">
        <v>31.465095999999999</v>
      </c>
      <c r="C903" s="75">
        <f t="shared" ref="C903:C966" si="28">LN(B903/B904)</f>
        <v>-1.0559780469785735E-3</v>
      </c>
      <c r="D903" s="76">
        <f t="shared" si="27"/>
        <v>1.1150896357006825E-6</v>
      </c>
      <c r="E903" s="1"/>
    </row>
    <row r="904" spans="1:5">
      <c r="A904" s="4">
        <v>41186</v>
      </c>
      <c r="B904" s="11">
        <v>31.498339999999999</v>
      </c>
      <c r="C904" s="75">
        <f t="shared" si="28"/>
        <v>4.4439346052951587E-3</v>
      </c>
      <c r="D904" s="76">
        <f t="shared" ref="D904:D967" si="29">C904^2</f>
        <v>1.9748554776139837E-5</v>
      </c>
      <c r="E904" s="1"/>
    </row>
    <row r="905" spans="1:5">
      <c r="A905" s="4">
        <v>41185</v>
      </c>
      <c r="B905" s="11">
        <v>31.358674000000001</v>
      </c>
      <c r="C905" s="75">
        <f t="shared" si="28"/>
        <v>9.4761831109609462E-3</v>
      </c>
      <c r="D905" s="76">
        <f t="shared" si="29"/>
        <v>8.9798046352461471E-5</v>
      </c>
      <c r="E905" s="1"/>
    </row>
    <row r="906" spans="1:5">
      <c r="A906" s="4">
        <v>41184</v>
      </c>
      <c r="B906" s="11">
        <v>31.062916999999999</v>
      </c>
      <c r="C906" s="75">
        <f t="shared" si="28"/>
        <v>1.5881687465539788E-3</v>
      </c>
      <c r="D906" s="76">
        <f t="shared" si="29"/>
        <v>2.5222799675308362E-6</v>
      </c>
      <c r="E906" s="1"/>
    </row>
    <row r="907" spans="1:5">
      <c r="A907" s="4">
        <v>41183</v>
      </c>
      <c r="B907" s="11">
        <v>31.013622999999999</v>
      </c>
      <c r="C907" s="75">
        <f t="shared" si="28"/>
        <v>1.3253603723410211E-3</v>
      </c>
      <c r="D907" s="76">
        <f t="shared" si="29"/>
        <v>1.7565801165719301E-6</v>
      </c>
      <c r="E907" s="1"/>
    </row>
    <row r="908" spans="1:5">
      <c r="A908" s="4">
        <v>41180</v>
      </c>
      <c r="B908" s="11">
        <v>30.972546000000001</v>
      </c>
      <c r="C908" s="75">
        <f t="shared" si="28"/>
        <v>-7.6628934484640867E-3</v>
      </c>
      <c r="D908" s="76">
        <f t="shared" si="29"/>
        <v>5.8719936002513823E-5</v>
      </c>
      <c r="E908" s="1"/>
    </row>
    <row r="909" spans="1:5">
      <c r="A909" s="4">
        <v>41179</v>
      </c>
      <c r="B909" s="11">
        <v>31.210796999999999</v>
      </c>
      <c r="C909" s="75">
        <f t="shared" si="28"/>
        <v>-2.3662501867743259E-3</v>
      </c>
      <c r="D909" s="76">
        <f t="shared" si="29"/>
        <v>5.5991399464095321E-6</v>
      </c>
      <c r="E909" s="1"/>
    </row>
    <row r="910" spans="1:5">
      <c r="A910" s="4">
        <v>41178</v>
      </c>
      <c r="B910" s="11">
        <v>31.284737</v>
      </c>
      <c r="C910" s="75">
        <f t="shared" si="28"/>
        <v>5.2534615711324808E-4</v>
      </c>
      <c r="D910" s="76">
        <f t="shared" si="29"/>
        <v>2.7598858479365756E-7</v>
      </c>
      <c r="E910" s="1"/>
    </row>
    <row r="911" spans="1:5">
      <c r="A911" s="4">
        <v>41177</v>
      </c>
      <c r="B911" s="11">
        <v>31.268305999999999</v>
      </c>
      <c r="C911" s="75">
        <f t="shared" si="28"/>
        <v>-4.9796645420243013E-3</v>
      </c>
      <c r="D911" s="76">
        <f t="shared" si="29"/>
        <v>2.4797058951094094E-5</v>
      </c>
      <c r="E911" s="1"/>
    </row>
    <row r="912" spans="1:5">
      <c r="A912" s="4">
        <v>41176</v>
      </c>
      <c r="B912" s="11">
        <v>31.424399999999999</v>
      </c>
      <c r="C912" s="75">
        <f t="shared" si="28"/>
        <v>4.4543183849110159E-3</v>
      </c>
      <c r="D912" s="76">
        <f t="shared" si="29"/>
        <v>1.9840952274156282E-5</v>
      </c>
      <c r="E912" s="1"/>
    </row>
    <row r="913" spans="1:5">
      <c r="A913" s="4">
        <v>41173</v>
      </c>
      <c r="B913" s="11">
        <v>31.284737</v>
      </c>
      <c r="C913" s="75">
        <f t="shared" si="28"/>
        <v>3.6833283351987624E-3</v>
      </c>
      <c r="D913" s="76">
        <f t="shared" si="29"/>
        <v>1.3566907624878087E-5</v>
      </c>
      <c r="E913" s="1"/>
    </row>
    <row r="914" spans="1:5">
      <c r="A914" s="4">
        <v>41172</v>
      </c>
      <c r="B914" s="11">
        <v>31.169716999999999</v>
      </c>
      <c r="C914" s="75">
        <f t="shared" si="28"/>
        <v>4.7556386420450234E-3</v>
      </c>
      <c r="D914" s="76">
        <f t="shared" si="29"/>
        <v>2.2616098893711835E-5</v>
      </c>
      <c r="E914" s="1"/>
    </row>
    <row r="915" spans="1:5">
      <c r="A915" s="4">
        <v>41171</v>
      </c>
      <c r="B915" s="11">
        <v>31.021837000000001</v>
      </c>
      <c r="C915" s="75">
        <f t="shared" si="28"/>
        <v>2.6517763974054022E-3</v>
      </c>
      <c r="D915" s="76">
        <f t="shared" si="29"/>
        <v>7.0319180618363736E-6</v>
      </c>
      <c r="E915" s="1"/>
    </row>
    <row r="916" spans="1:5">
      <c r="A916" s="4">
        <v>41170</v>
      </c>
      <c r="B916" s="11">
        <v>30.939682999999999</v>
      </c>
      <c r="C916" s="75">
        <f t="shared" si="28"/>
        <v>1.5944995323270564E-3</v>
      </c>
      <c r="D916" s="76">
        <f t="shared" si="29"/>
        <v>2.5424287585912018E-6</v>
      </c>
      <c r="E916" s="1"/>
    </row>
    <row r="917" spans="1:5">
      <c r="A917" s="4">
        <v>41169</v>
      </c>
      <c r="B917" s="11">
        <v>30.890388999999999</v>
      </c>
      <c r="C917" s="75">
        <f t="shared" si="28"/>
        <v>9.0836856915734628E-3</v>
      </c>
      <c r="D917" s="76">
        <f t="shared" si="29"/>
        <v>8.2513345743296461E-5</v>
      </c>
      <c r="E917" s="1"/>
    </row>
    <row r="918" spans="1:5">
      <c r="A918" s="4">
        <v>41166</v>
      </c>
      <c r="B918" s="11">
        <v>30.611060999999999</v>
      </c>
      <c r="C918" s="75">
        <f t="shared" si="28"/>
        <v>-2.360548573126486E-2</v>
      </c>
      <c r="D918" s="76">
        <f t="shared" si="29"/>
        <v>5.572189566089489E-4</v>
      </c>
      <c r="E918" s="1"/>
    </row>
    <row r="919" spans="1:5">
      <c r="A919" s="4">
        <v>41165</v>
      </c>
      <c r="B919" s="11">
        <v>31.342245999999999</v>
      </c>
      <c r="C919" s="75">
        <f t="shared" si="28"/>
        <v>1.1335307087345741E-2</v>
      </c>
      <c r="D919" s="76">
        <f t="shared" si="29"/>
        <v>1.2848918676443058E-4</v>
      </c>
      <c r="E919" s="1"/>
    </row>
    <row r="920" spans="1:5">
      <c r="A920" s="4">
        <v>41164</v>
      </c>
      <c r="B920" s="11">
        <v>30.988977999999999</v>
      </c>
      <c r="C920" s="75">
        <f t="shared" si="28"/>
        <v>2.6547213512300503E-3</v>
      </c>
      <c r="D920" s="76">
        <f t="shared" si="29"/>
        <v>7.0475454526767039E-6</v>
      </c>
      <c r="E920" s="1"/>
    </row>
    <row r="921" spans="1:5">
      <c r="A921" s="4">
        <v>41163</v>
      </c>
      <c r="B921" s="11">
        <v>30.90682</v>
      </c>
      <c r="C921" s="75">
        <f t="shared" si="28"/>
        <v>5.3305167057527032E-3</v>
      </c>
      <c r="D921" s="76">
        <f t="shared" si="29"/>
        <v>2.8414408350308651E-5</v>
      </c>
      <c r="E921" s="1"/>
    </row>
    <row r="922" spans="1:5">
      <c r="A922" s="4">
        <v>41162</v>
      </c>
      <c r="B922" s="11">
        <v>30.742508999999998</v>
      </c>
      <c r="C922" s="75">
        <f t="shared" si="28"/>
        <v>3.211950261236286E-3</v>
      </c>
      <c r="D922" s="76">
        <f t="shared" si="29"/>
        <v>1.0316624480655845E-5</v>
      </c>
      <c r="E922" s="1"/>
    </row>
    <row r="923" spans="1:5">
      <c r="A923" s="4">
        <v>41159</v>
      </c>
      <c r="B923" s="11">
        <v>30.643923999999998</v>
      </c>
      <c r="C923" s="75">
        <f t="shared" si="28"/>
        <v>-3.7463116589269048E-3</v>
      </c>
      <c r="D923" s="76">
        <f t="shared" si="29"/>
        <v>1.4034851045811658E-5</v>
      </c>
      <c r="E923" s="1"/>
    </row>
    <row r="924" spans="1:5">
      <c r="A924" s="4">
        <v>41158</v>
      </c>
      <c r="B924" s="11">
        <v>30.758941</v>
      </c>
      <c r="C924" s="75">
        <f t="shared" si="28"/>
        <v>1.371539028686799E-2</v>
      </c>
      <c r="D924" s="76">
        <f t="shared" si="29"/>
        <v>1.8811193072111281E-4</v>
      </c>
      <c r="E924" s="1"/>
    </row>
    <row r="925" spans="1:5">
      <c r="A925" s="4">
        <v>41157</v>
      </c>
      <c r="B925" s="11">
        <v>30.339950000000002</v>
      </c>
      <c r="C925" s="75">
        <f t="shared" si="28"/>
        <v>3.2546367480833119E-3</v>
      </c>
      <c r="D925" s="76">
        <f t="shared" si="29"/>
        <v>1.0592660361974316E-5</v>
      </c>
      <c r="E925" s="1"/>
    </row>
    <row r="926" spans="1:5">
      <c r="A926" s="4">
        <v>41156</v>
      </c>
      <c r="B926" s="11">
        <v>30.241364999999998</v>
      </c>
      <c r="C926" s="75">
        <f t="shared" si="28"/>
        <v>4.629073836907068E-3</v>
      </c>
      <c r="D926" s="76">
        <f t="shared" si="29"/>
        <v>2.1428324587537524E-5</v>
      </c>
      <c r="E926" s="1"/>
    </row>
    <row r="927" spans="1:5">
      <c r="A927" s="4">
        <v>41152</v>
      </c>
      <c r="B927" s="11">
        <v>30.101699</v>
      </c>
      <c r="C927" s="75">
        <f t="shared" si="28"/>
        <v>-1.3636771294170307E-3</v>
      </c>
      <c r="D927" s="76">
        <f t="shared" si="29"/>
        <v>1.8596153132950729E-6</v>
      </c>
      <c r="E927" s="1"/>
    </row>
    <row r="928" spans="1:5">
      <c r="A928" s="4">
        <v>41151</v>
      </c>
      <c r="B928" s="11">
        <v>30.142776000000001</v>
      </c>
      <c r="C928" s="75">
        <f t="shared" si="28"/>
        <v>-3.5369745506292983E-3</v>
      </c>
      <c r="D928" s="76">
        <f t="shared" si="29"/>
        <v>1.2510188971799326E-5</v>
      </c>
      <c r="E928" s="1"/>
    </row>
    <row r="929" spans="1:5">
      <c r="A929" s="4">
        <v>41150</v>
      </c>
      <c r="B929" s="11">
        <v>30.249579000000001</v>
      </c>
      <c r="C929" s="75">
        <f t="shared" si="28"/>
        <v>4.9006516800462977E-3</v>
      </c>
      <c r="D929" s="76">
        <f t="shared" si="29"/>
        <v>2.4016386889140599E-5</v>
      </c>
      <c r="E929" s="1"/>
    </row>
    <row r="930" spans="1:5">
      <c r="A930" s="4">
        <v>41149</v>
      </c>
      <c r="B930" s="11">
        <v>30.101699</v>
      </c>
      <c r="C930" s="75">
        <f t="shared" si="28"/>
        <v>-6.2576667726892167E-3</v>
      </c>
      <c r="D930" s="76">
        <f t="shared" si="29"/>
        <v>3.9158393438018676E-5</v>
      </c>
      <c r="E930" s="1"/>
    </row>
    <row r="931" spans="1:5">
      <c r="A931" s="4">
        <v>41148</v>
      </c>
      <c r="B931" s="11">
        <v>30.290655999999998</v>
      </c>
      <c r="C931" s="75">
        <f t="shared" si="28"/>
        <v>-2.1674604063741344E-3</v>
      </c>
      <c r="D931" s="76">
        <f t="shared" si="29"/>
        <v>4.6978846131995274E-6</v>
      </c>
      <c r="E931" s="1"/>
    </row>
    <row r="932" spans="1:5">
      <c r="A932" s="4">
        <v>41145</v>
      </c>
      <c r="B932" s="11">
        <v>30.356380999999999</v>
      </c>
      <c r="C932" s="75">
        <f t="shared" si="28"/>
        <v>1.0610879327480491E-2</v>
      </c>
      <c r="D932" s="76">
        <f t="shared" si="29"/>
        <v>1.1259076010235284E-4</v>
      </c>
      <c r="E932" s="1"/>
    </row>
    <row r="933" spans="1:5">
      <c r="A933" s="4">
        <v>41144</v>
      </c>
      <c r="B933" s="11">
        <v>30.035976000000002</v>
      </c>
      <c r="C933" s="75">
        <f t="shared" si="28"/>
        <v>0</v>
      </c>
      <c r="D933" s="76">
        <f t="shared" si="29"/>
        <v>0</v>
      </c>
      <c r="E933" s="1"/>
    </row>
    <row r="934" spans="1:5">
      <c r="A934" s="4">
        <v>41143</v>
      </c>
      <c r="B934" s="11">
        <v>30.035976000000002</v>
      </c>
      <c r="C934" s="75">
        <f t="shared" si="28"/>
        <v>-8.202128640197961E-4</v>
      </c>
      <c r="D934" s="76">
        <f t="shared" si="29"/>
        <v>6.7274914230355649E-7</v>
      </c>
      <c r="E934" s="1"/>
    </row>
    <row r="935" spans="1:5">
      <c r="A935" s="4">
        <v>41142</v>
      </c>
      <c r="B935" s="11">
        <v>30.060621999999999</v>
      </c>
      <c r="C935" s="75">
        <f t="shared" si="28"/>
        <v>-8.1655034955467141E-3</v>
      </c>
      <c r="D935" s="76">
        <f t="shared" si="29"/>
        <v>6.6675447335785609E-5</v>
      </c>
      <c r="E935" s="1"/>
    </row>
    <row r="936" spans="1:5">
      <c r="A936" s="4">
        <v>41141</v>
      </c>
      <c r="B936" s="11">
        <v>30.307086999999999</v>
      </c>
      <c r="C936" s="75">
        <f t="shared" si="28"/>
        <v>-7.5614459809892325E-3</v>
      </c>
      <c r="D936" s="76">
        <f t="shared" si="29"/>
        <v>5.7175465323418219E-5</v>
      </c>
      <c r="E936" s="1"/>
    </row>
    <row r="937" spans="1:5">
      <c r="A937" s="4">
        <v>41138</v>
      </c>
      <c r="B937" s="11">
        <v>30.537120999999999</v>
      </c>
      <c r="C937" s="75">
        <f t="shared" si="28"/>
        <v>-1.8815758817459299E-3</v>
      </c>
      <c r="D937" s="76">
        <f t="shared" si="29"/>
        <v>3.5403277987679735E-6</v>
      </c>
      <c r="E937" s="1"/>
    </row>
    <row r="938" spans="1:5">
      <c r="A938" s="4">
        <v>41137</v>
      </c>
      <c r="B938" s="11">
        <v>30.594633000000002</v>
      </c>
      <c r="C938" s="75">
        <f t="shared" si="28"/>
        <v>3.7665675310232802E-3</v>
      </c>
      <c r="D938" s="76">
        <f t="shared" si="29"/>
        <v>1.418703096575881E-5</v>
      </c>
      <c r="E938" s="1"/>
    </row>
    <row r="939" spans="1:5">
      <c r="A939" s="4">
        <v>41136</v>
      </c>
      <c r="B939" s="11">
        <v>30.479613000000001</v>
      </c>
      <c r="C939" s="75">
        <f t="shared" si="28"/>
        <v>-4.0350099586958206E-3</v>
      </c>
      <c r="D939" s="76">
        <f t="shared" si="29"/>
        <v>1.6281305366774448E-5</v>
      </c>
      <c r="E939" s="1"/>
    </row>
    <row r="940" spans="1:5">
      <c r="A940" s="4">
        <v>41135</v>
      </c>
      <c r="B940" s="11">
        <v>30.602847000000001</v>
      </c>
      <c r="C940" s="75">
        <f t="shared" si="28"/>
        <v>-3.7513307659199314E-3</v>
      </c>
      <c r="D940" s="76">
        <f t="shared" si="29"/>
        <v>1.4072482515337419E-5</v>
      </c>
      <c r="E940" s="1"/>
    </row>
    <row r="941" spans="1:5">
      <c r="A941" s="4">
        <v>41134</v>
      </c>
      <c r="B941" s="11">
        <v>30.717863999999999</v>
      </c>
      <c r="C941" s="75">
        <f t="shared" si="28"/>
        <v>-2.6709971854162328E-3</v>
      </c>
      <c r="D941" s="76">
        <f t="shared" si="29"/>
        <v>7.1342259645014376E-6</v>
      </c>
      <c r="E941" s="1"/>
    </row>
    <row r="942" spans="1:5">
      <c r="A942" s="4">
        <v>41131</v>
      </c>
      <c r="B942" s="11">
        <v>30.800021000000001</v>
      </c>
      <c r="C942" s="75">
        <f t="shared" si="28"/>
        <v>6.9594156643733758E-3</v>
      </c>
      <c r="D942" s="76">
        <f t="shared" si="29"/>
        <v>4.8433466389525512E-5</v>
      </c>
      <c r="E942" s="1"/>
    </row>
    <row r="943" spans="1:5">
      <c r="A943" s="4">
        <v>41130</v>
      </c>
      <c r="B943" s="11">
        <v>30.586414999999999</v>
      </c>
      <c r="C943" s="75">
        <f t="shared" si="28"/>
        <v>-5.3576801163705478E-3</v>
      </c>
      <c r="D943" s="76">
        <f t="shared" si="29"/>
        <v>2.8704736229352326E-5</v>
      </c>
      <c r="E943" s="1"/>
    </row>
    <row r="944" spans="1:5">
      <c r="A944" s="4">
        <v>41129</v>
      </c>
      <c r="B944" s="11">
        <v>30.750727000000001</v>
      </c>
      <c r="C944" s="75">
        <f t="shared" si="28"/>
        <v>-2.6707996696796645E-4</v>
      </c>
      <c r="D944" s="76">
        <f t="shared" si="29"/>
        <v>7.1331708755610053E-8</v>
      </c>
      <c r="E944" s="1"/>
    </row>
    <row r="945" spans="1:5">
      <c r="A945" s="4">
        <v>41128</v>
      </c>
      <c r="B945" s="11">
        <v>30.758941</v>
      </c>
      <c r="C945" s="75">
        <f t="shared" si="28"/>
        <v>-4.5303534010138757E-3</v>
      </c>
      <c r="D945" s="76">
        <f t="shared" si="29"/>
        <v>2.0524101938077989E-5</v>
      </c>
      <c r="E945" s="1"/>
    </row>
    <row r="946" spans="1:5">
      <c r="A946" s="4">
        <v>41127</v>
      </c>
      <c r="B946" s="11">
        <v>30.898606000000001</v>
      </c>
      <c r="C946" s="75">
        <f t="shared" si="28"/>
        <v>7.9792705741349749E-4</v>
      </c>
      <c r="D946" s="76">
        <f t="shared" si="29"/>
        <v>6.3668758895256293E-7</v>
      </c>
      <c r="E946" s="1"/>
    </row>
    <row r="947" spans="1:5">
      <c r="A947" s="4">
        <v>41124</v>
      </c>
      <c r="B947" s="11">
        <v>30.873961000000001</v>
      </c>
      <c r="C947" s="75">
        <f t="shared" si="28"/>
        <v>1.0649913858502846E-3</v>
      </c>
      <c r="D947" s="76">
        <f t="shared" si="29"/>
        <v>1.1342066519353098E-6</v>
      </c>
      <c r="E947" s="1"/>
    </row>
    <row r="948" spans="1:5">
      <c r="A948" s="4">
        <v>41123</v>
      </c>
      <c r="B948" s="11">
        <v>30.841097999999999</v>
      </c>
      <c r="C948" s="75">
        <f t="shared" si="28"/>
        <v>-2.6602416588059185E-3</v>
      </c>
      <c r="D948" s="76">
        <f t="shared" si="29"/>
        <v>7.0768856832464652E-6</v>
      </c>
      <c r="E948" s="1"/>
    </row>
    <row r="949" spans="1:5">
      <c r="A949" s="4">
        <v>41122</v>
      </c>
      <c r="B949" s="11">
        <v>30.923252000000002</v>
      </c>
      <c r="C949" s="75">
        <f t="shared" si="28"/>
        <v>-7.4113364034429459E-3</v>
      </c>
      <c r="D949" s="76">
        <f t="shared" si="29"/>
        <v>5.492790728499862E-5</v>
      </c>
      <c r="E949" s="1"/>
    </row>
    <row r="950" spans="1:5">
      <c r="A950" s="4">
        <v>41121</v>
      </c>
      <c r="B950" s="11">
        <v>31.153286000000001</v>
      </c>
      <c r="C950" s="75">
        <f t="shared" si="28"/>
        <v>1.30060929869668E-2</v>
      </c>
      <c r="D950" s="76">
        <f t="shared" si="29"/>
        <v>1.6915845478562697E-4</v>
      </c>
      <c r="E950" s="1"/>
    </row>
    <row r="951" spans="1:5">
      <c r="A951" s="4">
        <v>41120</v>
      </c>
      <c r="B951" s="11">
        <v>30.750727000000001</v>
      </c>
      <c r="C951" s="75">
        <f t="shared" si="28"/>
        <v>7.7780198670702183E-3</v>
      </c>
      <c r="D951" s="76">
        <f t="shared" si="29"/>
        <v>6.0497593052539017E-5</v>
      </c>
      <c r="E951" s="1"/>
    </row>
    <row r="952" spans="1:5">
      <c r="A952" s="4">
        <v>41117</v>
      </c>
      <c r="B952" s="11">
        <v>30.512474999999998</v>
      </c>
      <c r="C952" s="75">
        <f t="shared" si="28"/>
        <v>2.287679981088913E-2</v>
      </c>
      <c r="D952" s="76">
        <f t="shared" si="29"/>
        <v>5.2334796958749695E-4</v>
      </c>
      <c r="E952" s="1"/>
    </row>
    <row r="953" spans="1:5">
      <c r="A953" s="4">
        <v>41116</v>
      </c>
      <c r="B953" s="11">
        <v>29.822371</v>
      </c>
      <c r="C953" s="75">
        <f t="shared" si="28"/>
        <v>2.7085199539046593E-2</v>
      </c>
      <c r="D953" s="76">
        <f t="shared" si="29"/>
        <v>7.3360803406996979E-4</v>
      </c>
      <c r="E953" s="1"/>
    </row>
    <row r="954" spans="1:5">
      <c r="A954" s="4">
        <v>41115</v>
      </c>
      <c r="B954" s="11">
        <v>29.025466999999999</v>
      </c>
      <c r="C954" s="75">
        <f t="shared" si="28"/>
        <v>2.0012134931989514E-2</v>
      </c>
      <c r="D954" s="76">
        <f t="shared" si="29"/>
        <v>4.0048554453615495E-4</v>
      </c>
      <c r="E954" s="1"/>
    </row>
    <row r="955" spans="1:5">
      <c r="A955" s="4">
        <v>41114</v>
      </c>
      <c r="B955" s="11">
        <v>28.450379000000002</v>
      </c>
      <c r="C955" s="75">
        <f t="shared" si="28"/>
        <v>-2.1426339953953245E-2</v>
      </c>
      <c r="D955" s="76">
        <f t="shared" si="29"/>
        <v>4.5908804382237316E-4</v>
      </c>
      <c r="E955" s="1"/>
    </row>
    <row r="956" spans="1:5">
      <c r="A956" s="4">
        <v>41113</v>
      </c>
      <c r="B956" s="11">
        <v>29.066544</v>
      </c>
      <c r="C956" s="75">
        <f t="shared" si="28"/>
        <v>2.5470590775416441E-3</v>
      </c>
      <c r="D956" s="76">
        <f t="shared" si="29"/>
        <v>6.4875099444872911E-6</v>
      </c>
      <c r="E956" s="1"/>
    </row>
    <row r="957" spans="1:5">
      <c r="A957" s="4">
        <v>41110</v>
      </c>
      <c r="B957" s="11">
        <v>28.992604</v>
      </c>
      <c r="C957" s="75">
        <f t="shared" si="28"/>
        <v>-5.369483298919773E-3</v>
      </c>
      <c r="D957" s="76">
        <f t="shared" si="29"/>
        <v>2.8831350897378369E-5</v>
      </c>
      <c r="E957" s="1"/>
    </row>
    <row r="958" spans="1:5">
      <c r="A958" s="4">
        <v>41109</v>
      </c>
      <c r="B958" s="11">
        <v>29.148698</v>
      </c>
      <c r="C958" s="75">
        <f t="shared" si="28"/>
        <v>-1.9813626953440064E-2</v>
      </c>
      <c r="D958" s="76">
        <f t="shared" si="29"/>
        <v>3.9257981305008656E-4</v>
      </c>
      <c r="E958" s="1"/>
    </row>
    <row r="959" spans="1:5">
      <c r="A959" s="4">
        <v>41108</v>
      </c>
      <c r="B959" s="11">
        <v>29.731998999999998</v>
      </c>
      <c r="C959" s="75">
        <f t="shared" si="28"/>
        <v>1.0276387647322331E-2</v>
      </c>
      <c r="D959" s="76">
        <f t="shared" si="29"/>
        <v>1.0560414307803899E-4</v>
      </c>
      <c r="E959" s="1"/>
    </row>
    <row r="960" spans="1:5">
      <c r="A960" s="4">
        <v>41107</v>
      </c>
      <c r="B960" s="11">
        <v>29.428025999999999</v>
      </c>
      <c r="C960" s="75">
        <f t="shared" si="28"/>
        <v>1.1229827078844665E-2</v>
      </c>
      <c r="D960" s="76">
        <f t="shared" si="29"/>
        <v>1.2610901622075289E-4</v>
      </c>
      <c r="E960" s="1"/>
    </row>
    <row r="961" spans="1:5">
      <c r="A961" s="4">
        <v>41106</v>
      </c>
      <c r="B961" s="11">
        <v>29.099402999999999</v>
      </c>
      <c r="C961" s="75">
        <f t="shared" si="28"/>
        <v>1.9782158545555771E-3</v>
      </c>
      <c r="D961" s="76">
        <f t="shared" si="29"/>
        <v>3.913337967215052E-6</v>
      </c>
      <c r="E961" s="1"/>
    </row>
    <row r="962" spans="1:5">
      <c r="A962" s="4">
        <v>41103</v>
      </c>
      <c r="B962" s="11">
        <v>29.041895</v>
      </c>
      <c r="C962" s="75">
        <f t="shared" si="28"/>
        <v>1.3671517978588099E-2</v>
      </c>
      <c r="D962" s="76">
        <f t="shared" si="29"/>
        <v>1.869104038388576E-4</v>
      </c>
      <c r="E962" s="1"/>
    </row>
    <row r="963" spans="1:5">
      <c r="A963" s="4">
        <v>41102</v>
      </c>
      <c r="B963" s="11">
        <v>28.647549999999999</v>
      </c>
      <c r="C963" s="75">
        <f t="shared" si="28"/>
        <v>-1.1122294353916038E-2</v>
      </c>
      <c r="D963" s="76">
        <f t="shared" si="29"/>
        <v>1.2370543169515258E-4</v>
      </c>
      <c r="E963" s="1"/>
    </row>
    <row r="964" spans="1:5">
      <c r="A964" s="4">
        <v>41101</v>
      </c>
      <c r="B964" s="11">
        <v>28.967955</v>
      </c>
      <c r="C964" s="75">
        <f t="shared" si="28"/>
        <v>-5.091965228873745E-3</v>
      </c>
      <c r="D964" s="76">
        <f t="shared" si="29"/>
        <v>2.5928109892059252E-5</v>
      </c>
      <c r="E964" s="1"/>
    </row>
    <row r="965" spans="1:5">
      <c r="A965" s="4">
        <v>41100</v>
      </c>
      <c r="B965" s="11">
        <v>29.115835000000001</v>
      </c>
      <c r="C965" s="75">
        <f t="shared" si="28"/>
        <v>-2.8177555336508114E-3</v>
      </c>
      <c r="D965" s="76">
        <f t="shared" si="29"/>
        <v>7.9397462474197693E-6</v>
      </c>
      <c r="E965" s="1"/>
    </row>
    <row r="966" spans="1:5">
      <c r="A966" s="4">
        <v>41099</v>
      </c>
      <c r="B966" s="11">
        <v>29.197991999999999</v>
      </c>
      <c r="C966" s="75">
        <f t="shared" si="28"/>
        <v>2.8177555336506891E-3</v>
      </c>
      <c r="D966" s="76">
        <f t="shared" si="29"/>
        <v>7.9397462474190798E-6</v>
      </c>
      <c r="E966" s="1"/>
    </row>
    <row r="967" spans="1:5">
      <c r="A967" s="4">
        <v>41096</v>
      </c>
      <c r="B967" s="11">
        <v>29.115835000000001</v>
      </c>
      <c r="C967" s="75">
        <f t="shared" ref="C967:C1011" si="30">LN(B967/B968)</f>
        <v>3.1085672202613153E-3</v>
      </c>
      <c r="D967" s="76">
        <f t="shared" si="29"/>
        <v>9.6631901628831604E-6</v>
      </c>
      <c r="E967" s="1"/>
    </row>
    <row r="968" spans="1:5">
      <c r="A968" s="4">
        <v>41095</v>
      </c>
      <c r="B968" s="11">
        <v>29.025466999999999</v>
      </c>
      <c r="C968" s="75">
        <f t="shared" si="30"/>
        <v>-6.4093557378628813E-3</v>
      </c>
      <c r="D968" s="76">
        <f t="shared" ref="D968:D1011" si="31">C968^2</f>
        <v>4.1079840974475839E-5</v>
      </c>
      <c r="E968" s="1"/>
    </row>
    <row r="969" spans="1:5">
      <c r="A969" s="4">
        <v>41093</v>
      </c>
      <c r="B969" s="11">
        <v>29.212098999999998</v>
      </c>
      <c r="C969" s="75">
        <f t="shared" si="30"/>
        <v>-5.5401994776677656E-3</v>
      </c>
      <c r="D969" s="76">
        <f t="shared" si="31"/>
        <v>3.0693810252350185E-5</v>
      </c>
      <c r="E969" s="1"/>
    </row>
    <row r="970" spans="1:5">
      <c r="A970" s="4">
        <v>41092</v>
      </c>
      <c r="B970" s="11">
        <v>29.374389000000001</v>
      </c>
      <c r="C970" s="75">
        <f t="shared" si="30"/>
        <v>1.5029523905239721E-2</v>
      </c>
      <c r="D970" s="76">
        <f t="shared" si="31"/>
        <v>2.2588658881817224E-4</v>
      </c>
      <c r="E970" s="1"/>
    </row>
    <row r="971" spans="1:5">
      <c r="A971" s="4">
        <v>41089</v>
      </c>
      <c r="B971" s="11">
        <v>28.936207</v>
      </c>
      <c r="C971" s="75">
        <f t="shared" si="30"/>
        <v>7.6003270322424774E-3</v>
      </c>
      <c r="D971" s="76">
        <f t="shared" si="31"/>
        <v>5.7764970997035745E-5</v>
      </c>
      <c r="E971" s="1"/>
    </row>
    <row r="972" spans="1:5">
      <c r="A972" s="4">
        <v>41088</v>
      </c>
      <c r="B972" s="11">
        <v>28.717116000000001</v>
      </c>
      <c r="C972" s="75">
        <f t="shared" si="30"/>
        <v>5.6673627160218898E-3</v>
      </c>
      <c r="D972" s="76">
        <f t="shared" si="31"/>
        <v>3.211900015495501E-5</v>
      </c>
      <c r="E972" s="1"/>
    </row>
    <row r="973" spans="1:5">
      <c r="A973" s="4">
        <v>41087</v>
      </c>
      <c r="B973" s="11">
        <v>28.554825999999998</v>
      </c>
      <c r="C973" s="75">
        <f t="shared" si="30"/>
        <v>5.9854498162525416E-3</v>
      </c>
      <c r="D973" s="76">
        <f t="shared" si="31"/>
        <v>3.5825609502877582E-5</v>
      </c>
      <c r="E973" s="1"/>
    </row>
    <row r="974" spans="1:5">
      <c r="A974" s="4">
        <v>41086</v>
      </c>
      <c r="B974" s="11">
        <v>28.384423000000002</v>
      </c>
      <c r="C974" s="75">
        <f t="shared" si="30"/>
        <v>8.5798624382432416E-4</v>
      </c>
      <c r="D974" s="76">
        <f t="shared" si="31"/>
        <v>7.3614039459177261E-7</v>
      </c>
      <c r="E974" s="1"/>
    </row>
    <row r="975" spans="1:5">
      <c r="A975" s="4">
        <v>41085</v>
      </c>
      <c r="B975" s="11">
        <v>28.36008</v>
      </c>
      <c r="C975" s="75">
        <f t="shared" si="30"/>
        <v>-6.2749292309417703E-3</v>
      </c>
      <c r="D975" s="76">
        <f t="shared" si="31"/>
        <v>3.9374736853327479E-5</v>
      </c>
      <c r="E975" s="1"/>
    </row>
    <row r="976" spans="1:5">
      <c r="A976" s="4">
        <v>41082</v>
      </c>
      <c r="B976" s="11">
        <v>28.538596999999999</v>
      </c>
      <c r="C976" s="75">
        <f t="shared" si="30"/>
        <v>3.9885880302718869E-3</v>
      </c>
      <c r="D976" s="76">
        <f t="shared" si="31"/>
        <v>1.5908834475228169E-5</v>
      </c>
      <c r="E976" s="1"/>
    </row>
    <row r="977" spans="1:5">
      <c r="A977" s="4">
        <v>41081</v>
      </c>
      <c r="B977" s="11">
        <v>28.424994999999999</v>
      </c>
      <c r="C977" s="75">
        <f t="shared" si="30"/>
        <v>-1.0789431298848769E-2</v>
      </c>
      <c r="D977" s="76">
        <f t="shared" si="31"/>
        <v>1.1641182775257744E-4</v>
      </c>
      <c r="E977" s="1"/>
    </row>
    <row r="978" spans="1:5">
      <c r="A978" s="4">
        <v>41080</v>
      </c>
      <c r="B978" s="11">
        <v>28.733345</v>
      </c>
      <c r="C978" s="75">
        <f t="shared" si="30"/>
        <v>-1.6930432633137009E-3</v>
      </c>
      <c r="D978" s="76">
        <f t="shared" si="31"/>
        <v>2.8663954914519057E-6</v>
      </c>
      <c r="E978" s="1"/>
    </row>
    <row r="979" spans="1:5">
      <c r="A979" s="4">
        <v>41079</v>
      </c>
      <c r="B979" s="11">
        <v>28.782032999999998</v>
      </c>
      <c r="C979" s="75">
        <f t="shared" si="30"/>
        <v>-4.5007262002697192E-3</v>
      </c>
      <c r="D979" s="76">
        <f t="shared" si="31"/>
        <v>2.0256536329794304E-5</v>
      </c>
      <c r="E979" s="1"/>
    </row>
    <row r="980" spans="1:5">
      <c r="A980" s="4">
        <v>41078</v>
      </c>
      <c r="B980" s="11">
        <v>28.911864999999999</v>
      </c>
      <c r="C980" s="75">
        <f t="shared" si="30"/>
        <v>-2.24272060021577E-3</v>
      </c>
      <c r="D980" s="76">
        <f t="shared" si="31"/>
        <v>5.0297956906321838E-6</v>
      </c>
      <c r="E980" s="1"/>
    </row>
    <row r="981" spans="1:5">
      <c r="A981" s="4">
        <v>41075</v>
      </c>
      <c r="B981" s="11">
        <v>28.976779000000001</v>
      </c>
      <c r="C981" s="75">
        <f t="shared" si="30"/>
        <v>5.6022604785445557E-4</v>
      </c>
      <c r="D981" s="76">
        <f t="shared" si="31"/>
        <v>3.1385322469462273E-7</v>
      </c>
      <c r="E981" s="1"/>
    </row>
    <row r="982" spans="1:5">
      <c r="A982" s="4">
        <v>41074</v>
      </c>
      <c r="B982" s="11">
        <v>28.960550000000001</v>
      </c>
      <c r="C982" s="75">
        <f t="shared" si="30"/>
        <v>2.0094050271639099E-2</v>
      </c>
      <c r="D982" s="76">
        <f t="shared" si="31"/>
        <v>4.0377085631915932E-4</v>
      </c>
      <c r="E982" s="1"/>
    </row>
    <row r="983" spans="1:5">
      <c r="A983" s="4">
        <v>41073</v>
      </c>
      <c r="B983" s="11">
        <v>28.384423000000002</v>
      </c>
      <c r="C983" s="75">
        <f t="shared" si="30"/>
        <v>0</v>
      </c>
      <c r="D983" s="76">
        <f t="shared" si="31"/>
        <v>0</v>
      </c>
      <c r="E983" s="1"/>
    </row>
    <row r="984" spans="1:5">
      <c r="A984" s="4">
        <v>41072</v>
      </c>
      <c r="B984" s="11">
        <v>28.384423000000002</v>
      </c>
      <c r="C984" s="75">
        <f t="shared" si="30"/>
        <v>1.1211832127475263E-2</v>
      </c>
      <c r="D984" s="76">
        <f t="shared" si="31"/>
        <v>1.2570517965468646E-4</v>
      </c>
      <c r="E984" s="1"/>
    </row>
    <row r="985" spans="1:5">
      <c r="A985" s="4">
        <v>41071</v>
      </c>
      <c r="B985" s="11">
        <v>28.067958999999998</v>
      </c>
      <c r="C985" s="75">
        <f t="shared" si="30"/>
        <v>1.1571123848758615E-3</v>
      </c>
      <c r="D985" s="76">
        <f t="shared" si="31"/>
        <v>1.3389090712331039E-6</v>
      </c>
      <c r="E985" s="1"/>
    </row>
    <row r="986" spans="1:5">
      <c r="A986" s="4">
        <v>41068</v>
      </c>
      <c r="B986" s="11">
        <v>28.035499999999999</v>
      </c>
      <c r="C986" s="75">
        <f t="shared" si="30"/>
        <v>1.1352166883677009E-2</v>
      </c>
      <c r="D986" s="76">
        <f t="shared" si="31"/>
        <v>1.2887169295485297E-4</v>
      </c>
      <c r="E986" s="1"/>
    </row>
    <row r="987" spans="1:5">
      <c r="A987" s="4">
        <v>41067</v>
      </c>
      <c r="B987" s="11">
        <v>27.719035999999999</v>
      </c>
      <c r="C987" s="75">
        <f t="shared" si="30"/>
        <v>-1.1641615100252453E-2</v>
      </c>
      <c r="D987" s="76">
        <f t="shared" si="31"/>
        <v>1.3552720214242593E-4</v>
      </c>
      <c r="E987" s="1"/>
    </row>
    <row r="988" spans="1:5">
      <c r="A988" s="4">
        <v>41066</v>
      </c>
      <c r="B988" s="11">
        <v>28.043616</v>
      </c>
      <c r="C988" s="75">
        <f t="shared" si="30"/>
        <v>1.4573246589962931E-2</v>
      </c>
      <c r="D988" s="76">
        <f t="shared" si="31"/>
        <v>2.1237951617186619E-4</v>
      </c>
      <c r="E988" s="1"/>
    </row>
    <row r="989" spans="1:5">
      <c r="A989" s="4">
        <v>41065</v>
      </c>
      <c r="B989" s="11">
        <v>27.637892999999998</v>
      </c>
      <c r="C989" s="75">
        <f t="shared" si="30"/>
        <v>-2.6389017022708165E-3</v>
      </c>
      <c r="D989" s="76">
        <f t="shared" si="31"/>
        <v>6.9638021942478133E-6</v>
      </c>
      <c r="E989" s="1"/>
    </row>
    <row r="990" spans="1:5">
      <c r="A990" s="4">
        <v>41064</v>
      </c>
      <c r="B990" s="11">
        <v>27.710923000000001</v>
      </c>
      <c r="C990" s="75">
        <f t="shared" si="30"/>
        <v>7.3475786029280725E-3</v>
      </c>
      <c r="D990" s="76">
        <f t="shared" si="31"/>
        <v>5.3986911326206449E-5</v>
      </c>
      <c r="E990" s="1"/>
    </row>
    <row r="991" spans="1:5">
      <c r="A991" s="4">
        <v>41061</v>
      </c>
      <c r="B991" s="11">
        <v>27.508061000000001</v>
      </c>
      <c r="C991" s="75">
        <f t="shared" si="30"/>
        <v>-7.932952512155483E-3</v>
      </c>
      <c r="D991" s="76">
        <f t="shared" si="31"/>
        <v>6.2931735560113982E-5</v>
      </c>
      <c r="E991" s="1"/>
    </row>
    <row r="992" spans="1:5">
      <c r="A992" s="4">
        <v>41060</v>
      </c>
      <c r="B992" s="11">
        <v>27.727149000000001</v>
      </c>
      <c r="C992" s="75">
        <f t="shared" si="30"/>
        <v>9.7044746368045564E-3</v>
      </c>
      <c r="D992" s="76">
        <f t="shared" si="31"/>
        <v>9.4176827976382932E-5</v>
      </c>
      <c r="E992" s="1"/>
    </row>
    <row r="993" spans="1:5">
      <c r="A993" s="4">
        <v>41059</v>
      </c>
      <c r="B993" s="11">
        <v>27.459372999999999</v>
      </c>
      <c r="C993" s="75">
        <f t="shared" si="30"/>
        <v>-2.9506989513683425E-3</v>
      </c>
      <c r="D993" s="76">
        <f t="shared" si="31"/>
        <v>8.7066243016062365E-6</v>
      </c>
      <c r="E993" s="1"/>
    </row>
    <row r="994" spans="1:5">
      <c r="A994" s="4">
        <v>41058</v>
      </c>
      <c r="B994" s="11">
        <v>27.540517000000001</v>
      </c>
      <c r="C994" s="75">
        <f t="shared" si="30"/>
        <v>7.3932099643560381E-3</v>
      </c>
      <c r="D994" s="76">
        <f t="shared" si="31"/>
        <v>5.4659553577053412E-5</v>
      </c>
      <c r="E994" s="1"/>
    </row>
    <row r="995" spans="1:5">
      <c r="A995" s="4">
        <v>41054</v>
      </c>
      <c r="B995" s="11">
        <v>27.337655000000002</v>
      </c>
      <c r="C995" s="75">
        <f t="shared" si="30"/>
        <v>1.485209188995065E-3</v>
      </c>
      <c r="D995" s="76">
        <f t="shared" si="31"/>
        <v>2.2058463350753785E-6</v>
      </c>
      <c r="E995" s="1"/>
    </row>
    <row r="996" spans="1:5">
      <c r="A996" s="4">
        <v>41053</v>
      </c>
      <c r="B996" s="11">
        <v>27.297083000000001</v>
      </c>
      <c r="C996" s="75">
        <f t="shared" si="30"/>
        <v>8.3582129418664323E-3</v>
      </c>
      <c r="D996" s="76">
        <f t="shared" si="31"/>
        <v>6.9859723581583522E-5</v>
      </c>
      <c r="E996" s="1"/>
    </row>
    <row r="997" spans="1:5">
      <c r="A997" s="4">
        <v>41052</v>
      </c>
      <c r="B997" s="11">
        <v>27.069879</v>
      </c>
      <c r="C997" s="75">
        <f t="shared" si="30"/>
        <v>-5.3811973421884667E-3</v>
      </c>
      <c r="D997" s="76">
        <f t="shared" si="31"/>
        <v>2.8957284835576218E-5</v>
      </c>
      <c r="E997" s="1"/>
    </row>
    <row r="998" spans="1:5">
      <c r="A998" s="4">
        <v>41051</v>
      </c>
      <c r="B998" s="11">
        <v>27.21594</v>
      </c>
      <c r="C998" s="75">
        <f t="shared" si="30"/>
        <v>-2.6797601795163469E-3</v>
      </c>
      <c r="D998" s="76">
        <f t="shared" si="31"/>
        <v>7.1811146197214835E-6</v>
      </c>
      <c r="E998" s="1"/>
    </row>
    <row r="999" spans="1:5">
      <c r="A999" s="4">
        <v>41050</v>
      </c>
      <c r="B999" s="11">
        <v>27.288969999999999</v>
      </c>
      <c r="C999" s="75">
        <f t="shared" si="30"/>
        <v>-8.9164775812753403E-4</v>
      </c>
      <c r="D999" s="76">
        <f t="shared" si="31"/>
        <v>7.9503572457385741E-7</v>
      </c>
      <c r="E999" s="1"/>
    </row>
    <row r="1000" spans="1:5">
      <c r="A1000" s="4">
        <v>41047</v>
      </c>
      <c r="B1000" s="11">
        <v>27.313313000000001</v>
      </c>
      <c r="C1000" s="75">
        <f t="shared" si="30"/>
        <v>1.1053119897943931E-2</v>
      </c>
      <c r="D1000" s="76">
        <f t="shared" si="31"/>
        <v>1.2217145947832406E-4</v>
      </c>
      <c r="E1000" s="1"/>
    </row>
    <row r="1001" spans="1:5">
      <c r="A1001" s="4">
        <v>41046</v>
      </c>
      <c r="B1001" s="11">
        <v>27.013078</v>
      </c>
      <c r="C1001" s="75">
        <f t="shared" si="30"/>
        <v>3.0084733028601547E-3</v>
      </c>
      <c r="D1001" s="76">
        <f t="shared" si="31"/>
        <v>9.050911614022288E-6</v>
      </c>
      <c r="E1001" s="1"/>
    </row>
    <row r="1002" spans="1:5">
      <c r="A1002" s="4">
        <v>41045</v>
      </c>
      <c r="B1002" s="11">
        <v>26.931932</v>
      </c>
      <c r="C1002" s="75">
        <f t="shared" si="30"/>
        <v>-4.8091263331479644E-3</v>
      </c>
      <c r="D1002" s="76">
        <f t="shared" si="31"/>
        <v>2.3127696088177185E-5</v>
      </c>
      <c r="E1002" s="1"/>
    </row>
    <row r="1003" spans="1:5">
      <c r="A1003" s="4">
        <v>41044</v>
      </c>
      <c r="B1003" s="11">
        <v>27.061762999999999</v>
      </c>
      <c r="C1003" s="75">
        <f t="shared" si="30"/>
        <v>-5.3828068627659363E-3</v>
      </c>
      <c r="D1003" s="76">
        <f t="shared" si="31"/>
        <v>2.8974609721840061E-5</v>
      </c>
      <c r="E1003" s="1"/>
    </row>
    <row r="1004" spans="1:5">
      <c r="A1004" s="4">
        <v>41043</v>
      </c>
      <c r="B1004" s="11">
        <v>27.207823999999999</v>
      </c>
      <c r="C1004" s="75">
        <f t="shared" si="30"/>
        <v>-1.7878860386515718E-3</v>
      </c>
      <c r="D1004" s="76">
        <f t="shared" si="31"/>
        <v>3.1965364872052095E-6</v>
      </c>
      <c r="E1004" s="1"/>
    </row>
    <row r="1005" spans="1:5">
      <c r="A1005" s="4">
        <v>41040</v>
      </c>
      <c r="B1005" s="11">
        <v>27.256512000000001</v>
      </c>
      <c r="C1005" s="75">
        <f t="shared" si="30"/>
        <v>1.3789160546307206E-2</v>
      </c>
      <c r="D1005" s="76">
        <f t="shared" si="31"/>
        <v>1.9014094857183525E-4</v>
      </c>
      <c r="E1005" s="1"/>
    </row>
    <row r="1006" spans="1:5">
      <c r="A1006" s="4">
        <v>41039</v>
      </c>
      <c r="B1006" s="11">
        <v>26.883247000000001</v>
      </c>
      <c r="C1006" s="75">
        <f t="shared" si="30"/>
        <v>9.7058649739096246E-3</v>
      </c>
      <c r="D1006" s="76">
        <f t="shared" si="31"/>
        <v>9.4203814891765685E-5</v>
      </c>
      <c r="E1006" s="1"/>
    </row>
    <row r="1007" spans="1:5">
      <c r="A1007" s="4">
        <v>41038</v>
      </c>
      <c r="B1007" s="11">
        <v>26.623584000000001</v>
      </c>
      <c r="C1007" s="75">
        <f t="shared" si="30"/>
        <v>-6.9855693939493164E-3</v>
      </c>
      <c r="D1007" s="76">
        <f t="shared" si="31"/>
        <v>4.8798179757681419E-5</v>
      </c>
      <c r="E1007" s="1"/>
    </row>
    <row r="1008" spans="1:5">
      <c r="A1008" s="4">
        <v>41037</v>
      </c>
      <c r="B1008" s="11">
        <v>26.810216</v>
      </c>
      <c r="C1008" s="75">
        <f t="shared" si="30"/>
        <v>1.211391345724785E-3</v>
      </c>
      <c r="D1008" s="76">
        <f t="shared" si="31"/>
        <v>1.4674689924969056E-6</v>
      </c>
      <c r="E1008" s="1"/>
    </row>
    <row r="1009" spans="1:5">
      <c r="A1009" s="4">
        <v>41036</v>
      </c>
      <c r="B1009" s="11">
        <v>26.777757999999999</v>
      </c>
      <c r="C1009" s="75">
        <f t="shared" si="30"/>
        <v>4.2514259915686784E-3</v>
      </c>
      <c r="D1009" s="76">
        <f t="shared" si="31"/>
        <v>1.807462296178572E-5</v>
      </c>
      <c r="E1009" s="1"/>
    </row>
    <row r="1010" spans="1:5">
      <c r="A1010" s="4">
        <v>41033</v>
      </c>
      <c r="B1010" s="11">
        <v>26.664155999999998</v>
      </c>
      <c r="C1010" s="75">
        <f t="shared" si="30"/>
        <v>-7.5792088883076605E-3</v>
      </c>
      <c r="D1010" s="76">
        <f t="shared" si="31"/>
        <v>5.7444407372601846E-5</v>
      </c>
      <c r="E1010" s="1"/>
    </row>
    <row r="1011" spans="1:5" ht="15" thickBot="1">
      <c r="A1011" s="4">
        <v>41032</v>
      </c>
      <c r="B1011" s="12">
        <v>26.867017000000001</v>
      </c>
      <c r="C1011" s="14" t="e">
        <f t="shared" si="30"/>
        <v>#DIV/0!</v>
      </c>
      <c r="D1011" s="15" t="e">
        <f t="shared" si="31"/>
        <v>#DIV/0!</v>
      </c>
      <c r="E1011" s="1"/>
    </row>
    <row r="1012" spans="1:5">
      <c r="A1012" s="1"/>
      <c r="B1012"/>
      <c r="C1012"/>
      <c r="D1012"/>
      <c r="E1012"/>
    </row>
    <row r="1013" spans="1:5">
      <c r="A1013" s="1"/>
      <c r="B1013"/>
      <c r="C1013"/>
      <c r="D1013"/>
      <c r="E1013"/>
    </row>
    <row r="1014" spans="1:5">
      <c r="A1014" s="1"/>
      <c r="B1014"/>
      <c r="C1014"/>
      <c r="D1014"/>
      <c r="E1014"/>
    </row>
    <row r="1015" spans="1:5">
      <c r="A1015" s="1"/>
      <c r="B1015"/>
      <c r="C1015"/>
      <c r="D1015"/>
      <c r="E1015"/>
    </row>
    <row r="1016" spans="1:5">
      <c r="A1016" s="1"/>
      <c r="B1016"/>
      <c r="C1016"/>
      <c r="D1016"/>
      <c r="E1016"/>
    </row>
    <row r="1017" spans="1:5">
      <c r="A1017" s="1"/>
      <c r="B1017"/>
      <c r="C1017"/>
      <c r="D1017"/>
      <c r="E1017"/>
    </row>
    <row r="1018" spans="1:5">
      <c r="A1018" s="1"/>
      <c r="B1018"/>
      <c r="C1018"/>
      <c r="D1018"/>
      <c r="E1018"/>
    </row>
    <row r="1019" spans="1:5">
      <c r="A1019" s="1"/>
      <c r="B1019"/>
      <c r="C1019"/>
      <c r="D1019"/>
      <c r="E1019"/>
    </row>
    <row r="1020" spans="1:5">
      <c r="A1020" s="1"/>
      <c r="B1020"/>
      <c r="C1020"/>
      <c r="D1020"/>
      <c r="E1020"/>
    </row>
    <row r="1021" spans="1:5">
      <c r="A1021" s="1"/>
      <c r="B1021"/>
      <c r="C1021"/>
      <c r="D1021"/>
      <c r="E1021"/>
    </row>
    <row r="1022" spans="1:5">
      <c r="A1022" s="1"/>
      <c r="B1022"/>
      <c r="C1022"/>
      <c r="D1022"/>
      <c r="E1022"/>
    </row>
    <row r="1023" spans="1:5">
      <c r="A1023" s="1"/>
      <c r="B1023"/>
      <c r="C1023"/>
      <c r="D1023"/>
      <c r="E1023"/>
    </row>
    <row r="1024" spans="1:5">
      <c r="A1024" s="1"/>
      <c r="B1024"/>
      <c r="C1024"/>
      <c r="D1024"/>
      <c r="E1024"/>
    </row>
    <row r="1025" spans="1:5">
      <c r="A1025" s="1"/>
      <c r="B1025"/>
      <c r="C1025"/>
      <c r="D1025"/>
      <c r="E1025"/>
    </row>
    <row r="1026" spans="1:5">
      <c r="A1026" s="1"/>
      <c r="B1026"/>
      <c r="C1026"/>
      <c r="D1026"/>
      <c r="E1026"/>
    </row>
    <row r="1027" spans="1:5">
      <c r="A1027" s="1"/>
      <c r="B1027"/>
      <c r="C1027"/>
      <c r="D1027"/>
      <c r="E1027"/>
    </row>
    <row r="1028" spans="1:5">
      <c r="A1028" s="1"/>
      <c r="B1028"/>
      <c r="C1028"/>
      <c r="D1028"/>
      <c r="E1028"/>
    </row>
    <row r="1029" spans="1:5">
      <c r="A1029" s="1"/>
      <c r="B1029"/>
      <c r="C1029"/>
      <c r="D1029"/>
      <c r="E1029"/>
    </row>
    <row r="1030" spans="1:5">
      <c r="A1030" s="1"/>
      <c r="B1030"/>
      <c r="C1030"/>
      <c r="D1030"/>
      <c r="E1030"/>
    </row>
    <row r="1031" spans="1:5">
      <c r="A1031" s="1"/>
      <c r="B1031"/>
      <c r="C1031"/>
      <c r="D1031"/>
      <c r="E1031"/>
    </row>
    <row r="1032" spans="1:5">
      <c r="A1032" s="1"/>
      <c r="B1032"/>
      <c r="C1032"/>
      <c r="D1032"/>
      <c r="E1032"/>
    </row>
    <row r="1033" spans="1:5">
      <c r="A1033" s="1"/>
      <c r="B1033"/>
      <c r="C1033"/>
      <c r="D1033"/>
      <c r="E1033"/>
    </row>
    <row r="1034" spans="1:5">
      <c r="A1034" s="1"/>
      <c r="B1034"/>
      <c r="C1034"/>
      <c r="D1034"/>
      <c r="E1034"/>
    </row>
    <row r="1035" spans="1:5">
      <c r="A1035" s="1"/>
      <c r="B1035"/>
      <c r="C1035"/>
      <c r="D1035"/>
      <c r="E1035"/>
    </row>
    <row r="1036" spans="1:5">
      <c r="A1036" s="1"/>
      <c r="B1036"/>
      <c r="C1036"/>
      <c r="D1036"/>
      <c r="E1036"/>
    </row>
    <row r="1037" spans="1:5">
      <c r="A1037" s="1"/>
      <c r="B1037"/>
      <c r="C1037"/>
      <c r="D1037"/>
      <c r="E1037"/>
    </row>
    <row r="1038" spans="1:5">
      <c r="A1038" s="1"/>
      <c r="B1038"/>
      <c r="C1038"/>
      <c r="D1038"/>
      <c r="E1038"/>
    </row>
    <row r="1039" spans="1:5">
      <c r="A1039" s="1"/>
      <c r="B1039"/>
      <c r="C1039"/>
      <c r="D1039"/>
      <c r="E1039"/>
    </row>
    <row r="1040" spans="1:5">
      <c r="A1040" s="1"/>
      <c r="B1040"/>
      <c r="C1040"/>
      <c r="D1040"/>
      <c r="E1040"/>
    </row>
    <row r="1041" spans="1:5">
      <c r="A1041" s="1"/>
      <c r="B1041"/>
      <c r="C1041"/>
      <c r="D1041"/>
      <c r="E1041"/>
    </row>
    <row r="1042" spans="1:5">
      <c r="A1042" s="1"/>
      <c r="B1042"/>
      <c r="C1042"/>
      <c r="D1042"/>
      <c r="E1042"/>
    </row>
    <row r="1043" spans="1:5">
      <c r="A1043" s="1"/>
      <c r="B1043"/>
      <c r="C1043"/>
      <c r="D1043"/>
      <c r="E1043"/>
    </row>
    <row r="1044" spans="1:5">
      <c r="A1044" s="1"/>
      <c r="B1044"/>
      <c r="C1044"/>
      <c r="D1044"/>
      <c r="E1044"/>
    </row>
    <row r="1045" spans="1:5">
      <c r="A1045" s="1"/>
      <c r="B1045"/>
      <c r="C1045"/>
      <c r="D1045"/>
      <c r="E1045"/>
    </row>
    <row r="1046" spans="1:5">
      <c r="A1046" s="1"/>
      <c r="B1046"/>
      <c r="C1046"/>
      <c r="D1046"/>
      <c r="E1046"/>
    </row>
    <row r="1047" spans="1:5">
      <c r="A1047" s="1"/>
      <c r="B1047"/>
      <c r="C1047"/>
      <c r="D1047"/>
      <c r="E1047"/>
    </row>
    <row r="1048" spans="1:5">
      <c r="A1048" s="1"/>
      <c r="B1048"/>
      <c r="C1048"/>
      <c r="D1048"/>
      <c r="E1048"/>
    </row>
    <row r="1049" spans="1:5">
      <c r="A1049" s="1"/>
      <c r="B1049"/>
      <c r="C1049"/>
      <c r="D1049"/>
      <c r="E1049"/>
    </row>
    <row r="1050" spans="1:5">
      <c r="A1050" s="1"/>
      <c r="B1050"/>
      <c r="C1050"/>
      <c r="D1050"/>
      <c r="E1050"/>
    </row>
    <row r="1051" spans="1:5">
      <c r="A1051" s="1"/>
      <c r="B1051"/>
      <c r="C1051"/>
      <c r="D1051"/>
      <c r="E1051"/>
    </row>
    <row r="1052" spans="1:5">
      <c r="A1052" s="1"/>
      <c r="B1052"/>
      <c r="C1052"/>
      <c r="D1052"/>
      <c r="E1052"/>
    </row>
    <row r="1053" spans="1:5">
      <c r="A1053" s="1"/>
      <c r="B1053"/>
      <c r="C1053"/>
      <c r="D1053"/>
      <c r="E1053"/>
    </row>
    <row r="1054" spans="1:5">
      <c r="A1054" s="1"/>
      <c r="B1054"/>
      <c r="C1054"/>
      <c r="D1054"/>
      <c r="E1054"/>
    </row>
    <row r="1055" spans="1:5">
      <c r="A1055" s="1"/>
      <c r="B1055"/>
      <c r="C1055"/>
      <c r="D1055"/>
      <c r="E1055"/>
    </row>
    <row r="1056" spans="1:5">
      <c r="A1056" s="1"/>
      <c r="B1056"/>
      <c r="C1056"/>
      <c r="D1056"/>
      <c r="E1056"/>
    </row>
    <row r="1057" spans="1:5">
      <c r="A1057" s="1"/>
      <c r="B1057"/>
      <c r="C1057"/>
      <c r="D1057"/>
      <c r="E1057"/>
    </row>
    <row r="1058" spans="1:5">
      <c r="A1058" s="1"/>
      <c r="B1058"/>
      <c r="C1058"/>
      <c r="D1058"/>
      <c r="E1058"/>
    </row>
    <row r="1059" spans="1:5">
      <c r="A1059" s="1"/>
      <c r="B1059"/>
      <c r="C1059"/>
      <c r="D1059"/>
      <c r="E1059"/>
    </row>
    <row r="1060" spans="1:5">
      <c r="A1060" s="1"/>
      <c r="B1060"/>
      <c r="C1060"/>
      <c r="D1060"/>
      <c r="E1060"/>
    </row>
    <row r="1061" spans="1:5">
      <c r="A1061" s="1"/>
      <c r="B1061"/>
      <c r="C1061"/>
      <c r="D1061"/>
      <c r="E1061"/>
    </row>
    <row r="1062" spans="1:5">
      <c r="A1062" s="1"/>
      <c r="B1062"/>
      <c r="C1062"/>
      <c r="D1062"/>
      <c r="E1062"/>
    </row>
    <row r="1063" spans="1:5">
      <c r="A1063" s="1"/>
      <c r="B1063"/>
      <c r="C1063"/>
      <c r="D1063"/>
      <c r="E1063"/>
    </row>
    <row r="1064" spans="1:5">
      <c r="A1064" s="1"/>
      <c r="B1064"/>
      <c r="C1064"/>
      <c r="D1064"/>
      <c r="E1064"/>
    </row>
    <row r="1065" spans="1:5">
      <c r="A1065" s="1"/>
      <c r="B1065"/>
      <c r="C1065"/>
      <c r="D1065"/>
      <c r="E1065"/>
    </row>
    <row r="1066" spans="1:5">
      <c r="A1066" s="1"/>
      <c r="B1066"/>
      <c r="C1066"/>
      <c r="D1066"/>
      <c r="E1066"/>
    </row>
    <row r="1067" spans="1:5">
      <c r="A1067" s="1"/>
      <c r="B1067"/>
      <c r="C1067"/>
      <c r="D1067"/>
      <c r="E1067"/>
    </row>
    <row r="1068" spans="1:5">
      <c r="A1068" s="1"/>
      <c r="B1068"/>
      <c r="C1068"/>
      <c r="D1068"/>
      <c r="E1068"/>
    </row>
    <row r="1069" spans="1:5">
      <c r="A1069" s="1"/>
      <c r="B1069"/>
      <c r="C1069"/>
      <c r="D1069"/>
      <c r="E1069"/>
    </row>
    <row r="1070" spans="1:5">
      <c r="A1070" s="1"/>
      <c r="B1070"/>
      <c r="C1070"/>
      <c r="D1070"/>
      <c r="E1070"/>
    </row>
    <row r="1071" spans="1:5">
      <c r="A1071" s="1"/>
      <c r="B1071"/>
      <c r="C1071"/>
      <c r="D1071"/>
      <c r="E1071"/>
    </row>
    <row r="1072" spans="1:5">
      <c r="A1072" s="1"/>
      <c r="B1072"/>
      <c r="C1072"/>
      <c r="D1072"/>
      <c r="E1072"/>
    </row>
    <row r="1073" spans="1:5">
      <c r="A1073" s="1"/>
      <c r="B1073"/>
      <c r="C1073"/>
      <c r="D1073"/>
      <c r="E1073"/>
    </row>
    <row r="1074" spans="1:5">
      <c r="A1074" s="1"/>
      <c r="B1074"/>
      <c r="C1074"/>
      <c r="D1074"/>
      <c r="E1074"/>
    </row>
    <row r="1075" spans="1:5">
      <c r="A1075" s="1"/>
      <c r="B1075"/>
      <c r="C1075"/>
      <c r="D1075"/>
      <c r="E1075"/>
    </row>
    <row r="1076" spans="1:5">
      <c r="A1076" s="1"/>
      <c r="B1076"/>
      <c r="C1076"/>
      <c r="D1076"/>
      <c r="E1076"/>
    </row>
    <row r="1077" spans="1:5">
      <c r="A1077" s="1"/>
      <c r="B1077"/>
      <c r="C1077"/>
      <c r="D1077"/>
      <c r="E1077"/>
    </row>
    <row r="1078" spans="1:5">
      <c r="A1078" s="1"/>
      <c r="B1078"/>
      <c r="C1078"/>
      <c r="D1078"/>
      <c r="E1078"/>
    </row>
    <row r="1079" spans="1:5">
      <c r="A1079" s="1"/>
      <c r="B1079"/>
      <c r="C1079"/>
      <c r="D1079"/>
      <c r="E1079"/>
    </row>
    <row r="1080" spans="1:5">
      <c r="A1080" s="1"/>
      <c r="B1080"/>
      <c r="C1080"/>
      <c r="D1080"/>
      <c r="E1080"/>
    </row>
    <row r="1081" spans="1:5">
      <c r="A1081" s="1"/>
      <c r="B1081"/>
      <c r="C1081"/>
      <c r="D1081"/>
      <c r="E1081"/>
    </row>
    <row r="1082" spans="1:5">
      <c r="A1082" s="1"/>
      <c r="B1082"/>
      <c r="C1082"/>
      <c r="D1082"/>
      <c r="E1082"/>
    </row>
    <row r="1083" spans="1:5">
      <c r="A1083" s="1"/>
      <c r="B1083"/>
      <c r="C1083"/>
      <c r="D1083"/>
      <c r="E1083"/>
    </row>
    <row r="1084" spans="1:5">
      <c r="A1084" s="1"/>
      <c r="B1084"/>
      <c r="C1084"/>
      <c r="D1084"/>
      <c r="E1084"/>
    </row>
    <row r="1085" spans="1:5">
      <c r="A1085" s="1"/>
      <c r="B1085"/>
      <c r="C1085"/>
      <c r="D1085"/>
      <c r="E1085"/>
    </row>
    <row r="1086" spans="1:5">
      <c r="A1086" s="1"/>
      <c r="B1086"/>
      <c r="C1086"/>
      <c r="D1086"/>
      <c r="E1086"/>
    </row>
    <row r="1087" spans="1:5">
      <c r="A1087" s="1"/>
      <c r="B1087"/>
      <c r="C1087"/>
      <c r="D1087"/>
      <c r="E1087"/>
    </row>
    <row r="1088" spans="1:5">
      <c r="A1088" s="1"/>
      <c r="B1088"/>
      <c r="C1088"/>
      <c r="D1088"/>
      <c r="E1088"/>
    </row>
    <row r="1089" spans="1:5">
      <c r="A1089" s="1"/>
      <c r="B1089"/>
      <c r="C1089"/>
      <c r="D1089"/>
      <c r="E1089"/>
    </row>
    <row r="1090" spans="1:5">
      <c r="A1090" s="1"/>
      <c r="B1090"/>
      <c r="C1090"/>
      <c r="D1090"/>
      <c r="E1090"/>
    </row>
    <row r="1091" spans="1:5">
      <c r="A1091" s="1"/>
      <c r="B1091"/>
      <c r="C1091"/>
      <c r="D1091"/>
      <c r="E1091"/>
    </row>
    <row r="1092" spans="1:5">
      <c r="A1092" s="1"/>
      <c r="B1092"/>
      <c r="C1092"/>
      <c r="D1092"/>
      <c r="E1092"/>
    </row>
    <row r="1093" spans="1:5">
      <c r="A1093" s="1"/>
      <c r="B1093"/>
      <c r="C1093"/>
      <c r="D1093"/>
      <c r="E1093"/>
    </row>
    <row r="1094" spans="1:5">
      <c r="A1094" s="1"/>
      <c r="B1094"/>
      <c r="C1094"/>
      <c r="D1094"/>
      <c r="E1094"/>
    </row>
    <row r="1095" spans="1:5">
      <c r="A1095" s="1"/>
      <c r="B1095"/>
      <c r="C1095"/>
      <c r="D1095"/>
      <c r="E1095"/>
    </row>
    <row r="1096" spans="1:5">
      <c r="A1096" s="1"/>
      <c r="B1096"/>
      <c r="C1096"/>
      <c r="D1096"/>
      <c r="E1096"/>
    </row>
    <row r="1097" spans="1:5">
      <c r="A1097" s="1"/>
      <c r="B1097"/>
      <c r="C1097"/>
      <c r="D1097"/>
      <c r="E1097"/>
    </row>
    <row r="1098" spans="1:5">
      <c r="A1098" s="1"/>
      <c r="B1098"/>
      <c r="C1098"/>
      <c r="D1098"/>
      <c r="E1098"/>
    </row>
    <row r="1099" spans="1:5">
      <c r="A1099" s="1"/>
      <c r="B1099"/>
      <c r="C1099"/>
      <c r="D1099"/>
      <c r="E1099"/>
    </row>
    <row r="1100" spans="1:5">
      <c r="A1100" s="1"/>
      <c r="B1100"/>
      <c r="C1100"/>
      <c r="D1100"/>
      <c r="E1100"/>
    </row>
    <row r="1101" spans="1:5">
      <c r="A1101" s="1"/>
      <c r="B1101"/>
      <c r="C1101"/>
      <c r="D1101"/>
      <c r="E1101"/>
    </row>
    <row r="1102" spans="1:5">
      <c r="A1102" s="1"/>
      <c r="B1102"/>
      <c r="C1102"/>
      <c r="D1102"/>
      <c r="E1102"/>
    </row>
    <row r="1103" spans="1:5">
      <c r="A1103" s="1"/>
      <c r="B1103"/>
      <c r="C1103"/>
      <c r="D1103"/>
      <c r="E1103"/>
    </row>
    <row r="1104" spans="1:5">
      <c r="A1104" s="1"/>
      <c r="B1104"/>
      <c r="C1104"/>
      <c r="D1104"/>
      <c r="E1104"/>
    </row>
    <row r="1105" spans="1:5">
      <c r="A1105" s="1"/>
      <c r="B1105"/>
      <c r="C1105"/>
      <c r="D1105"/>
      <c r="E1105"/>
    </row>
    <row r="1106" spans="1:5">
      <c r="A1106" s="1"/>
      <c r="B1106"/>
      <c r="C1106"/>
      <c r="D1106"/>
      <c r="E1106"/>
    </row>
    <row r="1107" spans="1:5">
      <c r="A1107" s="1"/>
      <c r="B1107"/>
      <c r="C1107"/>
      <c r="D1107"/>
      <c r="E1107"/>
    </row>
    <row r="1108" spans="1:5">
      <c r="A1108" s="1"/>
      <c r="B1108"/>
      <c r="C1108"/>
      <c r="D1108"/>
      <c r="E1108"/>
    </row>
    <row r="1109" spans="1:5">
      <c r="A1109" s="1"/>
      <c r="B1109"/>
      <c r="C1109"/>
      <c r="D1109"/>
      <c r="E1109"/>
    </row>
    <row r="1110" spans="1:5">
      <c r="A1110" s="1"/>
      <c r="B1110"/>
      <c r="C1110"/>
      <c r="D1110"/>
      <c r="E1110"/>
    </row>
    <row r="1111" spans="1:5">
      <c r="A1111" s="1"/>
      <c r="B1111"/>
      <c r="C1111"/>
      <c r="D1111"/>
      <c r="E1111"/>
    </row>
    <row r="1112" spans="1:5">
      <c r="A1112" s="1"/>
      <c r="B1112"/>
      <c r="C1112"/>
      <c r="D1112"/>
      <c r="E1112"/>
    </row>
    <row r="1113" spans="1:5">
      <c r="A1113" s="1"/>
      <c r="B1113"/>
      <c r="C1113"/>
      <c r="D1113"/>
      <c r="E1113"/>
    </row>
    <row r="1114" spans="1:5">
      <c r="A1114" s="1"/>
      <c r="B1114"/>
      <c r="C1114"/>
      <c r="D1114"/>
      <c r="E1114"/>
    </row>
    <row r="1115" spans="1:5">
      <c r="A1115" s="1"/>
      <c r="B1115"/>
      <c r="C1115"/>
      <c r="D1115"/>
      <c r="E1115"/>
    </row>
    <row r="1116" spans="1:5">
      <c r="A1116" s="1"/>
      <c r="B1116"/>
      <c r="C1116"/>
      <c r="D1116"/>
      <c r="E1116"/>
    </row>
    <row r="1117" spans="1:5">
      <c r="A1117" s="1"/>
      <c r="B1117"/>
      <c r="C1117"/>
      <c r="D1117"/>
      <c r="E1117"/>
    </row>
    <row r="1118" spans="1:5">
      <c r="A1118" s="1"/>
      <c r="B1118"/>
      <c r="C1118"/>
      <c r="D1118"/>
      <c r="E1118"/>
    </row>
    <row r="1119" spans="1:5">
      <c r="A1119" s="1"/>
      <c r="B1119"/>
      <c r="C1119"/>
      <c r="D1119"/>
      <c r="E1119"/>
    </row>
    <row r="1120" spans="1:5">
      <c r="A1120" s="1"/>
      <c r="B1120"/>
      <c r="C1120"/>
      <c r="D1120"/>
      <c r="E1120"/>
    </row>
    <row r="1121" spans="1:5">
      <c r="A1121" s="1"/>
      <c r="B1121"/>
      <c r="C1121"/>
      <c r="D1121"/>
      <c r="E1121"/>
    </row>
    <row r="1122" spans="1:5">
      <c r="A1122" s="1"/>
      <c r="B1122"/>
      <c r="C1122"/>
      <c r="D1122"/>
      <c r="E1122"/>
    </row>
    <row r="1123" spans="1:5">
      <c r="A1123" s="1"/>
      <c r="B1123"/>
      <c r="C1123"/>
      <c r="D1123"/>
      <c r="E1123"/>
    </row>
    <row r="1124" spans="1:5">
      <c r="A1124" s="1"/>
      <c r="B1124"/>
      <c r="C1124"/>
      <c r="D1124"/>
      <c r="E1124"/>
    </row>
    <row r="1125" spans="1:5">
      <c r="A1125" s="1"/>
      <c r="B1125"/>
      <c r="C1125"/>
      <c r="D1125"/>
      <c r="E1125"/>
    </row>
    <row r="1126" spans="1:5">
      <c r="A1126" s="1"/>
      <c r="B1126"/>
      <c r="C1126"/>
      <c r="D1126"/>
      <c r="E1126"/>
    </row>
    <row r="1127" spans="1:5">
      <c r="A1127" s="1"/>
      <c r="B1127"/>
      <c r="C1127"/>
      <c r="D1127"/>
      <c r="E1127"/>
    </row>
    <row r="1128" spans="1:5">
      <c r="A1128" s="1"/>
      <c r="B1128"/>
      <c r="C1128"/>
      <c r="D1128"/>
      <c r="E1128"/>
    </row>
    <row r="1129" spans="1:5">
      <c r="A1129" s="1"/>
      <c r="B1129"/>
      <c r="C1129"/>
      <c r="D1129"/>
      <c r="E1129"/>
    </row>
    <row r="1130" spans="1:5">
      <c r="A1130" s="1"/>
      <c r="B1130"/>
      <c r="C1130"/>
      <c r="D1130"/>
      <c r="E1130"/>
    </row>
    <row r="1131" spans="1:5">
      <c r="A1131" s="1"/>
      <c r="B1131"/>
      <c r="C1131"/>
      <c r="D1131"/>
      <c r="E1131"/>
    </row>
    <row r="1132" spans="1:5">
      <c r="A1132" s="1"/>
      <c r="B1132"/>
      <c r="C1132"/>
      <c r="D1132"/>
      <c r="E1132"/>
    </row>
    <row r="1133" spans="1:5">
      <c r="A1133" s="1"/>
      <c r="B1133"/>
      <c r="C1133"/>
      <c r="D1133"/>
      <c r="E1133"/>
    </row>
    <row r="1134" spans="1:5">
      <c r="A1134" s="1"/>
      <c r="B1134"/>
      <c r="C1134"/>
      <c r="D1134"/>
      <c r="E1134"/>
    </row>
    <row r="1135" spans="1:5">
      <c r="A1135" s="1"/>
      <c r="B1135"/>
      <c r="C1135"/>
      <c r="D1135"/>
      <c r="E1135"/>
    </row>
    <row r="1136" spans="1:5">
      <c r="A1136" s="1"/>
      <c r="B1136"/>
      <c r="C1136"/>
      <c r="D1136"/>
      <c r="E1136"/>
    </row>
    <row r="1137" spans="1:5">
      <c r="A1137" s="1"/>
      <c r="B1137"/>
      <c r="C1137"/>
      <c r="D1137"/>
      <c r="E1137"/>
    </row>
    <row r="1138" spans="1:5">
      <c r="A1138" s="1"/>
      <c r="B1138"/>
      <c r="C1138"/>
      <c r="D1138"/>
      <c r="E1138"/>
    </row>
    <row r="1139" spans="1:5">
      <c r="A1139" s="1"/>
      <c r="B1139"/>
      <c r="C1139"/>
      <c r="D1139"/>
      <c r="E1139"/>
    </row>
    <row r="1140" spans="1:5">
      <c r="A1140" s="1"/>
      <c r="B1140"/>
      <c r="C1140"/>
      <c r="D1140"/>
      <c r="E1140"/>
    </row>
    <row r="1141" spans="1:5">
      <c r="A1141" s="1"/>
      <c r="B1141"/>
      <c r="C1141"/>
      <c r="D1141"/>
      <c r="E1141"/>
    </row>
    <row r="1142" spans="1:5">
      <c r="A1142" s="1"/>
      <c r="B1142"/>
      <c r="C1142"/>
      <c r="D1142"/>
      <c r="E1142"/>
    </row>
    <row r="1143" spans="1:5">
      <c r="A1143" s="1"/>
      <c r="B1143"/>
      <c r="C1143"/>
      <c r="D1143"/>
      <c r="E1143"/>
    </row>
    <row r="1144" spans="1:5">
      <c r="A1144" s="1"/>
      <c r="B1144"/>
      <c r="C1144"/>
      <c r="D1144"/>
      <c r="E1144"/>
    </row>
    <row r="1145" spans="1:5">
      <c r="A1145" s="1"/>
      <c r="B1145"/>
      <c r="C1145"/>
      <c r="D1145"/>
      <c r="E1145"/>
    </row>
    <row r="1146" spans="1:5">
      <c r="A1146" s="1"/>
      <c r="B1146"/>
      <c r="C1146"/>
      <c r="D1146"/>
      <c r="E1146"/>
    </row>
    <row r="1147" spans="1:5">
      <c r="A1147" s="1"/>
      <c r="B1147"/>
      <c r="C1147"/>
      <c r="D1147"/>
      <c r="E1147"/>
    </row>
    <row r="1148" spans="1:5">
      <c r="A1148" s="1"/>
      <c r="B1148"/>
      <c r="C1148"/>
      <c r="D1148"/>
      <c r="E1148"/>
    </row>
    <row r="1149" spans="1:5">
      <c r="A1149" s="1"/>
      <c r="B1149"/>
      <c r="C1149"/>
      <c r="D1149"/>
      <c r="E1149"/>
    </row>
    <row r="1150" spans="1:5">
      <c r="A1150" s="1"/>
      <c r="B1150"/>
      <c r="C1150"/>
      <c r="D1150"/>
      <c r="E1150"/>
    </row>
    <row r="1151" spans="1:5">
      <c r="A1151" s="1"/>
      <c r="B1151"/>
      <c r="C1151"/>
      <c r="D1151"/>
      <c r="E1151"/>
    </row>
    <row r="1152" spans="1:5">
      <c r="A1152" s="1"/>
      <c r="B1152"/>
      <c r="C1152"/>
      <c r="D1152"/>
      <c r="E1152"/>
    </row>
    <row r="1153" spans="1:5">
      <c r="A1153" s="1"/>
      <c r="B1153"/>
      <c r="C1153"/>
      <c r="D1153"/>
      <c r="E1153"/>
    </row>
    <row r="1154" spans="1:5">
      <c r="A1154" s="1"/>
      <c r="B1154"/>
      <c r="C1154"/>
      <c r="D1154"/>
      <c r="E1154"/>
    </row>
    <row r="1155" spans="1:5">
      <c r="A1155" s="1"/>
      <c r="B1155"/>
      <c r="C1155"/>
      <c r="D1155"/>
      <c r="E1155"/>
    </row>
    <row r="1156" spans="1:5">
      <c r="A1156" s="1"/>
      <c r="B1156"/>
      <c r="C1156"/>
      <c r="D1156"/>
      <c r="E1156"/>
    </row>
    <row r="1157" spans="1:5">
      <c r="A1157" s="1"/>
      <c r="B1157"/>
      <c r="C1157"/>
      <c r="D1157"/>
      <c r="E1157"/>
    </row>
    <row r="1158" spans="1:5">
      <c r="A1158" s="1"/>
      <c r="B1158"/>
      <c r="C1158"/>
      <c r="D1158"/>
      <c r="E1158"/>
    </row>
    <row r="1159" spans="1:5">
      <c r="A1159" s="1"/>
      <c r="B1159"/>
      <c r="C1159"/>
      <c r="D1159"/>
      <c r="E1159"/>
    </row>
    <row r="1160" spans="1:5">
      <c r="A1160" s="1"/>
      <c r="B1160"/>
      <c r="C1160"/>
      <c r="D1160"/>
      <c r="E1160"/>
    </row>
    <row r="1161" spans="1:5">
      <c r="A1161" s="1"/>
      <c r="B1161"/>
      <c r="C1161"/>
      <c r="D1161"/>
      <c r="E1161"/>
    </row>
    <row r="1162" spans="1:5">
      <c r="A1162" s="1"/>
      <c r="B1162"/>
      <c r="C1162"/>
      <c r="D1162"/>
      <c r="E1162"/>
    </row>
    <row r="1163" spans="1:5">
      <c r="A1163" s="1"/>
      <c r="B1163"/>
      <c r="C1163"/>
      <c r="D1163"/>
      <c r="E1163"/>
    </row>
    <row r="1164" spans="1:5">
      <c r="A1164" s="1"/>
      <c r="B1164"/>
      <c r="C1164"/>
      <c r="D1164"/>
      <c r="E1164"/>
    </row>
    <row r="1165" spans="1:5">
      <c r="A1165" s="1"/>
      <c r="B1165"/>
      <c r="C1165"/>
      <c r="D1165"/>
      <c r="E1165"/>
    </row>
    <row r="1166" spans="1:5">
      <c r="A1166" s="1"/>
      <c r="B1166"/>
      <c r="C1166"/>
      <c r="D1166"/>
      <c r="E1166"/>
    </row>
    <row r="1167" spans="1:5">
      <c r="A1167" s="1"/>
      <c r="B1167"/>
      <c r="C1167"/>
      <c r="D1167"/>
      <c r="E1167"/>
    </row>
    <row r="1168" spans="1:5">
      <c r="A1168" s="1"/>
      <c r="B1168"/>
      <c r="C1168"/>
      <c r="D1168"/>
      <c r="E1168"/>
    </row>
    <row r="1169" spans="1:5">
      <c r="A1169" s="1"/>
      <c r="B1169"/>
      <c r="C1169"/>
      <c r="D1169"/>
      <c r="E1169"/>
    </row>
    <row r="1170" spans="1:5">
      <c r="A1170" s="1"/>
      <c r="B1170"/>
      <c r="C1170"/>
      <c r="D1170"/>
      <c r="E1170"/>
    </row>
    <row r="1171" spans="1:5">
      <c r="A1171" s="1"/>
      <c r="B1171"/>
      <c r="C1171"/>
      <c r="D1171"/>
      <c r="E1171"/>
    </row>
    <row r="1172" spans="1:5">
      <c r="A1172" s="1"/>
      <c r="B1172"/>
      <c r="C1172"/>
      <c r="D1172"/>
      <c r="E1172"/>
    </row>
    <row r="1173" spans="1:5">
      <c r="A1173" s="1"/>
      <c r="B1173"/>
      <c r="C1173"/>
      <c r="D1173"/>
      <c r="E1173"/>
    </row>
    <row r="1174" spans="1:5">
      <c r="A1174" s="1"/>
      <c r="B1174"/>
      <c r="C1174"/>
      <c r="D1174"/>
      <c r="E1174"/>
    </row>
    <row r="1175" spans="1:5">
      <c r="A1175" s="1"/>
      <c r="B1175"/>
      <c r="C1175"/>
      <c r="D1175"/>
      <c r="E1175"/>
    </row>
    <row r="1176" spans="1:5">
      <c r="A1176" s="1"/>
      <c r="B1176"/>
      <c r="C1176"/>
      <c r="D1176"/>
      <c r="E1176"/>
    </row>
    <row r="1177" spans="1:5">
      <c r="A1177" s="1"/>
      <c r="B1177"/>
      <c r="C1177"/>
      <c r="D1177"/>
      <c r="E1177"/>
    </row>
    <row r="1178" spans="1:5">
      <c r="A1178" s="1"/>
      <c r="B1178"/>
      <c r="C1178"/>
      <c r="D1178"/>
      <c r="E1178"/>
    </row>
    <row r="1179" spans="1:5">
      <c r="A1179" s="1"/>
      <c r="B1179"/>
      <c r="C1179"/>
      <c r="D1179"/>
      <c r="E1179"/>
    </row>
    <row r="1180" spans="1:5">
      <c r="A1180" s="1"/>
      <c r="B1180"/>
      <c r="C1180"/>
      <c r="D1180"/>
      <c r="E1180"/>
    </row>
    <row r="1181" spans="1:5">
      <c r="A1181" s="1"/>
      <c r="B1181"/>
      <c r="C1181"/>
      <c r="D1181"/>
      <c r="E1181"/>
    </row>
    <row r="1182" spans="1:5">
      <c r="A1182" s="1"/>
      <c r="B1182"/>
      <c r="C1182"/>
      <c r="D1182"/>
      <c r="E1182"/>
    </row>
    <row r="1183" spans="1:5">
      <c r="A1183" s="1"/>
      <c r="B1183"/>
      <c r="C1183"/>
      <c r="D1183"/>
      <c r="E1183"/>
    </row>
    <row r="1184" spans="1:5">
      <c r="A1184" s="1"/>
      <c r="B1184"/>
      <c r="C1184"/>
      <c r="D1184"/>
      <c r="E1184"/>
    </row>
    <row r="1185" spans="1:5">
      <c r="A1185" s="1"/>
      <c r="B1185"/>
      <c r="C1185"/>
      <c r="D1185"/>
      <c r="E1185"/>
    </row>
    <row r="1186" spans="1:5">
      <c r="A1186" s="1"/>
      <c r="B1186"/>
      <c r="C1186"/>
      <c r="D1186"/>
      <c r="E1186"/>
    </row>
    <row r="1187" spans="1:5">
      <c r="A1187" s="1"/>
      <c r="B1187"/>
      <c r="C1187"/>
      <c r="D1187"/>
      <c r="E1187"/>
    </row>
    <row r="1188" spans="1:5">
      <c r="A1188" s="1"/>
      <c r="B1188"/>
      <c r="C1188"/>
      <c r="D1188"/>
      <c r="E1188"/>
    </row>
    <row r="1189" spans="1:5">
      <c r="A1189" s="1"/>
      <c r="B1189"/>
      <c r="C1189"/>
      <c r="D1189"/>
      <c r="E1189"/>
    </row>
    <row r="1190" spans="1:5">
      <c r="A1190" s="1"/>
      <c r="B1190"/>
      <c r="C1190"/>
      <c r="D1190"/>
      <c r="E1190"/>
    </row>
    <row r="1191" spans="1:5">
      <c r="A1191" s="1"/>
      <c r="B1191"/>
      <c r="C1191"/>
      <c r="D1191"/>
      <c r="E1191"/>
    </row>
    <row r="1192" spans="1:5">
      <c r="A1192" s="1"/>
      <c r="B1192"/>
      <c r="C1192"/>
      <c r="D1192"/>
      <c r="E1192"/>
    </row>
    <row r="1193" spans="1:5">
      <c r="A1193" s="1"/>
      <c r="B1193"/>
      <c r="C1193"/>
      <c r="D1193"/>
      <c r="E1193"/>
    </row>
    <row r="1194" spans="1:5">
      <c r="A1194" s="1"/>
      <c r="B1194"/>
      <c r="C1194"/>
      <c r="D1194"/>
      <c r="E1194"/>
    </row>
    <row r="1195" spans="1:5">
      <c r="A1195" s="1"/>
      <c r="B1195"/>
      <c r="C1195"/>
      <c r="D1195"/>
      <c r="E1195"/>
    </row>
    <row r="1196" spans="1:5">
      <c r="A1196" s="1"/>
      <c r="B1196"/>
      <c r="C1196"/>
      <c r="D1196"/>
      <c r="E1196"/>
    </row>
    <row r="1197" spans="1:5">
      <c r="A1197" s="1"/>
      <c r="B1197"/>
      <c r="C1197"/>
      <c r="D1197"/>
      <c r="E1197"/>
    </row>
    <row r="1198" spans="1:5">
      <c r="A1198" s="1"/>
      <c r="B1198"/>
      <c r="C1198"/>
      <c r="D1198"/>
      <c r="E1198"/>
    </row>
    <row r="1199" spans="1:5">
      <c r="A1199" s="1"/>
      <c r="B1199"/>
      <c r="C1199"/>
      <c r="D1199"/>
      <c r="E1199"/>
    </row>
    <row r="1200" spans="1:5">
      <c r="A1200" s="1"/>
      <c r="B1200"/>
      <c r="C1200"/>
      <c r="D1200"/>
      <c r="E1200"/>
    </row>
    <row r="1201" spans="1:5">
      <c r="A1201" s="1"/>
      <c r="B1201"/>
      <c r="C1201"/>
      <c r="D1201"/>
      <c r="E1201"/>
    </row>
    <row r="1202" spans="1:5">
      <c r="A1202" s="1"/>
      <c r="B1202"/>
      <c r="C1202"/>
      <c r="D1202"/>
      <c r="E1202"/>
    </row>
    <row r="1203" spans="1:5">
      <c r="A1203" s="1"/>
      <c r="B1203"/>
      <c r="C1203"/>
      <c r="D1203"/>
      <c r="E1203"/>
    </row>
    <row r="1204" spans="1:5">
      <c r="A1204" s="1"/>
      <c r="B1204"/>
      <c r="C1204"/>
      <c r="D1204"/>
      <c r="E1204"/>
    </row>
    <row r="1205" spans="1:5">
      <c r="A1205" s="1"/>
      <c r="B1205"/>
      <c r="C1205"/>
      <c r="D1205"/>
      <c r="E1205"/>
    </row>
    <row r="1206" spans="1:5">
      <c r="A1206" s="1"/>
      <c r="B1206"/>
      <c r="C1206"/>
      <c r="D1206"/>
      <c r="E1206"/>
    </row>
    <row r="1207" spans="1:5">
      <c r="A1207" s="1"/>
      <c r="B1207"/>
      <c r="C1207"/>
      <c r="D1207"/>
      <c r="E1207"/>
    </row>
    <row r="1208" spans="1:5">
      <c r="A1208" s="1"/>
      <c r="B1208"/>
      <c r="C1208"/>
      <c r="D1208"/>
      <c r="E1208"/>
    </row>
    <row r="1209" spans="1:5">
      <c r="A1209" s="1"/>
      <c r="B1209"/>
      <c r="C1209"/>
      <c r="D1209"/>
      <c r="E1209"/>
    </row>
    <row r="1210" spans="1:5">
      <c r="A1210" s="1"/>
      <c r="B1210"/>
      <c r="C1210"/>
      <c r="D1210"/>
      <c r="E1210"/>
    </row>
    <row r="1211" spans="1:5">
      <c r="A1211" s="1"/>
      <c r="B1211"/>
      <c r="C1211"/>
      <c r="D1211"/>
      <c r="E1211"/>
    </row>
    <row r="1212" spans="1:5">
      <c r="A1212" s="1"/>
      <c r="B1212"/>
      <c r="C1212"/>
      <c r="D1212"/>
      <c r="E1212"/>
    </row>
    <row r="1213" spans="1:5">
      <c r="A1213" s="1"/>
      <c r="B1213"/>
      <c r="C1213"/>
      <c r="D1213"/>
      <c r="E1213"/>
    </row>
    <row r="1214" spans="1:5">
      <c r="A1214" s="1"/>
      <c r="B1214"/>
      <c r="C1214"/>
      <c r="D1214"/>
      <c r="E1214"/>
    </row>
    <row r="1215" spans="1:5">
      <c r="A1215" s="1"/>
      <c r="B1215"/>
      <c r="C1215"/>
      <c r="D1215"/>
      <c r="E1215"/>
    </row>
    <row r="1216" spans="1:5">
      <c r="A1216" s="1"/>
      <c r="B1216"/>
      <c r="C1216"/>
      <c r="D1216"/>
      <c r="E1216"/>
    </row>
    <row r="1217" spans="1:5">
      <c r="A1217" s="1"/>
      <c r="B1217"/>
      <c r="C1217"/>
      <c r="D1217"/>
      <c r="E1217"/>
    </row>
    <row r="1218" spans="1:5">
      <c r="A1218" s="1"/>
      <c r="B1218"/>
      <c r="C1218"/>
      <c r="D1218"/>
      <c r="E1218"/>
    </row>
    <row r="1219" spans="1:5">
      <c r="A1219" s="1"/>
      <c r="B1219"/>
      <c r="C1219"/>
      <c r="D1219"/>
      <c r="E1219"/>
    </row>
    <row r="1220" spans="1:5">
      <c r="A1220" s="1"/>
      <c r="B1220"/>
      <c r="C1220"/>
      <c r="D1220"/>
      <c r="E1220"/>
    </row>
    <row r="1221" spans="1:5">
      <c r="A1221" s="1"/>
      <c r="B1221"/>
      <c r="C1221"/>
      <c r="D1221"/>
      <c r="E1221"/>
    </row>
    <row r="1222" spans="1:5">
      <c r="A1222" s="1"/>
      <c r="B1222"/>
      <c r="C1222"/>
      <c r="D1222"/>
      <c r="E1222"/>
    </row>
    <row r="1223" spans="1:5">
      <c r="A1223" s="1"/>
      <c r="B1223"/>
      <c r="C1223"/>
      <c r="D1223"/>
      <c r="E1223"/>
    </row>
    <row r="1224" spans="1:5">
      <c r="A1224" s="1"/>
      <c r="B1224"/>
      <c r="C1224"/>
      <c r="D1224"/>
      <c r="E1224"/>
    </row>
    <row r="1225" spans="1:5">
      <c r="A1225" s="1"/>
      <c r="B1225"/>
      <c r="C1225"/>
      <c r="D1225"/>
      <c r="E1225"/>
    </row>
    <row r="1226" spans="1:5">
      <c r="A1226" s="1"/>
      <c r="B1226"/>
      <c r="C1226"/>
      <c r="D1226"/>
      <c r="E1226"/>
    </row>
    <row r="1227" spans="1:5">
      <c r="A1227" s="1"/>
      <c r="B1227"/>
      <c r="C1227"/>
      <c r="D1227"/>
      <c r="E1227"/>
    </row>
    <row r="1228" spans="1:5">
      <c r="A1228" s="1"/>
      <c r="B1228"/>
      <c r="C1228"/>
      <c r="D1228"/>
      <c r="E1228"/>
    </row>
    <row r="1229" spans="1:5">
      <c r="A1229" s="1"/>
      <c r="B1229"/>
      <c r="C1229"/>
      <c r="D1229"/>
      <c r="E1229"/>
    </row>
    <row r="1230" spans="1:5">
      <c r="A1230" s="1"/>
      <c r="B1230"/>
      <c r="C1230"/>
      <c r="D1230"/>
      <c r="E1230"/>
    </row>
    <row r="1231" spans="1:5">
      <c r="A1231" s="1"/>
      <c r="B1231"/>
      <c r="C1231"/>
      <c r="D1231"/>
      <c r="E1231"/>
    </row>
    <row r="1232" spans="1:5">
      <c r="A1232" s="1"/>
      <c r="B1232"/>
      <c r="C1232"/>
      <c r="D1232"/>
      <c r="E1232"/>
    </row>
    <row r="1233" spans="1:5">
      <c r="A1233" s="1"/>
      <c r="B1233"/>
      <c r="C1233"/>
      <c r="D1233"/>
      <c r="E1233"/>
    </row>
    <row r="1234" spans="1:5">
      <c r="A1234" s="1"/>
      <c r="B1234"/>
      <c r="C1234"/>
      <c r="D1234"/>
      <c r="E1234"/>
    </row>
    <row r="1235" spans="1:5">
      <c r="A1235" s="1"/>
      <c r="B1235"/>
      <c r="C1235"/>
      <c r="D1235"/>
      <c r="E1235"/>
    </row>
    <row r="1236" spans="1:5">
      <c r="A1236" s="1"/>
      <c r="B1236"/>
      <c r="C1236"/>
      <c r="D1236"/>
      <c r="E1236"/>
    </row>
    <row r="1237" spans="1:5">
      <c r="A1237" s="1"/>
      <c r="B1237"/>
      <c r="C1237"/>
      <c r="D1237"/>
      <c r="E1237"/>
    </row>
    <row r="1238" spans="1:5">
      <c r="A1238" s="1"/>
      <c r="B1238"/>
      <c r="C1238"/>
      <c r="D1238"/>
      <c r="E1238"/>
    </row>
    <row r="1239" spans="1:5">
      <c r="A1239" s="1"/>
      <c r="B1239"/>
      <c r="C1239"/>
      <c r="D1239"/>
      <c r="E1239"/>
    </row>
    <row r="1240" spans="1:5">
      <c r="A1240" s="1"/>
      <c r="B1240"/>
      <c r="C1240"/>
      <c r="D1240"/>
      <c r="E1240"/>
    </row>
    <row r="1241" spans="1:5">
      <c r="A1241" s="1"/>
      <c r="B1241"/>
      <c r="C1241"/>
      <c r="D1241"/>
      <c r="E1241"/>
    </row>
    <row r="1242" spans="1:5">
      <c r="A1242" s="1"/>
      <c r="B1242"/>
      <c r="C1242"/>
      <c r="D1242"/>
      <c r="E1242"/>
    </row>
    <row r="1243" spans="1:5">
      <c r="A1243" s="1"/>
      <c r="B1243"/>
      <c r="C1243"/>
      <c r="D1243"/>
      <c r="E1243"/>
    </row>
    <row r="1244" spans="1:5">
      <c r="A1244" s="1"/>
      <c r="B1244"/>
      <c r="C1244"/>
      <c r="D1244"/>
      <c r="E1244"/>
    </row>
    <row r="1245" spans="1:5">
      <c r="A1245" s="1"/>
      <c r="B1245"/>
      <c r="C1245"/>
      <c r="D1245"/>
      <c r="E1245"/>
    </row>
    <row r="1246" spans="1:5">
      <c r="A1246" s="1"/>
      <c r="B1246"/>
      <c r="C1246"/>
      <c r="D1246"/>
      <c r="E1246"/>
    </row>
    <row r="1247" spans="1:5">
      <c r="A1247" s="1"/>
      <c r="B1247"/>
      <c r="C1247"/>
      <c r="D1247"/>
      <c r="E1247"/>
    </row>
    <row r="1248" spans="1:5">
      <c r="A1248" s="1"/>
      <c r="B1248"/>
      <c r="C1248"/>
      <c r="D1248"/>
      <c r="E1248"/>
    </row>
    <row r="1249" spans="1:5">
      <c r="A1249" s="1"/>
      <c r="B1249"/>
      <c r="C1249"/>
      <c r="D1249"/>
      <c r="E1249"/>
    </row>
    <row r="1250" spans="1:5">
      <c r="A1250" s="1"/>
      <c r="B1250"/>
      <c r="C1250"/>
      <c r="D1250"/>
      <c r="E1250"/>
    </row>
    <row r="1251" spans="1:5">
      <c r="A1251" s="1"/>
      <c r="B1251"/>
      <c r="C1251"/>
      <c r="D1251"/>
      <c r="E1251"/>
    </row>
    <row r="1252" spans="1:5">
      <c r="A1252" s="1"/>
      <c r="B1252"/>
      <c r="C1252"/>
      <c r="D1252"/>
      <c r="E1252"/>
    </row>
    <row r="1253" spans="1:5">
      <c r="A1253" s="1"/>
      <c r="B1253"/>
      <c r="C1253"/>
      <c r="D1253"/>
      <c r="E1253"/>
    </row>
    <row r="1254" spans="1:5">
      <c r="A1254" s="1"/>
      <c r="B1254"/>
      <c r="C1254"/>
      <c r="D1254"/>
      <c r="E1254"/>
    </row>
    <row r="1255" spans="1:5">
      <c r="A1255" s="1"/>
      <c r="B1255"/>
      <c r="C1255"/>
      <c r="D1255"/>
      <c r="E1255"/>
    </row>
    <row r="1256" spans="1:5">
      <c r="A1256" s="1"/>
      <c r="B1256"/>
      <c r="C1256"/>
      <c r="D1256"/>
      <c r="E1256"/>
    </row>
    <row r="1257" spans="1:5">
      <c r="A1257" s="1"/>
      <c r="B1257"/>
      <c r="C1257"/>
      <c r="D1257"/>
      <c r="E1257"/>
    </row>
    <row r="1258" spans="1:5">
      <c r="A1258" s="1"/>
      <c r="B1258"/>
      <c r="C1258"/>
      <c r="D1258"/>
      <c r="E1258"/>
    </row>
    <row r="1259" spans="1:5">
      <c r="A1259" s="1"/>
      <c r="B1259"/>
      <c r="C1259"/>
      <c r="D1259"/>
      <c r="E1259"/>
    </row>
    <row r="1260" spans="1:5">
      <c r="A1260" s="1"/>
      <c r="B1260"/>
      <c r="C1260"/>
      <c r="D1260"/>
      <c r="E1260"/>
    </row>
    <row r="1261" spans="1:5">
      <c r="A1261" s="1"/>
      <c r="B1261"/>
      <c r="C1261"/>
      <c r="D1261"/>
      <c r="E1261"/>
    </row>
    <row r="1262" spans="1:5">
      <c r="A1262" s="1"/>
      <c r="B1262"/>
      <c r="C1262"/>
      <c r="D1262"/>
      <c r="E1262"/>
    </row>
    <row r="1263" spans="1:5">
      <c r="A1263" s="1"/>
      <c r="B1263"/>
      <c r="C1263"/>
      <c r="D1263"/>
      <c r="E1263"/>
    </row>
    <row r="1264" spans="1:5">
      <c r="A1264" s="1"/>
      <c r="B1264"/>
      <c r="C1264"/>
      <c r="D1264"/>
      <c r="E1264"/>
    </row>
    <row r="1265" spans="1:5">
      <c r="A1265" s="1"/>
      <c r="B1265"/>
      <c r="C1265"/>
      <c r="D1265"/>
      <c r="E1265"/>
    </row>
    <row r="1266" spans="1:5">
      <c r="A1266" s="1"/>
      <c r="B1266"/>
      <c r="C1266"/>
      <c r="D1266"/>
      <c r="E1266"/>
    </row>
    <row r="1267" spans="1:5">
      <c r="A1267" s="1"/>
      <c r="B1267"/>
      <c r="C1267"/>
      <c r="D1267"/>
      <c r="E1267"/>
    </row>
    <row r="1268" spans="1:5">
      <c r="A1268" s="1"/>
      <c r="B1268"/>
      <c r="C1268"/>
      <c r="D1268"/>
      <c r="E1268"/>
    </row>
    <row r="1269" spans="1:5">
      <c r="A1269" s="1"/>
      <c r="B1269"/>
      <c r="C1269"/>
      <c r="D1269"/>
      <c r="E1269"/>
    </row>
    <row r="1270" spans="1:5">
      <c r="A1270" s="1"/>
      <c r="B1270"/>
      <c r="C1270"/>
      <c r="D1270"/>
      <c r="E1270"/>
    </row>
    <row r="1271" spans="1:5">
      <c r="A1271" s="1"/>
      <c r="B1271"/>
      <c r="C1271"/>
      <c r="D1271"/>
      <c r="E1271"/>
    </row>
    <row r="1272" spans="1:5">
      <c r="A1272" s="1"/>
      <c r="B1272"/>
      <c r="C1272"/>
      <c r="D1272"/>
      <c r="E1272"/>
    </row>
    <row r="1273" spans="1:5">
      <c r="A1273" s="1"/>
      <c r="B1273"/>
      <c r="C1273"/>
      <c r="D1273"/>
      <c r="E1273"/>
    </row>
    <row r="1274" spans="1:5">
      <c r="A1274" s="1"/>
      <c r="B1274"/>
      <c r="C1274"/>
      <c r="D1274"/>
      <c r="E1274"/>
    </row>
    <row r="1275" spans="1:5">
      <c r="A1275" s="1"/>
      <c r="B1275"/>
      <c r="C1275"/>
      <c r="D1275"/>
      <c r="E1275"/>
    </row>
    <row r="1276" spans="1:5">
      <c r="A1276" s="1"/>
      <c r="B1276"/>
      <c r="C1276"/>
      <c r="D1276"/>
      <c r="E1276"/>
    </row>
    <row r="1277" spans="1:5">
      <c r="A1277" s="1"/>
      <c r="B1277"/>
      <c r="C1277"/>
      <c r="D1277"/>
      <c r="E1277"/>
    </row>
    <row r="1278" spans="1:5">
      <c r="A1278" s="1"/>
      <c r="B1278"/>
      <c r="C1278"/>
      <c r="D1278"/>
      <c r="E1278"/>
    </row>
    <row r="1279" spans="1:5">
      <c r="A1279" s="1"/>
      <c r="B1279"/>
      <c r="C1279"/>
      <c r="D1279"/>
      <c r="E1279"/>
    </row>
    <row r="1280" spans="1:5">
      <c r="A1280" s="1"/>
      <c r="B1280"/>
      <c r="C1280"/>
      <c r="D1280"/>
      <c r="E1280"/>
    </row>
    <row r="1281" spans="1:5">
      <c r="A1281" s="1"/>
      <c r="B1281"/>
      <c r="C1281"/>
      <c r="D1281"/>
      <c r="E1281"/>
    </row>
    <row r="1282" spans="1:5">
      <c r="A1282" s="1"/>
      <c r="B1282"/>
      <c r="C1282"/>
      <c r="D1282"/>
      <c r="E1282"/>
    </row>
    <row r="1283" spans="1:5">
      <c r="A1283" s="1"/>
      <c r="B1283"/>
      <c r="C1283"/>
      <c r="D1283"/>
      <c r="E1283"/>
    </row>
    <row r="1284" spans="1:5">
      <c r="A1284" s="1"/>
      <c r="B1284"/>
      <c r="C1284"/>
      <c r="D1284"/>
      <c r="E1284"/>
    </row>
    <row r="1285" spans="1:5">
      <c r="A1285" s="1"/>
      <c r="B1285"/>
      <c r="C1285"/>
      <c r="D1285"/>
      <c r="E1285"/>
    </row>
    <row r="1286" spans="1:5">
      <c r="A1286" s="1"/>
      <c r="B1286"/>
      <c r="C1286"/>
      <c r="D1286"/>
      <c r="E1286"/>
    </row>
    <row r="1287" spans="1:5">
      <c r="A1287" s="1"/>
      <c r="B1287"/>
      <c r="C1287"/>
      <c r="D1287"/>
      <c r="E1287"/>
    </row>
    <row r="1288" spans="1:5">
      <c r="A1288" s="1"/>
      <c r="B1288"/>
      <c r="C1288"/>
      <c r="D1288"/>
      <c r="E1288"/>
    </row>
    <row r="1289" spans="1:5">
      <c r="A1289" s="1"/>
      <c r="B1289"/>
      <c r="C1289"/>
      <c r="D1289"/>
      <c r="E1289"/>
    </row>
    <row r="1290" spans="1:5">
      <c r="A1290" s="1"/>
      <c r="B1290"/>
      <c r="C1290"/>
      <c r="D1290"/>
      <c r="E1290"/>
    </row>
    <row r="1291" spans="1:5">
      <c r="A1291" s="1"/>
      <c r="B1291"/>
      <c r="C1291"/>
      <c r="D1291"/>
      <c r="E1291"/>
    </row>
    <row r="1292" spans="1:5">
      <c r="A1292" s="1"/>
      <c r="B1292"/>
      <c r="C1292"/>
      <c r="D1292"/>
      <c r="E1292"/>
    </row>
    <row r="1293" spans="1:5">
      <c r="A1293" s="1"/>
      <c r="B1293"/>
      <c r="C1293"/>
      <c r="D1293"/>
      <c r="E1293"/>
    </row>
    <row r="1294" spans="1:5">
      <c r="A1294" s="1"/>
      <c r="B1294"/>
      <c r="C1294"/>
      <c r="D1294"/>
      <c r="E1294"/>
    </row>
    <row r="1295" spans="1:5">
      <c r="A1295" s="1"/>
      <c r="B1295"/>
      <c r="C1295"/>
      <c r="D1295"/>
      <c r="E1295"/>
    </row>
    <row r="1296" spans="1:5">
      <c r="A1296" s="1"/>
      <c r="B1296"/>
      <c r="C1296"/>
      <c r="D1296"/>
      <c r="E1296"/>
    </row>
    <row r="1297" spans="1:5">
      <c r="A1297" s="1"/>
      <c r="B1297"/>
      <c r="C1297"/>
      <c r="D1297"/>
      <c r="E1297"/>
    </row>
    <row r="1298" spans="1:5">
      <c r="A1298" s="1"/>
      <c r="B1298"/>
      <c r="C1298"/>
      <c r="D1298"/>
      <c r="E1298"/>
    </row>
    <row r="1299" spans="1:5">
      <c r="A1299" s="1"/>
      <c r="B1299"/>
      <c r="C1299"/>
      <c r="D1299"/>
      <c r="E1299"/>
    </row>
    <row r="1300" spans="1:5">
      <c r="A1300" s="1"/>
      <c r="B1300"/>
      <c r="C1300"/>
      <c r="D1300"/>
      <c r="E1300"/>
    </row>
    <row r="1301" spans="1:5">
      <c r="A1301" s="1"/>
      <c r="B1301"/>
      <c r="C1301"/>
      <c r="D1301"/>
      <c r="E1301"/>
    </row>
    <row r="1302" spans="1:5">
      <c r="A1302" s="1"/>
      <c r="B1302"/>
      <c r="C1302"/>
      <c r="D1302"/>
      <c r="E1302"/>
    </row>
    <row r="1303" spans="1:5">
      <c r="A1303" s="1"/>
      <c r="B1303"/>
      <c r="C1303"/>
      <c r="D1303"/>
      <c r="E1303"/>
    </row>
    <row r="1304" spans="1:5">
      <c r="A1304" s="1"/>
      <c r="B1304"/>
      <c r="C1304"/>
      <c r="D1304"/>
      <c r="E1304"/>
    </row>
    <row r="1305" spans="1:5">
      <c r="A1305" s="1"/>
      <c r="B1305"/>
      <c r="C1305"/>
      <c r="D1305"/>
      <c r="E1305"/>
    </row>
    <row r="1306" spans="1:5">
      <c r="A1306" s="1"/>
      <c r="B1306"/>
      <c r="C1306"/>
      <c r="D1306"/>
      <c r="E1306"/>
    </row>
    <row r="1307" spans="1:5">
      <c r="A1307" s="1"/>
      <c r="B1307"/>
      <c r="C1307"/>
      <c r="D1307"/>
      <c r="E1307"/>
    </row>
    <row r="1308" spans="1:5">
      <c r="A1308" s="1"/>
      <c r="B1308"/>
      <c r="C1308"/>
      <c r="D1308"/>
      <c r="E1308"/>
    </row>
    <row r="1309" spans="1:5">
      <c r="A1309" s="1"/>
      <c r="B1309"/>
      <c r="C1309"/>
      <c r="D1309"/>
      <c r="E1309"/>
    </row>
    <row r="1310" spans="1:5">
      <c r="A1310" s="1"/>
      <c r="B1310"/>
      <c r="C1310"/>
      <c r="D1310"/>
      <c r="E1310"/>
    </row>
    <row r="1311" spans="1:5">
      <c r="A1311" s="1"/>
      <c r="B1311"/>
      <c r="C1311"/>
      <c r="D1311"/>
      <c r="E1311"/>
    </row>
    <row r="1312" spans="1:5">
      <c r="A1312" s="1"/>
      <c r="B1312"/>
      <c r="C1312"/>
      <c r="D1312"/>
      <c r="E1312"/>
    </row>
    <row r="1313" spans="1:5">
      <c r="A1313" s="1"/>
      <c r="B1313"/>
      <c r="C1313"/>
      <c r="D1313"/>
      <c r="E1313"/>
    </row>
    <row r="1314" spans="1:5">
      <c r="A1314" s="1"/>
      <c r="B1314"/>
      <c r="C1314"/>
      <c r="D1314"/>
      <c r="E1314"/>
    </row>
    <row r="1315" spans="1:5">
      <c r="A1315" s="1"/>
      <c r="B1315"/>
      <c r="C1315"/>
      <c r="D1315"/>
      <c r="E1315"/>
    </row>
    <row r="1316" spans="1:5">
      <c r="A1316" s="1"/>
      <c r="B1316"/>
      <c r="C1316"/>
      <c r="D1316"/>
      <c r="E1316"/>
    </row>
    <row r="1317" spans="1:5">
      <c r="A1317" s="1"/>
      <c r="B1317"/>
      <c r="C1317"/>
      <c r="D1317"/>
      <c r="E1317"/>
    </row>
    <row r="1318" spans="1:5">
      <c r="A1318" s="1"/>
      <c r="B1318"/>
      <c r="C1318"/>
      <c r="D1318"/>
      <c r="E1318"/>
    </row>
    <row r="1319" spans="1:5">
      <c r="A1319" s="1"/>
      <c r="B1319"/>
      <c r="C1319"/>
      <c r="D1319"/>
      <c r="E1319"/>
    </row>
    <row r="1320" spans="1:5">
      <c r="A1320" s="1"/>
      <c r="B1320"/>
      <c r="C1320"/>
      <c r="D1320"/>
      <c r="E1320"/>
    </row>
    <row r="1321" spans="1:5">
      <c r="A1321" s="1"/>
      <c r="B1321"/>
      <c r="C1321"/>
      <c r="D1321"/>
      <c r="E1321"/>
    </row>
    <row r="1322" spans="1:5">
      <c r="A1322" s="1"/>
      <c r="B1322"/>
      <c r="C1322"/>
      <c r="D1322"/>
      <c r="E1322"/>
    </row>
    <row r="1323" spans="1:5">
      <c r="A1323" s="1"/>
      <c r="B1323"/>
      <c r="C1323"/>
      <c r="D1323"/>
      <c r="E1323"/>
    </row>
    <row r="1324" spans="1:5">
      <c r="A1324" s="1"/>
      <c r="B1324"/>
      <c r="C1324"/>
      <c r="D1324"/>
      <c r="E1324"/>
    </row>
    <row r="1325" spans="1:5">
      <c r="A1325" s="1"/>
      <c r="B1325"/>
      <c r="C1325"/>
      <c r="D1325"/>
      <c r="E1325"/>
    </row>
    <row r="1326" spans="1:5">
      <c r="A1326" s="1"/>
      <c r="B1326"/>
      <c r="C1326"/>
      <c r="D1326"/>
      <c r="E1326"/>
    </row>
    <row r="1327" spans="1:5">
      <c r="A1327" s="1"/>
      <c r="B1327"/>
      <c r="C1327"/>
      <c r="D1327"/>
      <c r="E1327"/>
    </row>
    <row r="1328" spans="1:5">
      <c r="A1328" s="1"/>
      <c r="B1328"/>
      <c r="C1328"/>
      <c r="D1328"/>
      <c r="E1328"/>
    </row>
    <row r="1329" spans="1:5">
      <c r="A1329" s="1"/>
      <c r="B1329"/>
      <c r="C1329"/>
      <c r="D1329"/>
      <c r="E1329"/>
    </row>
    <row r="1330" spans="1:5">
      <c r="A1330" s="1"/>
      <c r="B1330"/>
      <c r="C1330"/>
      <c r="D1330"/>
      <c r="E1330"/>
    </row>
    <row r="1331" spans="1:5">
      <c r="A1331" s="1"/>
      <c r="B1331"/>
      <c r="C1331"/>
      <c r="D1331"/>
      <c r="E1331"/>
    </row>
    <row r="1332" spans="1:5">
      <c r="A1332" s="1"/>
      <c r="B1332"/>
      <c r="C1332"/>
      <c r="D1332"/>
      <c r="E1332"/>
    </row>
    <row r="1333" spans="1:5">
      <c r="A1333" s="1"/>
      <c r="B1333"/>
      <c r="C1333"/>
      <c r="D1333"/>
      <c r="E1333"/>
    </row>
    <row r="1334" spans="1:5">
      <c r="A1334" s="1"/>
      <c r="B1334"/>
      <c r="C1334"/>
      <c r="D1334"/>
      <c r="E1334"/>
    </row>
    <row r="1335" spans="1:5">
      <c r="A1335" s="1"/>
      <c r="B1335"/>
      <c r="C1335"/>
      <c r="D1335"/>
      <c r="E1335"/>
    </row>
    <row r="1336" spans="1:5">
      <c r="A1336" s="1"/>
      <c r="B1336"/>
      <c r="C1336"/>
      <c r="D1336"/>
      <c r="E1336"/>
    </row>
    <row r="1337" spans="1:5">
      <c r="A1337" s="1"/>
      <c r="B1337"/>
      <c r="C1337"/>
      <c r="D1337"/>
      <c r="E1337"/>
    </row>
    <row r="1338" spans="1:5">
      <c r="A1338" s="1"/>
      <c r="B1338"/>
      <c r="C1338"/>
      <c r="D1338"/>
      <c r="E1338"/>
    </row>
    <row r="1339" spans="1:5">
      <c r="A1339" s="1"/>
      <c r="B1339"/>
      <c r="C1339"/>
      <c r="D1339"/>
      <c r="E1339"/>
    </row>
    <row r="1340" spans="1:5">
      <c r="A1340" s="1"/>
      <c r="B1340"/>
      <c r="C1340"/>
      <c r="D1340"/>
      <c r="E1340"/>
    </row>
    <row r="1341" spans="1:5">
      <c r="A1341" s="1"/>
      <c r="B1341"/>
      <c r="C1341"/>
      <c r="D1341"/>
      <c r="E1341"/>
    </row>
    <row r="1342" spans="1:5">
      <c r="A1342" s="1"/>
      <c r="B1342"/>
      <c r="C1342"/>
      <c r="D1342"/>
      <c r="E1342"/>
    </row>
    <row r="1343" spans="1:5">
      <c r="A1343" s="1"/>
      <c r="B1343"/>
      <c r="C1343"/>
      <c r="D1343"/>
      <c r="E1343"/>
    </row>
    <row r="1344" spans="1:5">
      <c r="A1344" s="1"/>
      <c r="B1344"/>
      <c r="C1344"/>
      <c r="D1344"/>
      <c r="E1344"/>
    </row>
    <row r="1345" spans="1:5">
      <c r="A1345" s="1"/>
      <c r="B1345"/>
      <c r="C1345"/>
      <c r="D1345"/>
      <c r="E1345"/>
    </row>
    <row r="1346" spans="1:5">
      <c r="A1346" s="1"/>
      <c r="B1346"/>
      <c r="C1346"/>
      <c r="D1346"/>
      <c r="E1346"/>
    </row>
    <row r="1347" spans="1:5">
      <c r="A1347" s="1"/>
      <c r="B1347"/>
      <c r="C1347"/>
      <c r="D1347"/>
      <c r="E1347"/>
    </row>
    <row r="1348" spans="1:5">
      <c r="A1348" s="1"/>
      <c r="B1348"/>
      <c r="C1348"/>
      <c r="D1348"/>
      <c r="E1348"/>
    </row>
    <row r="1349" spans="1:5">
      <c r="A1349" s="1"/>
      <c r="B1349"/>
      <c r="C1349"/>
      <c r="D1349"/>
      <c r="E1349"/>
    </row>
    <row r="1350" spans="1:5">
      <c r="A1350" s="1"/>
      <c r="B1350"/>
      <c r="C1350"/>
      <c r="D1350"/>
      <c r="E1350"/>
    </row>
    <row r="1351" spans="1:5">
      <c r="A1351" s="1"/>
      <c r="B1351"/>
      <c r="C1351"/>
      <c r="D1351"/>
      <c r="E1351"/>
    </row>
    <row r="1352" spans="1:5">
      <c r="A1352" s="1"/>
      <c r="B1352"/>
      <c r="C1352"/>
      <c r="D1352"/>
      <c r="E1352"/>
    </row>
    <row r="1353" spans="1:5">
      <c r="A1353" s="1"/>
      <c r="B1353"/>
      <c r="C1353"/>
      <c r="D1353"/>
      <c r="E1353"/>
    </row>
    <row r="1354" spans="1:5">
      <c r="A1354" s="1"/>
      <c r="B1354"/>
      <c r="C1354"/>
      <c r="D1354"/>
      <c r="E1354"/>
    </row>
    <row r="1355" spans="1:5">
      <c r="A1355" s="1"/>
      <c r="B1355"/>
      <c r="C1355"/>
      <c r="D1355"/>
      <c r="E1355"/>
    </row>
    <row r="1356" spans="1:5">
      <c r="A1356" s="1"/>
      <c r="B1356"/>
      <c r="C1356"/>
      <c r="D1356"/>
      <c r="E1356"/>
    </row>
    <row r="1357" spans="1:5">
      <c r="A1357" s="1"/>
      <c r="B1357"/>
      <c r="C1357"/>
      <c r="D1357"/>
      <c r="E1357"/>
    </row>
    <row r="1358" spans="1:5">
      <c r="A1358" s="1"/>
      <c r="B1358"/>
      <c r="C1358"/>
      <c r="D1358"/>
      <c r="E1358"/>
    </row>
    <row r="1359" spans="1:5">
      <c r="A1359" s="1"/>
      <c r="B1359"/>
      <c r="C1359"/>
      <c r="D1359"/>
      <c r="E1359"/>
    </row>
    <row r="1360" spans="1:5">
      <c r="A1360" s="1"/>
      <c r="B1360"/>
      <c r="C1360"/>
      <c r="D1360"/>
      <c r="E1360"/>
    </row>
    <row r="1361" spans="1:5">
      <c r="A1361" s="1"/>
      <c r="B1361"/>
      <c r="C1361"/>
      <c r="D1361"/>
      <c r="E1361"/>
    </row>
    <row r="1362" spans="1:5">
      <c r="A1362" s="1"/>
      <c r="B1362"/>
      <c r="C1362"/>
      <c r="D1362"/>
      <c r="E1362"/>
    </row>
    <row r="1363" spans="1:5">
      <c r="A1363" s="1"/>
      <c r="B1363"/>
      <c r="C1363"/>
      <c r="D1363"/>
      <c r="E1363"/>
    </row>
    <row r="1364" spans="1:5">
      <c r="A1364" s="1"/>
      <c r="B1364"/>
      <c r="C1364"/>
      <c r="D1364"/>
      <c r="E1364"/>
    </row>
    <row r="1365" spans="1:5">
      <c r="A1365" s="1"/>
      <c r="B1365"/>
      <c r="C1365"/>
      <c r="D1365"/>
      <c r="E1365"/>
    </row>
    <row r="1366" spans="1:5">
      <c r="A1366" s="1"/>
      <c r="B1366"/>
      <c r="C1366"/>
      <c r="D1366"/>
      <c r="E1366"/>
    </row>
    <row r="1367" spans="1:5">
      <c r="A1367" s="1"/>
      <c r="B1367"/>
      <c r="C1367"/>
      <c r="D1367"/>
      <c r="E1367"/>
    </row>
    <row r="1368" spans="1:5">
      <c r="A1368" s="1"/>
      <c r="B1368"/>
      <c r="C1368"/>
      <c r="D1368"/>
      <c r="E1368"/>
    </row>
    <row r="1369" spans="1:5">
      <c r="A1369" s="1"/>
      <c r="B1369"/>
      <c r="C1369"/>
      <c r="D1369"/>
      <c r="E1369"/>
    </row>
    <row r="1370" spans="1:5">
      <c r="A1370" s="1"/>
      <c r="B1370"/>
      <c r="C1370"/>
      <c r="D1370"/>
      <c r="E1370"/>
    </row>
    <row r="1371" spans="1:5">
      <c r="A1371" s="1"/>
      <c r="B1371"/>
      <c r="C1371"/>
      <c r="D1371"/>
      <c r="E1371"/>
    </row>
    <row r="1372" spans="1:5">
      <c r="A1372" s="1"/>
      <c r="B1372"/>
      <c r="C1372"/>
      <c r="D1372"/>
      <c r="E1372"/>
    </row>
    <row r="1373" spans="1:5">
      <c r="A1373" s="1"/>
      <c r="B1373"/>
      <c r="C1373"/>
      <c r="D1373"/>
      <c r="E1373"/>
    </row>
    <row r="1374" spans="1:5">
      <c r="A1374" s="1"/>
      <c r="B1374"/>
      <c r="C1374"/>
      <c r="D1374"/>
      <c r="E1374"/>
    </row>
    <row r="1375" spans="1:5">
      <c r="A1375" s="1"/>
      <c r="B1375"/>
      <c r="C1375"/>
      <c r="D1375"/>
      <c r="E1375"/>
    </row>
    <row r="1376" spans="1:5">
      <c r="A1376" s="1"/>
      <c r="B1376"/>
      <c r="C1376"/>
      <c r="D1376"/>
      <c r="E1376"/>
    </row>
    <row r="1377" spans="1:5">
      <c r="A1377" s="1"/>
      <c r="B1377"/>
      <c r="C1377"/>
      <c r="D1377"/>
      <c r="E1377"/>
    </row>
    <row r="1378" spans="1:5">
      <c r="A1378" s="1"/>
      <c r="B1378"/>
      <c r="C1378"/>
      <c r="D1378"/>
      <c r="E1378"/>
    </row>
    <row r="1379" spans="1:5">
      <c r="A1379" s="1"/>
      <c r="B1379"/>
      <c r="C1379"/>
      <c r="D1379"/>
      <c r="E1379"/>
    </row>
    <row r="1380" spans="1:5">
      <c r="A1380" s="1"/>
      <c r="B1380"/>
      <c r="C1380"/>
      <c r="D1380"/>
      <c r="E1380"/>
    </row>
    <row r="1381" spans="1:5">
      <c r="A1381" s="1"/>
      <c r="B1381"/>
      <c r="C1381"/>
      <c r="D1381"/>
      <c r="E1381"/>
    </row>
    <row r="1382" spans="1:5">
      <c r="A1382" s="1"/>
      <c r="B1382"/>
      <c r="C1382"/>
      <c r="D1382"/>
      <c r="E1382"/>
    </row>
    <row r="1383" spans="1:5">
      <c r="A1383" s="1"/>
      <c r="B1383"/>
      <c r="C1383"/>
      <c r="D1383"/>
      <c r="E1383"/>
    </row>
    <row r="1384" spans="1:5">
      <c r="A1384" s="1"/>
      <c r="B1384"/>
      <c r="C1384"/>
      <c r="D1384"/>
      <c r="E1384"/>
    </row>
    <row r="1385" spans="1:5">
      <c r="A1385" s="1"/>
      <c r="B1385"/>
      <c r="C1385"/>
      <c r="D1385"/>
      <c r="E1385"/>
    </row>
    <row r="1386" spans="1:5">
      <c r="A1386" s="1"/>
      <c r="B1386"/>
      <c r="C1386"/>
      <c r="D1386"/>
      <c r="E1386"/>
    </row>
    <row r="1387" spans="1:5">
      <c r="A1387" s="1"/>
      <c r="B1387"/>
      <c r="C1387"/>
      <c r="D1387"/>
      <c r="E1387"/>
    </row>
    <row r="1388" spans="1:5">
      <c r="A1388" s="1"/>
      <c r="B1388"/>
      <c r="C1388"/>
      <c r="D1388"/>
      <c r="E1388"/>
    </row>
    <row r="1389" spans="1:5">
      <c r="A1389" s="1"/>
      <c r="B1389"/>
      <c r="C1389"/>
      <c r="D1389"/>
      <c r="E1389"/>
    </row>
    <row r="1390" spans="1:5">
      <c r="A1390" s="1"/>
      <c r="B1390"/>
      <c r="C1390"/>
      <c r="D1390"/>
      <c r="E1390"/>
    </row>
    <row r="1391" spans="1:5">
      <c r="A1391" s="1"/>
      <c r="B1391"/>
      <c r="C1391"/>
      <c r="D1391"/>
      <c r="E1391"/>
    </row>
    <row r="1392" spans="1:5">
      <c r="A1392" s="1"/>
      <c r="B1392"/>
      <c r="C1392"/>
      <c r="D1392"/>
      <c r="E1392"/>
    </row>
    <row r="1393" spans="1:5">
      <c r="A1393" s="1"/>
      <c r="B1393"/>
      <c r="C1393"/>
      <c r="D1393"/>
      <c r="E1393"/>
    </row>
    <row r="1394" spans="1:5">
      <c r="A1394" s="1"/>
      <c r="B1394"/>
      <c r="C1394"/>
      <c r="D1394"/>
      <c r="E1394"/>
    </row>
    <row r="1395" spans="1:5">
      <c r="A1395" s="1"/>
      <c r="B1395"/>
      <c r="C1395"/>
      <c r="D1395"/>
      <c r="E1395"/>
    </row>
    <row r="1396" spans="1:5">
      <c r="A1396" s="1"/>
      <c r="B1396"/>
      <c r="C1396"/>
      <c r="D1396"/>
      <c r="E1396"/>
    </row>
    <row r="1397" spans="1:5">
      <c r="A1397" s="1"/>
      <c r="B1397"/>
      <c r="C1397"/>
      <c r="D1397"/>
      <c r="E1397"/>
    </row>
    <row r="1398" spans="1:5">
      <c r="A1398" s="1"/>
      <c r="B1398"/>
      <c r="C1398"/>
      <c r="D1398"/>
      <c r="E1398"/>
    </row>
    <row r="1399" spans="1:5">
      <c r="A1399" s="1"/>
      <c r="B1399"/>
      <c r="C1399"/>
      <c r="D1399"/>
      <c r="E1399"/>
    </row>
    <row r="1400" spans="1:5">
      <c r="A1400" s="1"/>
      <c r="B1400"/>
      <c r="C1400"/>
      <c r="D1400"/>
      <c r="E1400"/>
    </row>
    <row r="1401" spans="1:5">
      <c r="A1401" s="1"/>
      <c r="B1401"/>
      <c r="C1401"/>
      <c r="D1401"/>
      <c r="E1401"/>
    </row>
    <row r="1402" spans="1:5">
      <c r="A1402" s="1"/>
      <c r="B1402"/>
      <c r="C1402"/>
      <c r="D1402"/>
      <c r="E1402"/>
    </row>
    <row r="1403" spans="1:5">
      <c r="A1403" s="1"/>
      <c r="B1403"/>
      <c r="C1403"/>
      <c r="D1403"/>
      <c r="E1403"/>
    </row>
    <row r="1404" spans="1:5">
      <c r="A1404" s="1"/>
      <c r="B1404"/>
      <c r="C1404"/>
      <c r="D1404"/>
      <c r="E1404"/>
    </row>
    <row r="1405" spans="1:5">
      <c r="A1405" s="1"/>
      <c r="B1405"/>
      <c r="C1405"/>
      <c r="D1405"/>
      <c r="E1405"/>
    </row>
    <row r="1406" spans="1:5">
      <c r="A1406" s="1"/>
      <c r="B1406"/>
      <c r="C1406"/>
      <c r="D1406"/>
      <c r="E1406"/>
    </row>
    <row r="1407" spans="1:5">
      <c r="A1407" s="1"/>
      <c r="B1407"/>
      <c r="C1407"/>
      <c r="D1407"/>
      <c r="E1407"/>
    </row>
    <row r="1408" spans="1:5">
      <c r="A1408" s="1"/>
      <c r="B1408"/>
      <c r="C1408"/>
      <c r="D1408"/>
      <c r="E1408"/>
    </row>
    <row r="1409" spans="1:5">
      <c r="A1409" s="1"/>
      <c r="B1409"/>
      <c r="C1409"/>
      <c r="D1409"/>
      <c r="E1409"/>
    </row>
    <row r="1410" spans="1:5">
      <c r="A1410" s="1"/>
      <c r="B1410"/>
      <c r="C1410"/>
      <c r="D1410"/>
      <c r="E1410"/>
    </row>
    <row r="1411" spans="1:5">
      <c r="A1411" s="1"/>
      <c r="B1411"/>
      <c r="C1411"/>
      <c r="D1411"/>
      <c r="E1411"/>
    </row>
    <row r="1412" spans="1:5">
      <c r="A1412" s="1"/>
      <c r="B1412"/>
      <c r="C1412"/>
      <c r="D1412"/>
      <c r="E1412"/>
    </row>
    <row r="1413" spans="1:5">
      <c r="A1413" s="1"/>
      <c r="B1413"/>
      <c r="C1413"/>
      <c r="D1413"/>
      <c r="E1413"/>
    </row>
    <row r="1414" spans="1:5">
      <c r="A1414" s="1"/>
      <c r="B1414"/>
      <c r="C1414"/>
      <c r="D1414"/>
      <c r="E1414"/>
    </row>
    <row r="1415" spans="1:5">
      <c r="A1415" s="1"/>
      <c r="B1415"/>
      <c r="C1415"/>
      <c r="D1415"/>
      <c r="E1415"/>
    </row>
    <row r="1416" spans="1:5">
      <c r="A1416" s="1"/>
      <c r="B1416"/>
      <c r="C1416"/>
      <c r="D1416"/>
      <c r="E1416"/>
    </row>
    <row r="1417" spans="1:5">
      <c r="A1417" s="1"/>
      <c r="B1417"/>
      <c r="C1417"/>
      <c r="D1417"/>
      <c r="E1417"/>
    </row>
    <row r="1418" spans="1:5">
      <c r="A1418" s="1"/>
      <c r="B1418"/>
      <c r="C1418"/>
      <c r="D1418"/>
      <c r="E1418"/>
    </row>
    <row r="1419" spans="1:5">
      <c r="A1419" s="1"/>
      <c r="B1419"/>
      <c r="C1419"/>
      <c r="D1419"/>
      <c r="E1419"/>
    </row>
    <row r="1420" spans="1:5">
      <c r="A1420" s="1"/>
      <c r="B1420"/>
      <c r="C1420"/>
      <c r="D1420"/>
      <c r="E1420"/>
    </row>
    <row r="1421" spans="1:5">
      <c r="A1421" s="1"/>
      <c r="B1421"/>
      <c r="C1421"/>
      <c r="D1421"/>
      <c r="E1421"/>
    </row>
    <row r="1422" spans="1:5">
      <c r="A1422" s="1"/>
      <c r="B1422"/>
      <c r="C1422"/>
      <c r="D1422"/>
      <c r="E1422"/>
    </row>
    <row r="1423" spans="1:5">
      <c r="A1423" s="1"/>
      <c r="B1423"/>
      <c r="C1423"/>
      <c r="D1423"/>
      <c r="E1423"/>
    </row>
    <row r="1424" spans="1:5">
      <c r="A1424" s="1"/>
      <c r="B1424"/>
      <c r="C1424"/>
      <c r="D1424"/>
      <c r="E1424"/>
    </row>
    <row r="1425" spans="1:5">
      <c r="A1425" s="1"/>
      <c r="B1425"/>
      <c r="C1425"/>
      <c r="D1425"/>
      <c r="E1425"/>
    </row>
    <row r="1426" spans="1:5">
      <c r="A1426" s="1"/>
      <c r="B1426"/>
      <c r="C1426"/>
      <c r="D1426"/>
      <c r="E1426"/>
    </row>
    <row r="1427" spans="1:5">
      <c r="A1427" s="1"/>
      <c r="B1427"/>
      <c r="C1427"/>
      <c r="D1427"/>
      <c r="E1427"/>
    </row>
    <row r="1428" spans="1:5">
      <c r="A1428" s="1"/>
      <c r="B1428"/>
      <c r="C1428"/>
      <c r="D1428"/>
      <c r="E1428"/>
    </row>
    <row r="1429" spans="1:5">
      <c r="A1429" s="1"/>
      <c r="B1429"/>
      <c r="C1429"/>
      <c r="D1429"/>
      <c r="E1429"/>
    </row>
    <row r="1430" spans="1:5">
      <c r="A1430" s="1"/>
      <c r="B1430"/>
      <c r="C1430"/>
      <c r="D1430"/>
      <c r="E1430"/>
    </row>
    <row r="1431" spans="1:5">
      <c r="A1431" s="1"/>
      <c r="B1431"/>
      <c r="C1431"/>
      <c r="D1431"/>
      <c r="E1431"/>
    </row>
    <row r="1432" spans="1:5">
      <c r="A1432" s="1"/>
      <c r="B1432"/>
      <c r="C1432"/>
      <c r="D1432"/>
      <c r="E1432"/>
    </row>
    <row r="1433" spans="1:5">
      <c r="A1433" s="1"/>
      <c r="B1433"/>
      <c r="C1433"/>
      <c r="D1433"/>
      <c r="E1433"/>
    </row>
    <row r="1434" spans="1:5">
      <c r="A1434" s="1"/>
      <c r="B1434"/>
      <c r="C1434"/>
      <c r="D1434"/>
      <c r="E1434"/>
    </row>
    <row r="1435" spans="1:5">
      <c r="A1435" s="1"/>
      <c r="B1435"/>
      <c r="C1435"/>
      <c r="D1435"/>
      <c r="E1435"/>
    </row>
    <row r="1436" spans="1:5">
      <c r="A1436" s="1"/>
      <c r="B1436"/>
      <c r="C1436"/>
      <c r="D1436"/>
      <c r="E1436"/>
    </row>
    <row r="1437" spans="1:5">
      <c r="A1437" s="1"/>
      <c r="B1437"/>
      <c r="C1437"/>
      <c r="D1437"/>
      <c r="E1437"/>
    </row>
    <row r="1438" spans="1:5">
      <c r="A1438" s="1"/>
      <c r="B1438"/>
      <c r="C1438"/>
      <c r="D1438"/>
      <c r="E1438"/>
    </row>
    <row r="1439" spans="1:5">
      <c r="A1439" s="1"/>
      <c r="B1439"/>
      <c r="C1439"/>
      <c r="D1439"/>
      <c r="E1439"/>
    </row>
    <row r="1440" spans="1:5">
      <c r="A1440" s="1"/>
      <c r="B1440"/>
      <c r="C1440"/>
      <c r="D1440"/>
      <c r="E1440"/>
    </row>
    <row r="1441" spans="1:5">
      <c r="A1441" s="1"/>
      <c r="B1441"/>
      <c r="C1441"/>
      <c r="D1441"/>
      <c r="E1441"/>
    </row>
    <row r="1442" spans="1:5">
      <c r="A1442" s="1"/>
      <c r="B1442"/>
      <c r="C1442"/>
      <c r="D1442"/>
      <c r="E1442"/>
    </row>
    <row r="1443" spans="1:5">
      <c r="A1443" s="1"/>
      <c r="B1443"/>
      <c r="C1443"/>
      <c r="D1443"/>
      <c r="E1443"/>
    </row>
    <row r="1444" spans="1:5">
      <c r="A1444" s="1"/>
      <c r="B1444"/>
      <c r="C1444"/>
      <c r="D1444"/>
      <c r="E1444"/>
    </row>
    <row r="1445" spans="1:5">
      <c r="A1445" s="1"/>
      <c r="B1445"/>
      <c r="C1445"/>
      <c r="D1445"/>
      <c r="E1445"/>
    </row>
    <row r="1446" spans="1:5">
      <c r="A1446" s="1"/>
      <c r="B1446"/>
      <c r="C1446"/>
      <c r="D1446"/>
      <c r="E1446"/>
    </row>
    <row r="1447" spans="1:5">
      <c r="A1447" s="1"/>
      <c r="B1447"/>
      <c r="C1447"/>
      <c r="D1447"/>
      <c r="E1447"/>
    </row>
    <row r="1448" spans="1:5">
      <c r="A1448" s="1"/>
      <c r="B1448"/>
      <c r="C1448"/>
      <c r="D1448"/>
      <c r="E1448"/>
    </row>
    <row r="1449" spans="1:5">
      <c r="A1449" s="1"/>
      <c r="B1449"/>
      <c r="C1449"/>
      <c r="D1449"/>
      <c r="E1449"/>
    </row>
    <row r="1450" spans="1:5">
      <c r="A1450" s="1"/>
      <c r="B1450"/>
      <c r="C1450"/>
      <c r="D1450"/>
      <c r="E1450"/>
    </row>
    <row r="1451" spans="1:5">
      <c r="A1451" s="1"/>
      <c r="B1451"/>
      <c r="C1451"/>
      <c r="D1451"/>
      <c r="E1451"/>
    </row>
    <row r="1452" spans="1:5">
      <c r="A1452" s="1"/>
      <c r="B1452"/>
      <c r="C1452"/>
      <c r="D1452"/>
      <c r="E1452"/>
    </row>
    <row r="1453" spans="1:5">
      <c r="A1453" s="1"/>
      <c r="B1453"/>
      <c r="C1453"/>
      <c r="D1453"/>
      <c r="E1453"/>
    </row>
    <row r="1454" spans="1:5">
      <c r="A1454" s="1"/>
      <c r="B1454"/>
      <c r="C1454"/>
      <c r="D1454"/>
      <c r="E1454"/>
    </row>
    <row r="1455" spans="1:5">
      <c r="A1455" s="1"/>
      <c r="B1455"/>
      <c r="C1455"/>
      <c r="D1455"/>
      <c r="E1455"/>
    </row>
    <row r="1456" spans="1:5">
      <c r="A1456" s="1"/>
      <c r="B1456"/>
      <c r="C1456"/>
      <c r="D1456"/>
      <c r="E1456"/>
    </row>
    <row r="1457" spans="1:5">
      <c r="A1457" s="1"/>
      <c r="B1457"/>
      <c r="C1457"/>
      <c r="D1457"/>
      <c r="E1457"/>
    </row>
    <row r="1458" spans="1:5">
      <c r="A1458" s="1"/>
      <c r="B1458"/>
      <c r="C1458"/>
      <c r="D1458"/>
      <c r="E1458"/>
    </row>
    <row r="1459" spans="1:5">
      <c r="A1459" s="1"/>
      <c r="B1459"/>
      <c r="C1459"/>
      <c r="D1459"/>
      <c r="E1459"/>
    </row>
    <row r="1460" spans="1:5">
      <c r="A1460" s="1"/>
      <c r="B1460"/>
      <c r="C1460"/>
      <c r="D1460"/>
      <c r="E1460"/>
    </row>
    <row r="1461" spans="1:5">
      <c r="A1461" s="1"/>
      <c r="B1461"/>
      <c r="C1461"/>
      <c r="D1461"/>
      <c r="E1461"/>
    </row>
    <row r="1462" spans="1:5">
      <c r="A1462" s="1"/>
      <c r="B1462"/>
      <c r="C1462"/>
      <c r="D1462"/>
      <c r="E1462"/>
    </row>
    <row r="1463" spans="1:5">
      <c r="A1463" s="1"/>
      <c r="B1463"/>
      <c r="C1463"/>
      <c r="D1463"/>
      <c r="E1463"/>
    </row>
    <row r="1464" spans="1:5">
      <c r="A1464" s="1"/>
      <c r="B1464"/>
      <c r="C1464"/>
      <c r="D1464"/>
      <c r="E1464"/>
    </row>
    <row r="1465" spans="1:5">
      <c r="A1465" s="1"/>
      <c r="B1465"/>
      <c r="C1465"/>
      <c r="D1465"/>
      <c r="E1465"/>
    </row>
    <row r="1466" spans="1:5">
      <c r="A1466" s="1"/>
      <c r="B1466"/>
      <c r="C1466"/>
      <c r="D1466"/>
      <c r="E1466"/>
    </row>
    <row r="1467" spans="1:5">
      <c r="A1467" s="1"/>
      <c r="B1467"/>
      <c r="C1467"/>
      <c r="D1467"/>
      <c r="E1467"/>
    </row>
    <row r="1468" spans="1:5">
      <c r="A1468" s="1"/>
      <c r="B1468"/>
      <c r="C1468"/>
      <c r="D1468"/>
      <c r="E1468"/>
    </row>
    <row r="1469" spans="1:5">
      <c r="A1469" s="1"/>
      <c r="B1469"/>
      <c r="C1469"/>
      <c r="D1469"/>
      <c r="E1469"/>
    </row>
    <row r="1470" spans="1:5">
      <c r="A1470" s="1"/>
      <c r="B1470"/>
      <c r="C1470"/>
      <c r="D1470"/>
      <c r="E1470"/>
    </row>
    <row r="1471" spans="1:5">
      <c r="A1471" s="1"/>
      <c r="B1471"/>
      <c r="C1471"/>
      <c r="D1471"/>
      <c r="E1471"/>
    </row>
    <row r="1472" spans="1:5">
      <c r="A1472" s="1"/>
      <c r="B1472"/>
      <c r="C1472"/>
      <c r="D1472"/>
      <c r="E1472"/>
    </row>
    <row r="1473" spans="1:5">
      <c r="A1473" s="1"/>
      <c r="B1473"/>
      <c r="C1473"/>
      <c r="D1473"/>
      <c r="E1473"/>
    </row>
    <row r="1474" spans="1:5">
      <c r="A1474" s="1"/>
      <c r="B1474"/>
      <c r="C1474"/>
      <c r="D1474"/>
      <c r="E1474"/>
    </row>
    <row r="1475" spans="1:5">
      <c r="A1475" s="1"/>
      <c r="B1475"/>
      <c r="C1475"/>
      <c r="D1475"/>
      <c r="E1475"/>
    </row>
    <row r="1476" spans="1:5">
      <c r="A1476" s="1"/>
      <c r="B1476"/>
      <c r="C1476"/>
      <c r="D1476"/>
      <c r="E1476"/>
    </row>
    <row r="1477" spans="1:5">
      <c r="A1477" s="1"/>
      <c r="B1477"/>
      <c r="C1477"/>
      <c r="D1477"/>
      <c r="E1477"/>
    </row>
    <row r="1478" spans="1:5">
      <c r="A1478" s="1"/>
      <c r="B1478"/>
      <c r="C1478"/>
      <c r="D1478"/>
      <c r="E1478"/>
    </row>
    <row r="1479" spans="1:5">
      <c r="A1479" s="1"/>
      <c r="B1479"/>
      <c r="C1479"/>
      <c r="D1479"/>
      <c r="E1479"/>
    </row>
    <row r="1480" spans="1:5">
      <c r="A1480" s="1"/>
      <c r="B1480"/>
      <c r="C1480"/>
      <c r="D1480"/>
      <c r="E1480"/>
    </row>
    <row r="1481" spans="1:5">
      <c r="A1481" s="1"/>
      <c r="B1481"/>
      <c r="C1481"/>
      <c r="D1481"/>
      <c r="E1481"/>
    </row>
    <row r="1482" spans="1:5">
      <c r="A1482" s="1"/>
      <c r="B1482"/>
      <c r="C1482"/>
      <c r="D1482"/>
      <c r="E1482"/>
    </row>
    <row r="1483" spans="1:5">
      <c r="A1483" s="1"/>
      <c r="B1483"/>
      <c r="C1483"/>
      <c r="D1483"/>
      <c r="E1483"/>
    </row>
    <row r="1484" spans="1:5">
      <c r="A1484" s="1"/>
      <c r="B1484"/>
      <c r="C1484"/>
      <c r="D1484"/>
      <c r="E1484"/>
    </row>
    <row r="1485" spans="1:5">
      <c r="A1485" s="1"/>
      <c r="B1485"/>
      <c r="C1485"/>
      <c r="D1485"/>
      <c r="E1485"/>
    </row>
    <row r="1486" spans="1:5">
      <c r="A1486" s="1"/>
      <c r="B1486"/>
      <c r="C1486"/>
      <c r="D1486"/>
      <c r="E1486"/>
    </row>
    <row r="1487" spans="1:5">
      <c r="A1487" s="1"/>
      <c r="B1487"/>
      <c r="C1487"/>
      <c r="D1487"/>
      <c r="E1487"/>
    </row>
    <row r="1488" spans="1:5">
      <c r="A1488" s="1"/>
      <c r="B1488"/>
      <c r="C1488"/>
      <c r="D1488"/>
      <c r="E1488"/>
    </row>
    <row r="1489" spans="1:5">
      <c r="A1489" s="1"/>
      <c r="B1489"/>
      <c r="C1489"/>
      <c r="D1489"/>
      <c r="E1489"/>
    </row>
    <row r="1490" spans="1:5">
      <c r="A1490" s="1"/>
      <c r="B1490"/>
      <c r="C1490"/>
      <c r="D1490"/>
      <c r="E1490"/>
    </row>
    <row r="1491" spans="1:5">
      <c r="A1491" s="1"/>
      <c r="B1491"/>
      <c r="C1491"/>
      <c r="D1491"/>
      <c r="E1491"/>
    </row>
    <row r="1492" spans="1:5">
      <c r="A1492" s="1"/>
      <c r="B1492"/>
      <c r="C1492"/>
      <c r="D1492"/>
      <c r="E1492"/>
    </row>
    <row r="1493" spans="1:5">
      <c r="A1493" s="1"/>
      <c r="B1493"/>
      <c r="C1493"/>
      <c r="D1493"/>
      <c r="E1493"/>
    </row>
    <row r="1494" spans="1:5">
      <c r="A1494" s="1"/>
      <c r="B1494"/>
      <c r="C1494"/>
      <c r="D1494"/>
      <c r="E1494"/>
    </row>
    <row r="1495" spans="1:5">
      <c r="A1495" s="1"/>
      <c r="B1495"/>
      <c r="C1495"/>
      <c r="D1495"/>
      <c r="E1495"/>
    </row>
    <row r="1496" spans="1:5">
      <c r="A1496" s="1"/>
      <c r="B1496"/>
      <c r="C1496"/>
      <c r="D1496"/>
      <c r="E1496"/>
    </row>
    <row r="1497" spans="1:5">
      <c r="A1497" s="1"/>
      <c r="B1497"/>
      <c r="C1497"/>
      <c r="D1497"/>
      <c r="E1497"/>
    </row>
    <row r="1498" spans="1:5">
      <c r="A1498" s="1"/>
      <c r="B1498"/>
      <c r="C1498"/>
      <c r="D1498"/>
      <c r="E1498"/>
    </row>
    <row r="1499" spans="1:5">
      <c r="A1499" s="1"/>
      <c r="B1499"/>
      <c r="C1499"/>
      <c r="D1499"/>
      <c r="E1499"/>
    </row>
    <row r="1500" spans="1:5">
      <c r="A1500" s="1"/>
      <c r="B1500"/>
      <c r="C1500"/>
      <c r="D1500"/>
      <c r="E1500"/>
    </row>
    <row r="1501" spans="1:5">
      <c r="A1501" s="1"/>
      <c r="B1501"/>
      <c r="C1501"/>
      <c r="D1501"/>
      <c r="E1501"/>
    </row>
    <row r="1502" spans="1:5">
      <c r="A1502" s="1"/>
      <c r="B1502"/>
      <c r="C1502"/>
      <c r="D1502"/>
      <c r="E1502"/>
    </row>
    <row r="1503" spans="1:5">
      <c r="A1503" s="1"/>
      <c r="B1503"/>
      <c r="C1503"/>
      <c r="D1503"/>
      <c r="E1503"/>
    </row>
    <row r="1504" spans="1:5">
      <c r="A1504" s="1"/>
      <c r="B1504"/>
      <c r="C1504"/>
      <c r="D1504"/>
      <c r="E1504"/>
    </row>
    <row r="1505" spans="1:5">
      <c r="A1505" s="1"/>
      <c r="B1505"/>
      <c r="C1505"/>
      <c r="D1505"/>
      <c r="E1505"/>
    </row>
    <row r="1506" spans="1:5">
      <c r="A1506" s="1"/>
      <c r="B1506"/>
      <c r="C1506"/>
      <c r="D1506"/>
      <c r="E1506"/>
    </row>
    <row r="1507" spans="1:5">
      <c r="A1507" s="1"/>
      <c r="B1507"/>
      <c r="C1507"/>
      <c r="D1507"/>
      <c r="E1507"/>
    </row>
    <row r="1508" spans="1:5">
      <c r="A1508" s="1"/>
      <c r="B1508"/>
      <c r="C1508"/>
      <c r="D1508"/>
      <c r="E1508"/>
    </row>
    <row r="1509" spans="1:5">
      <c r="A1509" s="1"/>
      <c r="B1509"/>
      <c r="C1509"/>
      <c r="D1509"/>
      <c r="E1509"/>
    </row>
    <row r="1510" spans="1:5">
      <c r="A1510" s="1"/>
      <c r="B1510"/>
      <c r="C1510"/>
      <c r="D1510"/>
      <c r="E1510"/>
    </row>
    <row r="1511" spans="1:5">
      <c r="A1511" s="1"/>
      <c r="B1511"/>
      <c r="C1511"/>
      <c r="D1511"/>
      <c r="E1511"/>
    </row>
    <row r="1512" spans="1:5">
      <c r="A1512" s="1"/>
      <c r="B1512"/>
      <c r="C1512"/>
      <c r="D1512"/>
      <c r="E1512"/>
    </row>
    <row r="1513" spans="1:5">
      <c r="A1513" s="1"/>
      <c r="B1513"/>
      <c r="C1513"/>
      <c r="D1513"/>
      <c r="E1513"/>
    </row>
    <row r="1514" spans="1:5">
      <c r="A1514" s="1"/>
      <c r="B1514"/>
      <c r="C1514"/>
      <c r="D1514"/>
      <c r="E1514"/>
    </row>
    <row r="1515" spans="1:5">
      <c r="A1515" s="1"/>
      <c r="B1515"/>
      <c r="C1515"/>
      <c r="D1515"/>
      <c r="E1515"/>
    </row>
    <row r="1516" spans="1:5">
      <c r="A1516" s="1"/>
      <c r="B1516"/>
      <c r="C1516"/>
      <c r="D1516"/>
      <c r="E1516"/>
    </row>
    <row r="1517" spans="1:5">
      <c r="A1517" s="1"/>
      <c r="B1517"/>
      <c r="C1517"/>
      <c r="D1517"/>
      <c r="E1517"/>
    </row>
    <row r="1518" spans="1:5">
      <c r="A1518" s="1"/>
      <c r="B1518"/>
      <c r="C1518"/>
      <c r="D1518"/>
      <c r="E1518"/>
    </row>
    <row r="1519" spans="1:5">
      <c r="A1519" s="1"/>
      <c r="B1519"/>
      <c r="C1519"/>
      <c r="D1519"/>
      <c r="E1519"/>
    </row>
    <row r="1520" spans="1:5">
      <c r="A1520" s="1"/>
      <c r="B1520"/>
      <c r="C1520"/>
      <c r="D1520"/>
      <c r="E1520"/>
    </row>
    <row r="1521" spans="1:5">
      <c r="A1521" s="1"/>
      <c r="B1521"/>
      <c r="C1521"/>
      <c r="D1521"/>
      <c r="E1521"/>
    </row>
    <row r="1522" spans="1:5">
      <c r="A1522" s="1"/>
      <c r="B1522"/>
      <c r="C1522"/>
      <c r="D1522"/>
      <c r="E1522"/>
    </row>
    <row r="1523" spans="1:5">
      <c r="A1523" s="1"/>
      <c r="B1523"/>
      <c r="C1523"/>
      <c r="D1523"/>
      <c r="E1523"/>
    </row>
    <row r="1524" spans="1:5">
      <c r="A1524" s="1"/>
      <c r="B1524"/>
      <c r="C1524"/>
      <c r="D1524"/>
      <c r="E1524"/>
    </row>
    <row r="1525" spans="1:5">
      <c r="A1525" s="1"/>
      <c r="B1525"/>
      <c r="C1525"/>
      <c r="D1525"/>
      <c r="E1525"/>
    </row>
    <row r="1526" spans="1:5">
      <c r="A1526" s="1"/>
      <c r="B1526"/>
      <c r="C1526"/>
      <c r="D1526"/>
      <c r="E1526"/>
    </row>
    <row r="1527" spans="1:5">
      <c r="A1527" s="1"/>
      <c r="B1527"/>
      <c r="C1527"/>
      <c r="D1527"/>
      <c r="E1527"/>
    </row>
    <row r="1528" spans="1:5">
      <c r="A1528" s="1"/>
      <c r="B1528"/>
      <c r="C1528"/>
      <c r="D1528"/>
      <c r="E1528"/>
    </row>
    <row r="1529" spans="1:5">
      <c r="A1529" s="1"/>
      <c r="B1529"/>
      <c r="C1529"/>
      <c r="D1529"/>
      <c r="E1529"/>
    </row>
    <row r="1530" spans="1:5">
      <c r="A1530" s="1"/>
      <c r="B1530"/>
      <c r="C1530"/>
      <c r="D1530"/>
      <c r="E1530"/>
    </row>
    <row r="1531" spans="1:5">
      <c r="A1531" s="1"/>
      <c r="B1531"/>
      <c r="C1531"/>
      <c r="D1531"/>
      <c r="E1531"/>
    </row>
    <row r="1532" spans="1:5">
      <c r="A1532" s="1"/>
      <c r="B1532"/>
      <c r="C1532"/>
      <c r="D1532"/>
      <c r="E1532"/>
    </row>
    <row r="1533" spans="1:5">
      <c r="A1533" s="1"/>
      <c r="B1533"/>
      <c r="C1533"/>
      <c r="D1533"/>
      <c r="E1533"/>
    </row>
    <row r="1534" spans="1:5">
      <c r="A1534" s="1"/>
      <c r="B1534"/>
      <c r="C1534"/>
      <c r="D1534"/>
      <c r="E1534"/>
    </row>
    <row r="1535" spans="1:5">
      <c r="A1535" s="1"/>
      <c r="B1535"/>
      <c r="C1535"/>
      <c r="D1535"/>
      <c r="E1535"/>
    </row>
    <row r="1536" spans="1:5">
      <c r="A1536" s="1"/>
      <c r="B1536"/>
      <c r="C1536"/>
      <c r="D1536"/>
      <c r="E1536"/>
    </row>
    <row r="1537" spans="1:5">
      <c r="A1537" s="1"/>
      <c r="B1537"/>
      <c r="C1537"/>
      <c r="D1537"/>
      <c r="E1537"/>
    </row>
    <row r="1538" spans="1:5">
      <c r="A1538" s="1"/>
      <c r="B1538"/>
      <c r="C1538"/>
      <c r="D1538"/>
      <c r="E1538"/>
    </row>
    <row r="1539" spans="1:5">
      <c r="A1539" s="1"/>
      <c r="B1539"/>
      <c r="C1539"/>
      <c r="D1539"/>
      <c r="E1539"/>
    </row>
    <row r="1540" spans="1:5">
      <c r="A1540" s="1"/>
      <c r="B1540"/>
      <c r="C1540"/>
      <c r="D1540"/>
      <c r="E1540"/>
    </row>
    <row r="1541" spans="1:5">
      <c r="A1541" s="1"/>
      <c r="B1541"/>
      <c r="C1541"/>
      <c r="D1541"/>
      <c r="E1541"/>
    </row>
    <row r="1542" spans="1:5">
      <c r="A1542" s="1"/>
      <c r="B1542"/>
      <c r="C1542"/>
      <c r="D1542"/>
      <c r="E1542"/>
    </row>
    <row r="1543" spans="1:5">
      <c r="A1543" s="1"/>
      <c r="B1543"/>
      <c r="C1543"/>
      <c r="D1543"/>
      <c r="E1543"/>
    </row>
    <row r="1544" spans="1:5">
      <c r="A1544" s="1"/>
      <c r="B1544"/>
      <c r="C1544"/>
      <c r="D1544"/>
      <c r="E1544"/>
    </row>
    <row r="1545" spans="1:5">
      <c r="A1545" s="1"/>
      <c r="B1545"/>
      <c r="C1545"/>
      <c r="D1545"/>
      <c r="E1545"/>
    </row>
    <row r="1546" spans="1:5">
      <c r="A1546" s="1"/>
      <c r="B1546"/>
      <c r="C1546"/>
      <c r="D1546"/>
      <c r="E1546"/>
    </row>
    <row r="1547" spans="1:5">
      <c r="A1547" s="1"/>
      <c r="B1547"/>
      <c r="C1547"/>
      <c r="D1547"/>
      <c r="E1547"/>
    </row>
    <row r="1548" spans="1:5">
      <c r="A1548" s="1"/>
      <c r="B1548"/>
      <c r="C1548"/>
      <c r="D1548"/>
      <c r="E1548"/>
    </row>
    <row r="1549" spans="1:5">
      <c r="A1549" s="1"/>
      <c r="B1549"/>
      <c r="C1549"/>
      <c r="D1549"/>
      <c r="E1549"/>
    </row>
    <row r="1550" spans="1:5">
      <c r="A1550" s="1"/>
      <c r="B1550"/>
      <c r="C1550"/>
      <c r="D1550"/>
      <c r="E1550"/>
    </row>
    <row r="1551" spans="1:5">
      <c r="A1551" s="1"/>
      <c r="B1551"/>
      <c r="C1551"/>
      <c r="D1551"/>
      <c r="E1551"/>
    </row>
    <row r="1552" spans="1:5">
      <c r="A1552" s="1"/>
      <c r="B1552"/>
      <c r="C1552"/>
      <c r="D1552"/>
      <c r="E1552"/>
    </row>
    <row r="1553" spans="1:5">
      <c r="A1553" s="1"/>
      <c r="B1553"/>
      <c r="C1553"/>
      <c r="D1553"/>
      <c r="E1553"/>
    </row>
    <row r="1554" spans="1:5">
      <c r="A1554" s="1"/>
      <c r="B1554"/>
      <c r="C1554"/>
      <c r="D1554"/>
      <c r="E1554"/>
    </row>
    <row r="1555" spans="1:5">
      <c r="A1555" s="1"/>
      <c r="B1555"/>
      <c r="C1555"/>
      <c r="D1555"/>
      <c r="E1555"/>
    </row>
    <row r="1556" spans="1:5">
      <c r="A1556" s="1"/>
      <c r="B1556"/>
      <c r="C1556"/>
      <c r="D1556"/>
      <c r="E1556"/>
    </row>
    <row r="1557" spans="1:5">
      <c r="A1557" s="1"/>
      <c r="B1557"/>
      <c r="C1557"/>
      <c r="D1557"/>
      <c r="E1557"/>
    </row>
    <row r="1558" spans="1:5">
      <c r="A1558" s="1"/>
      <c r="B1558"/>
      <c r="C1558"/>
      <c r="D1558"/>
      <c r="E1558"/>
    </row>
    <row r="1559" spans="1:5">
      <c r="A1559" s="1"/>
      <c r="B1559"/>
      <c r="C1559"/>
      <c r="D1559"/>
      <c r="E1559"/>
    </row>
    <row r="1560" spans="1:5">
      <c r="A1560" s="1"/>
      <c r="B1560"/>
      <c r="C1560"/>
      <c r="D1560"/>
      <c r="E1560"/>
    </row>
    <row r="1561" spans="1:5">
      <c r="A1561" s="1"/>
      <c r="B1561"/>
      <c r="C1561"/>
      <c r="D1561"/>
      <c r="E1561"/>
    </row>
    <row r="1562" spans="1:5">
      <c r="A1562" s="1"/>
      <c r="B1562"/>
      <c r="C1562"/>
      <c r="D1562"/>
      <c r="E1562"/>
    </row>
    <row r="1563" spans="1:5">
      <c r="A1563" s="1"/>
      <c r="B1563"/>
      <c r="C1563"/>
      <c r="D1563"/>
      <c r="E1563"/>
    </row>
    <row r="1564" spans="1:5">
      <c r="A1564" s="1"/>
      <c r="B1564"/>
      <c r="C1564"/>
      <c r="D1564"/>
      <c r="E1564"/>
    </row>
    <row r="1565" spans="1:5">
      <c r="A1565" s="1"/>
      <c r="B1565"/>
      <c r="C1565"/>
      <c r="D1565"/>
      <c r="E1565"/>
    </row>
    <row r="1566" spans="1:5">
      <c r="A1566" s="1"/>
      <c r="B1566"/>
      <c r="C1566"/>
      <c r="D1566"/>
      <c r="E1566"/>
    </row>
    <row r="1567" spans="1:5">
      <c r="A1567" s="1"/>
      <c r="B1567"/>
      <c r="C1567"/>
      <c r="D1567"/>
      <c r="E1567"/>
    </row>
    <row r="1568" spans="1:5">
      <c r="A1568" s="1"/>
      <c r="B1568"/>
      <c r="C1568"/>
      <c r="D1568"/>
      <c r="E1568"/>
    </row>
    <row r="1569" spans="1:5">
      <c r="A1569" s="1"/>
      <c r="B1569"/>
      <c r="C1569"/>
      <c r="D1569"/>
      <c r="E1569"/>
    </row>
    <row r="1570" spans="1:5">
      <c r="A1570" s="1"/>
      <c r="B1570"/>
      <c r="C1570"/>
      <c r="D1570"/>
      <c r="E1570"/>
    </row>
    <row r="1571" spans="1:5">
      <c r="A1571" s="1"/>
      <c r="B1571"/>
      <c r="C1571"/>
      <c r="D1571"/>
      <c r="E1571"/>
    </row>
    <row r="1572" spans="1:5">
      <c r="A1572" s="1"/>
      <c r="B1572"/>
      <c r="C1572"/>
      <c r="D1572"/>
      <c r="E1572"/>
    </row>
    <row r="1573" spans="1:5">
      <c r="A1573" s="1"/>
      <c r="B1573"/>
      <c r="C1573"/>
      <c r="D1573"/>
      <c r="E1573"/>
    </row>
    <row r="1574" spans="1:5">
      <c r="A1574" s="1"/>
      <c r="B1574"/>
      <c r="C1574"/>
      <c r="D1574"/>
      <c r="E1574"/>
    </row>
    <row r="1575" spans="1:5">
      <c r="A1575" s="1"/>
      <c r="B1575"/>
      <c r="C1575"/>
      <c r="D1575"/>
      <c r="E1575"/>
    </row>
    <row r="1576" spans="1:5">
      <c r="A1576" s="1"/>
      <c r="B1576"/>
      <c r="C1576"/>
      <c r="D1576"/>
      <c r="E1576"/>
    </row>
    <row r="1577" spans="1:5">
      <c r="A1577" s="1"/>
      <c r="B1577"/>
      <c r="C1577"/>
      <c r="D1577"/>
      <c r="E1577"/>
    </row>
    <row r="1578" spans="1:5">
      <c r="A1578" s="1"/>
      <c r="B1578"/>
      <c r="C1578"/>
      <c r="D1578"/>
      <c r="E1578"/>
    </row>
    <row r="1579" spans="1:5">
      <c r="A1579" s="1"/>
      <c r="B1579"/>
      <c r="C1579"/>
      <c r="D1579"/>
      <c r="E1579"/>
    </row>
    <row r="1580" spans="1:5">
      <c r="A1580" s="1"/>
      <c r="B1580"/>
      <c r="C1580"/>
      <c r="D1580"/>
      <c r="E1580"/>
    </row>
    <row r="1581" spans="1:5">
      <c r="A1581" s="1"/>
      <c r="B1581"/>
      <c r="C1581"/>
      <c r="D1581"/>
      <c r="E1581"/>
    </row>
    <row r="1582" spans="1:5">
      <c r="A1582" s="1"/>
      <c r="B1582"/>
      <c r="C1582"/>
      <c r="D1582"/>
      <c r="E1582"/>
    </row>
    <row r="1583" spans="1:5">
      <c r="A1583" s="1"/>
      <c r="B1583"/>
      <c r="C1583"/>
      <c r="D1583"/>
      <c r="E1583"/>
    </row>
    <row r="1584" spans="1:5">
      <c r="A1584" s="1"/>
      <c r="B1584"/>
      <c r="C1584"/>
      <c r="D1584"/>
      <c r="E1584"/>
    </row>
    <row r="1585" spans="1:5">
      <c r="A1585" s="1"/>
      <c r="B1585"/>
      <c r="C1585"/>
      <c r="D1585"/>
      <c r="E1585"/>
    </row>
    <row r="1586" spans="1:5">
      <c r="A1586" s="1"/>
      <c r="B1586"/>
      <c r="C1586"/>
      <c r="D1586"/>
      <c r="E1586"/>
    </row>
    <row r="1587" spans="1:5">
      <c r="A1587" s="1"/>
      <c r="B1587"/>
      <c r="C1587"/>
      <c r="D1587"/>
      <c r="E1587"/>
    </row>
    <row r="1588" spans="1:5">
      <c r="A1588" s="1"/>
      <c r="B1588"/>
      <c r="C1588"/>
      <c r="D1588"/>
      <c r="E1588"/>
    </row>
    <row r="1589" spans="1:5">
      <c r="A1589" s="1"/>
      <c r="B1589"/>
      <c r="C1589"/>
      <c r="D1589"/>
      <c r="E1589"/>
    </row>
    <row r="1590" spans="1:5">
      <c r="A1590" s="1"/>
      <c r="B1590"/>
      <c r="C1590"/>
      <c r="D1590"/>
      <c r="E1590"/>
    </row>
    <row r="1591" spans="1:5">
      <c r="A1591" s="1"/>
      <c r="B1591"/>
      <c r="C1591"/>
      <c r="D1591"/>
      <c r="E1591"/>
    </row>
    <row r="1592" spans="1:5">
      <c r="A1592" s="1"/>
      <c r="B1592"/>
      <c r="C1592"/>
      <c r="D1592"/>
      <c r="E1592"/>
    </row>
    <row r="1593" spans="1:5">
      <c r="A1593" s="1"/>
      <c r="B1593"/>
      <c r="C1593"/>
      <c r="D1593"/>
      <c r="E1593"/>
    </row>
    <row r="1594" spans="1:5">
      <c r="A1594" s="1"/>
      <c r="B1594"/>
      <c r="C1594"/>
      <c r="D1594"/>
      <c r="E1594"/>
    </row>
    <row r="1595" spans="1:5">
      <c r="A1595" s="1"/>
      <c r="B1595"/>
      <c r="C1595"/>
      <c r="D1595"/>
      <c r="E1595"/>
    </row>
    <row r="1596" spans="1:5">
      <c r="A1596" s="1"/>
      <c r="B1596"/>
      <c r="C1596"/>
      <c r="D1596"/>
      <c r="E1596"/>
    </row>
    <row r="1597" spans="1:5">
      <c r="A1597" s="1"/>
      <c r="B1597"/>
      <c r="C1597"/>
      <c r="D1597"/>
      <c r="E1597"/>
    </row>
    <row r="1598" spans="1:5">
      <c r="A1598" s="1"/>
      <c r="B1598"/>
      <c r="C1598"/>
      <c r="D1598"/>
      <c r="E1598"/>
    </row>
    <row r="1599" spans="1:5">
      <c r="A1599" s="1"/>
      <c r="B1599"/>
      <c r="C1599"/>
      <c r="D1599"/>
      <c r="E1599"/>
    </row>
    <row r="1600" spans="1:5">
      <c r="A1600" s="1"/>
      <c r="B1600"/>
      <c r="C1600"/>
      <c r="D1600"/>
      <c r="E1600"/>
    </row>
    <row r="1601" spans="1:5">
      <c r="A1601" s="1"/>
      <c r="B1601"/>
      <c r="C1601"/>
      <c r="D1601"/>
      <c r="E1601"/>
    </row>
    <row r="1602" spans="1:5">
      <c r="A1602" s="1"/>
      <c r="B1602"/>
      <c r="C1602"/>
      <c r="D1602"/>
      <c r="E1602"/>
    </row>
    <row r="1603" spans="1:5">
      <c r="A1603" s="1"/>
      <c r="B1603"/>
      <c r="C1603"/>
      <c r="D1603"/>
      <c r="E1603"/>
    </row>
    <row r="1604" spans="1:5">
      <c r="A1604" s="1"/>
      <c r="B1604"/>
      <c r="C1604"/>
      <c r="D1604"/>
      <c r="E1604"/>
    </row>
    <row r="1605" spans="1:5">
      <c r="A1605" s="1"/>
      <c r="B1605"/>
      <c r="C1605"/>
      <c r="D1605"/>
      <c r="E1605"/>
    </row>
    <row r="1606" spans="1:5">
      <c r="A1606" s="1"/>
      <c r="B1606"/>
      <c r="C1606"/>
      <c r="D1606"/>
      <c r="E1606"/>
    </row>
    <row r="1607" spans="1:5">
      <c r="A1607" s="1"/>
      <c r="B1607"/>
      <c r="C1607"/>
      <c r="D1607"/>
      <c r="E1607"/>
    </row>
    <row r="1608" spans="1:5">
      <c r="A1608" s="1"/>
      <c r="B1608"/>
      <c r="C1608"/>
      <c r="D1608"/>
      <c r="E1608"/>
    </row>
    <row r="1609" spans="1:5">
      <c r="A1609" s="1"/>
      <c r="B1609"/>
      <c r="C1609"/>
      <c r="D1609"/>
      <c r="E1609"/>
    </row>
    <row r="1610" spans="1:5">
      <c r="A1610" s="1"/>
      <c r="B1610"/>
      <c r="C1610"/>
      <c r="D1610"/>
      <c r="E1610"/>
    </row>
    <row r="1611" spans="1:5">
      <c r="A1611" s="1"/>
      <c r="B1611"/>
      <c r="C1611"/>
      <c r="D1611"/>
      <c r="E1611"/>
    </row>
    <row r="1612" spans="1:5">
      <c r="A1612" s="1"/>
      <c r="B1612"/>
      <c r="C1612"/>
      <c r="D1612"/>
      <c r="E1612"/>
    </row>
    <row r="1613" spans="1:5">
      <c r="A1613" s="1"/>
      <c r="B1613"/>
      <c r="C1613"/>
      <c r="D1613"/>
      <c r="E1613"/>
    </row>
    <row r="1614" spans="1:5">
      <c r="A1614" s="1"/>
      <c r="B1614"/>
      <c r="C1614"/>
      <c r="D1614"/>
      <c r="E1614"/>
    </row>
    <row r="1615" spans="1:5">
      <c r="A1615" s="1"/>
      <c r="B1615"/>
      <c r="C1615"/>
      <c r="D1615"/>
      <c r="E1615"/>
    </row>
    <row r="1616" spans="1:5">
      <c r="A1616" s="1"/>
      <c r="B1616"/>
      <c r="C1616"/>
      <c r="D1616"/>
      <c r="E1616"/>
    </row>
    <row r="1617" spans="1:5">
      <c r="A1617" s="1"/>
      <c r="B1617"/>
      <c r="C1617"/>
      <c r="D1617"/>
      <c r="E1617"/>
    </row>
    <row r="1618" spans="1:5">
      <c r="A1618" s="1"/>
      <c r="B1618"/>
      <c r="C1618"/>
      <c r="D1618"/>
      <c r="E1618"/>
    </row>
    <row r="1619" spans="1:5">
      <c r="A1619" s="1"/>
      <c r="B1619"/>
      <c r="C1619"/>
      <c r="D1619"/>
      <c r="E1619"/>
    </row>
    <row r="1620" spans="1:5">
      <c r="A1620" s="1"/>
      <c r="B1620"/>
      <c r="C1620"/>
      <c r="D1620"/>
      <c r="E1620"/>
    </row>
    <row r="1621" spans="1:5">
      <c r="A1621" s="1"/>
      <c r="B1621"/>
      <c r="C1621"/>
      <c r="D1621"/>
      <c r="E1621"/>
    </row>
    <row r="1622" spans="1:5">
      <c r="A1622" s="1"/>
      <c r="B1622"/>
      <c r="C1622"/>
      <c r="D1622"/>
      <c r="E1622"/>
    </row>
    <row r="1623" spans="1:5">
      <c r="A1623" s="1"/>
      <c r="B1623"/>
      <c r="C1623"/>
      <c r="D1623"/>
      <c r="E1623"/>
    </row>
    <row r="1624" spans="1:5">
      <c r="A1624" s="1"/>
      <c r="B1624"/>
      <c r="C1624"/>
      <c r="D1624"/>
      <c r="E1624"/>
    </row>
    <row r="1625" spans="1:5">
      <c r="A1625" s="1"/>
      <c r="B1625"/>
      <c r="C1625"/>
      <c r="D1625"/>
      <c r="E1625"/>
    </row>
    <row r="1626" spans="1:5">
      <c r="A1626" s="1"/>
      <c r="B1626"/>
      <c r="C1626"/>
      <c r="D1626"/>
      <c r="E1626"/>
    </row>
    <row r="1627" spans="1:5">
      <c r="A1627" s="1"/>
      <c r="B1627"/>
      <c r="C1627"/>
      <c r="D1627"/>
      <c r="E1627"/>
    </row>
    <row r="1628" spans="1:5">
      <c r="A1628" s="1"/>
      <c r="B1628"/>
      <c r="C1628"/>
      <c r="D1628"/>
      <c r="E1628"/>
    </row>
    <row r="1629" spans="1:5">
      <c r="A1629" s="1"/>
      <c r="B1629"/>
      <c r="C1629"/>
      <c r="D1629"/>
      <c r="E1629"/>
    </row>
    <row r="1630" spans="1:5">
      <c r="A1630" s="1"/>
      <c r="B1630"/>
      <c r="C1630"/>
      <c r="D1630"/>
      <c r="E1630"/>
    </row>
    <row r="1631" spans="1:5">
      <c r="A1631" s="1"/>
      <c r="B1631"/>
      <c r="C1631"/>
      <c r="D1631"/>
      <c r="E1631"/>
    </row>
    <row r="1632" spans="1:5">
      <c r="A1632" s="1"/>
      <c r="B1632"/>
      <c r="C1632"/>
      <c r="D1632"/>
      <c r="E1632"/>
    </row>
    <row r="1633" spans="1:5">
      <c r="A1633" s="1"/>
      <c r="B1633"/>
      <c r="C1633"/>
      <c r="D1633"/>
      <c r="E1633"/>
    </row>
    <row r="1634" spans="1:5">
      <c r="A1634" s="1"/>
      <c r="B1634"/>
      <c r="C1634"/>
      <c r="D1634"/>
      <c r="E1634"/>
    </row>
    <row r="1635" spans="1:5">
      <c r="A1635" s="1"/>
      <c r="B1635"/>
      <c r="C1635"/>
      <c r="D1635"/>
      <c r="E1635"/>
    </row>
    <row r="1636" spans="1:5">
      <c r="A1636" s="1"/>
      <c r="B1636"/>
      <c r="C1636"/>
      <c r="D1636"/>
      <c r="E1636"/>
    </row>
    <row r="1637" spans="1:5">
      <c r="A1637" s="1"/>
      <c r="B1637"/>
      <c r="C1637"/>
      <c r="D1637"/>
      <c r="E1637"/>
    </row>
    <row r="1638" spans="1:5">
      <c r="A1638" s="1"/>
      <c r="B1638"/>
      <c r="C1638"/>
      <c r="D1638"/>
      <c r="E1638"/>
    </row>
    <row r="1639" spans="1:5">
      <c r="A1639" s="1"/>
      <c r="B1639"/>
      <c r="C1639"/>
      <c r="D1639"/>
      <c r="E1639"/>
    </row>
    <row r="1640" spans="1:5">
      <c r="A1640" s="1"/>
      <c r="B1640"/>
      <c r="C1640"/>
      <c r="D1640"/>
      <c r="E1640"/>
    </row>
    <row r="1641" spans="1:5">
      <c r="A1641" s="1"/>
      <c r="B1641"/>
      <c r="C1641"/>
      <c r="D1641"/>
      <c r="E1641"/>
    </row>
    <row r="1642" spans="1:5">
      <c r="A1642" s="1"/>
      <c r="B1642"/>
      <c r="C1642"/>
      <c r="D1642"/>
      <c r="E1642"/>
    </row>
    <row r="1643" spans="1:5">
      <c r="A1643" s="1"/>
      <c r="B1643"/>
      <c r="C1643"/>
      <c r="D1643"/>
      <c r="E1643"/>
    </row>
    <row r="1644" spans="1:5">
      <c r="A1644" s="1"/>
      <c r="B1644"/>
      <c r="C1644"/>
      <c r="D1644"/>
      <c r="E1644"/>
    </row>
    <row r="1645" spans="1:5">
      <c r="A1645" s="1"/>
      <c r="B1645"/>
      <c r="C1645"/>
      <c r="D1645"/>
      <c r="E1645"/>
    </row>
    <row r="1646" spans="1:5">
      <c r="A1646" s="1"/>
      <c r="B1646"/>
      <c r="C1646"/>
      <c r="D1646"/>
      <c r="E1646"/>
    </row>
    <row r="1647" spans="1:5">
      <c r="A1647" s="1"/>
      <c r="B1647"/>
      <c r="C1647"/>
      <c r="D1647"/>
      <c r="E1647"/>
    </row>
    <row r="1648" spans="1:5">
      <c r="A1648" s="1"/>
      <c r="B1648"/>
      <c r="C1648"/>
      <c r="D1648"/>
      <c r="E1648"/>
    </row>
    <row r="1649" spans="1:5">
      <c r="A1649" s="1"/>
      <c r="B1649"/>
      <c r="C1649"/>
      <c r="D1649"/>
      <c r="E1649"/>
    </row>
    <row r="1650" spans="1:5">
      <c r="A1650" s="1"/>
      <c r="B1650"/>
      <c r="C1650"/>
      <c r="D1650"/>
      <c r="E1650"/>
    </row>
    <row r="1651" spans="1:5">
      <c r="A1651" s="1"/>
      <c r="B1651"/>
      <c r="C1651"/>
      <c r="D1651"/>
      <c r="E1651"/>
    </row>
    <row r="1652" spans="1:5">
      <c r="A1652" s="1"/>
      <c r="B1652"/>
      <c r="C1652"/>
      <c r="D1652"/>
      <c r="E1652"/>
    </row>
    <row r="1653" spans="1:5">
      <c r="A1653" s="1"/>
      <c r="B1653"/>
      <c r="C1653"/>
      <c r="D1653"/>
      <c r="E1653"/>
    </row>
    <row r="1654" spans="1:5">
      <c r="A1654" s="1"/>
      <c r="B1654"/>
      <c r="C1654"/>
      <c r="D1654"/>
      <c r="E1654"/>
    </row>
    <row r="1655" spans="1:5">
      <c r="A1655" s="1"/>
      <c r="B1655"/>
      <c r="C1655"/>
      <c r="D1655"/>
      <c r="E1655"/>
    </row>
    <row r="1656" spans="1:5">
      <c r="A1656" s="1"/>
      <c r="B1656"/>
      <c r="C1656"/>
      <c r="D1656"/>
      <c r="E1656"/>
    </row>
    <row r="1657" spans="1:5">
      <c r="A1657" s="1"/>
      <c r="B1657"/>
      <c r="C1657"/>
      <c r="D1657"/>
      <c r="E1657"/>
    </row>
    <row r="1658" spans="1:5">
      <c r="A1658" s="1"/>
      <c r="B1658"/>
      <c r="C1658"/>
      <c r="D1658"/>
      <c r="E1658"/>
    </row>
    <row r="1659" spans="1:5">
      <c r="A1659" s="1"/>
      <c r="B1659"/>
      <c r="C1659"/>
      <c r="D1659"/>
      <c r="E1659"/>
    </row>
    <row r="1660" spans="1:5">
      <c r="A1660" s="1"/>
      <c r="B1660"/>
      <c r="C1660"/>
      <c r="D1660"/>
      <c r="E1660"/>
    </row>
    <row r="1661" spans="1:5">
      <c r="A1661" s="1"/>
      <c r="B1661"/>
      <c r="C1661"/>
      <c r="D1661"/>
      <c r="E1661"/>
    </row>
    <row r="1662" spans="1:5">
      <c r="A1662" s="1"/>
      <c r="B1662"/>
      <c r="C1662"/>
      <c r="D1662"/>
      <c r="E1662"/>
    </row>
    <row r="1663" spans="1:5">
      <c r="A1663" s="1"/>
      <c r="B1663"/>
      <c r="C1663"/>
      <c r="D1663"/>
      <c r="E1663"/>
    </row>
    <row r="1664" spans="1:5">
      <c r="A1664" s="1"/>
      <c r="B1664"/>
      <c r="C1664"/>
      <c r="D1664"/>
      <c r="E1664"/>
    </row>
    <row r="1665" spans="1:5">
      <c r="A1665" s="1"/>
      <c r="B1665"/>
      <c r="C1665"/>
      <c r="D1665"/>
      <c r="E1665"/>
    </row>
    <row r="1666" spans="1:5">
      <c r="A1666" s="1"/>
      <c r="B1666"/>
      <c r="C1666"/>
      <c r="D1666"/>
      <c r="E1666"/>
    </row>
    <row r="1667" spans="1:5">
      <c r="A1667" s="1"/>
      <c r="B1667"/>
      <c r="C1667"/>
      <c r="D1667"/>
      <c r="E1667"/>
    </row>
    <row r="1668" spans="1:5">
      <c r="A1668" s="1"/>
      <c r="B1668"/>
      <c r="C1668"/>
      <c r="D1668"/>
      <c r="E1668"/>
    </row>
    <row r="1669" spans="1:5">
      <c r="A1669" s="1"/>
      <c r="B1669"/>
      <c r="C1669"/>
      <c r="D1669"/>
      <c r="E1669"/>
    </row>
    <row r="1670" spans="1:5">
      <c r="A1670" s="1"/>
      <c r="B1670"/>
      <c r="C1670"/>
      <c r="D1670"/>
      <c r="E1670"/>
    </row>
    <row r="1671" spans="1:5">
      <c r="A1671" s="1"/>
      <c r="B1671"/>
      <c r="C1671"/>
      <c r="D1671"/>
      <c r="E1671"/>
    </row>
    <row r="1672" spans="1:5">
      <c r="A1672" s="1"/>
      <c r="B1672"/>
      <c r="C1672"/>
      <c r="D1672"/>
      <c r="E1672"/>
    </row>
    <row r="1673" spans="1:5">
      <c r="A1673" s="1"/>
      <c r="B1673"/>
      <c r="C1673"/>
      <c r="D1673"/>
      <c r="E1673"/>
    </row>
    <row r="1674" spans="1:5">
      <c r="A1674" s="1"/>
      <c r="B1674"/>
      <c r="C1674"/>
      <c r="D1674"/>
      <c r="E1674"/>
    </row>
    <row r="1675" spans="1:5">
      <c r="A1675" s="1"/>
      <c r="B1675"/>
      <c r="C1675"/>
      <c r="D1675"/>
      <c r="E1675"/>
    </row>
    <row r="1676" spans="1:5">
      <c r="A1676" s="1"/>
      <c r="B1676"/>
      <c r="C1676"/>
      <c r="D1676"/>
      <c r="E1676"/>
    </row>
    <row r="1677" spans="1:5">
      <c r="A1677" s="1"/>
      <c r="B1677"/>
      <c r="C1677"/>
      <c r="D1677"/>
      <c r="E1677"/>
    </row>
    <row r="1678" spans="1:5">
      <c r="A1678" s="1"/>
      <c r="B1678"/>
      <c r="C1678"/>
      <c r="D1678"/>
      <c r="E1678"/>
    </row>
    <row r="1679" spans="1:5">
      <c r="A1679" s="1"/>
      <c r="B1679"/>
      <c r="C1679"/>
      <c r="D1679"/>
      <c r="E1679"/>
    </row>
    <row r="1680" spans="1:5">
      <c r="A1680" s="1"/>
      <c r="B1680"/>
      <c r="C1680"/>
      <c r="D1680"/>
      <c r="E1680"/>
    </row>
    <row r="1681" spans="1:5">
      <c r="A1681" s="1"/>
      <c r="B1681"/>
      <c r="C1681"/>
      <c r="D1681"/>
      <c r="E1681"/>
    </row>
    <row r="1682" spans="1:5">
      <c r="A1682" s="1"/>
      <c r="B1682"/>
      <c r="C1682"/>
      <c r="D1682"/>
      <c r="E1682"/>
    </row>
    <row r="1683" spans="1:5">
      <c r="A1683" s="1"/>
      <c r="B1683"/>
      <c r="C1683"/>
      <c r="D1683"/>
      <c r="E1683"/>
    </row>
    <row r="1684" spans="1:5">
      <c r="A1684" s="1"/>
      <c r="B1684"/>
      <c r="C1684"/>
      <c r="D1684"/>
      <c r="E1684"/>
    </row>
    <row r="1685" spans="1:5">
      <c r="A1685" s="1"/>
      <c r="B1685"/>
      <c r="C1685"/>
      <c r="D1685"/>
      <c r="E1685"/>
    </row>
    <row r="1686" spans="1:5">
      <c r="A1686" s="1"/>
      <c r="B1686"/>
      <c r="C1686"/>
      <c r="D1686"/>
      <c r="E1686"/>
    </row>
    <row r="1687" spans="1:5">
      <c r="A1687" s="1"/>
      <c r="B1687"/>
      <c r="C1687"/>
      <c r="D1687"/>
      <c r="E1687"/>
    </row>
    <row r="1688" spans="1:5">
      <c r="A1688" s="1"/>
      <c r="B1688"/>
      <c r="C1688"/>
      <c r="D1688"/>
      <c r="E1688"/>
    </row>
    <row r="1689" spans="1:5">
      <c r="A1689" s="1"/>
      <c r="B1689"/>
      <c r="C1689"/>
      <c r="D1689"/>
      <c r="E1689"/>
    </row>
    <row r="1690" spans="1:5">
      <c r="A1690" s="1"/>
      <c r="B1690"/>
      <c r="C1690"/>
      <c r="D1690"/>
      <c r="E1690"/>
    </row>
    <row r="1691" spans="1:5">
      <c r="A1691" s="1"/>
      <c r="B1691"/>
      <c r="C1691"/>
      <c r="D1691"/>
      <c r="E1691"/>
    </row>
    <row r="1692" spans="1:5">
      <c r="A1692" s="1"/>
      <c r="B1692"/>
      <c r="C1692"/>
      <c r="D1692"/>
      <c r="E1692"/>
    </row>
    <row r="1693" spans="1:5">
      <c r="A1693" s="1"/>
      <c r="B1693"/>
      <c r="C1693"/>
      <c r="D1693"/>
      <c r="E1693"/>
    </row>
    <row r="1694" spans="1:5">
      <c r="A1694" s="1"/>
      <c r="B1694"/>
      <c r="C1694"/>
      <c r="D1694"/>
      <c r="E1694"/>
    </row>
    <row r="1695" spans="1:5">
      <c r="A1695" s="1"/>
      <c r="B1695"/>
      <c r="C1695"/>
      <c r="D1695"/>
      <c r="E1695"/>
    </row>
    <row r="1696" spans="1:5">
      <c r="A1696" s="1"/>
      <c r="B1696"/>
      <c r="C1696"/>
      <c r="D1696"/>
      <c r="E1696"/>
    </row>
    <row r="1697" spans="1:5">
      <c r="A1697" s="1"/>
      <c r="B1697"/>
      <c r="C1697"/>
      <c r="D1697"/>
      <c r="E1697"/>
    </row>
    <row r="1698" spans="1:5">
      <c r="A1698" s="1"/>
      <c r="B1698"/>
      <c r="C1698"/>
      <c r="D1698"/>
      <c r="E1698"/>
    </row>
    <row r="1699" spans="1:5">
      <c r="A1699" s="1"/>
      <c r="B1699"/>
      <c r="C1699"/>
      <c r="D1699"/>
      <c r="E1699"/>
    </row>
    <row r="1700" spans="1:5">
      <c r="A1700" s="1"/>
      <c r="B1700"/>
      <c r="C1700"/>
      <c r="D1700"/>
      <c r="E1700"/>
    </row>
    <row r="1701" spans="1:5">
      <c r="A1701" s="1"/>
      <c r="B1701"/>
      <c r="C1701"/>
      <c r="D1701"/>
      <c r="E1701"/>
    </row>
    <row r="1702" spans="1:5">
      <c r="A1702" s="1"/>
      <c r="B1702"/>
      <c r="C1702"/>
      <c r="D1702"/>
      <c r="E1702"/>
    </row>
    <row r="1703" spans="1:5">
      <c r="A1703" s="1"/>
      <c r="B1703"/>
      <c r="C1703"/>
      <c r="D1703"/>
      <c r="E1703"/>
    </row>
    <row r="1704" spans="1:5">
      <c r="A1704" s="1"/>
      <c r="B1704"/>
      <c r="C1704"/>
      <c r="D1704"/>
      <c r="E1704"/>
    </row>
    <row r="1705" spans="1:5">
      <c r="A1705" s="1"/>
      <c r="B1705"/>
      <c r="C1705"/>
      <c r="D1705"/>
      <c r="E1705"/>
    </row>
    <row r="1706" spans="1:5">
      <c r="A1706" s="1"/>
      <c r="B1706"/>
      <c r="C1706"/>
      <c r="D1706"/>
      <c r="E1706"/>
    </row>
    <row r="1707" spans="1:5">
      <c r="A1707" s="1"/>
      <c r="B1707"/>
      <c r="C1707"/>
      <c r="D1707"/>
      <c r="E1707"/>
    </row>
    <row r="1708" spans="1:5">
      <c r="A1708" s="1"/>
      <c r="B1708"/>
      <c r="C1708"/>
      <c r="D1708"/>
      <c r="E1708"/>
    </row>
    <row r="1709" spans="1:5">
      <c r="A1709" s="1"/>
      <c r="B1709"/>
      <c r="C1709"/>
      <c r="D1709"/>
      <c r="E1709"/>
    </row>
    <row r="1710" spans="1:5">
      <c r="A1710" s="1"/>
      <c r="B1710"/>
      <c r="C1710"/>
      <c r="D1710"/>
      <c r="E1710"/>
    </row>
    <row r="1711" spans="1:5">
      <c r="A1711" s="1"/>
      <c r="B1711"/>
      <c r="C1711"/>
      <c r="D1711"/>
      <c r="E1711"/>
    </row>
    <row r="1712" spans="1:5">
      <c r="A1712" s="1"/>
      <c r="B1712"/>
      <c r="C1712"/>
      <c r="D1712"/>
      <c r="E1712"/>
    </row>
    <row r="1713" spans="1:5">
      <c r="A1713" s="1"/>
      <c r="B1713"/>
      <c r="C1713"/>
      <c r="D1713"/>
      <c r="E1713"/>
    </row>
    <row r="1714" spans="1:5">
      <c r="A1714" s="1"/>
      <c r="B1714"/>
      <c r="C1714"/>
      <c r="D1714"/>
      <c r="E1714"/>
    </row>
    <row r="1715" spans="1:5">
      <c r="A1715" s="1"/>
      <c r="B1715"/>
      <c r="C1715"/>
      <c r="D1715"/>
      <c r="E1715"/>
    </row>
    <row r="1716" spans="1:5">
      <c r="A1716" s="1"/>
      <c r="B1716"/>
      <c r="C1716"/>
      <c r="D1716"/>
      <c r="E1716"/>
    </row>
    <row r="1717" spans="1:5">
      <c r="A1717" s="1"/>
      <c r="B1717"/>
      <c r="C1717"/>
      <c r="D1717"/>
      <c r="E1717"/>
    </row>
    <row r="1718" spans="1:5">
      <c r="A1718" s="1"/>
      <c r="B1718"/>
      <c r="C1718"/>
      <c r="D1718"/>
      <c r="E1718"/>
    </row>
    <row r="1719" spans="1:5">
      <c r="A1719" s="1"/>
      <c r="B1719"/>
      <c r="C1719"/>
      <c r="D1719"/>
      <c r="E1719"/>
    </row>
    <row r="1720" spans="1:5">
      <c r="A1720" s="1"/>
      <c r="B1720"/>
      <c r="C1720"/>
      <c r="D1720"/>
      <c r="E1720"/>
    </row>
    <row r="1721" spans="1:5">
      <c r="A1721" s="1"/>
      <c r="B1721"/>
      <c r="C1721"/>
      <c r="D1721"/>
      <c r="E1721"/>
    </row>
    <row r="1722" spans="1:5">
      <c r="A1722" s="1"/>
      <c r="B1722"/>
      <c r="C1722"/>
      <c r="D1722"/>
      <c r="E1722"/>
    </row>
    <row r="1723" spans="1:5">
      <c r="A1723" s="1"/>
      <c r="B1723"/>
      <c r="C1723"/>
      <c r="D1723"/>
      <c r="E1723"/>
    </row>
    <row r="1724" spans="1:5">
      <c r="A1724" s="1"/>
      <c r="B1724"/>
      <c r="C1724"/>
      <c r="D1724"/>
      <c r="E1724"/>
    </row>
    <row r="1725" spans="1:5">
      <c r="A1725" s="1"/>
      <c r="B1725"/>
      <c r="C1725"/>
      <c r="D1725"/>
      <c r="E1725"/>
    </row>
    <row r="1726" spans="1:5">
      <c r="A1726" s="1"/>
      <c r="B1726"/>
      <c r="C1726"/>
      <c r="D1726"/>
      <c r="E1726"/>
    </row>
    <row r="1727" spans="1:5">
      <c r="A1727" s="1"/>
      <c r="B1727"/>
      <c r="C1727"/>
      <c r="D1727"/>
      <c r="E1727"/>
    </row>
    <row r="1728" spans="1:5">
      <c r="A1728" s="1"/>
      <c r="B1728"/>
      <c r="C1728"/>
      <c r="D1728"/>
      <c r="E1728"/>
    </row>
    <row r="1729" spans="1:5">
      <c r="A1729" s="1"/>
      <c r="B1729"/>
      <c r="C1729"/>
      <c r="D1729"/>
      <c r="E1729"/>
    </row>
    <row r="1730" spans="1:5">
      <c r="A1730" s="1"/>
      <c r="B1730"/>
      <c r="C1730"/>
      <c r="D1730"/>
      <c r="E1730"/>
    </row>
    <row r="1731" spans="1:5">
      <c r="A1731" s="1"/>
      <c r="B1731"/>
      <c r="C1731"/>
      <c r="D1731"/>
      <c r="E1731"/>
    </row>
    <row r="1732" spans="1:5">
      <c r="A1732" s="1"/>
      <c r="B1732"/>
      <c r="C1732"/>
      <c r="D1732"/>
      <c r="E1732"/>
    </row>
    <row r="1733" spans="1:5">
      <c r="A1733" s="1"/>
      <c r="B1733"/>
      <c r="C1733"/>
      <c r="D1733"/>
      <c r="E1733"/>
    </row>
    <row r="1734" spans="1:5">
      <c r="A1734" s="1"/>
      <c r="B1734"/>
      <c r="C1734"/>
      <c r="D1734"/>
      <c r="E1734"/>
    </row>
    <row r="1735" spans="1:5">
      <c r="A1735" s="1"/>
      <c r="B1735"/>
      <c r="C1735"/>
      <c r="D1735"/>
      <c r="E1735"/>
    </row>
    <row r="1736" spans="1:5">
      <c r="A1736" s="1"/>
      <c r="B1736"/>
      <c r="C1736"/>
      <c r="D1736"/>
      <c r="E1736"/>
    </row>
    <row r="1737" spans="1:5">
      <c r="A1737" s="1"/>
      <c r="B1737"/>
      <c r="C1737"/>
      <c r="D1737"/>
      <c r="E1737"/>
    </row>
    <row r="1738" spans="1:5">
      <c r="A1738" s="1"/>
      <c r="B1738"/>
      <c r="C1738"/>
      <c r="D1738"/>
      <c r="E1738"/>
    </row>
    <row r="1739" spans="1:5">
      <c r="A1739" s="1"/>
      <c r="B1739"/>
      <c r="C1739"/>
      <c r="D1739"/>
      <c r="E1739"/>
    </row>
    <row r="1740" spans="1:5">
      <c r="A1740" s="1"/>
      <c r="B1740"/>
      <c r="C1740"/>
      <c r="D1740"/>
      <c r="E1740"/>
    </row>
    <row r="1741" spans="1:5">
      <c r="A1741" s="1"/>
      <c r="B1741"/>
      <c r="C1741"/>
      <c r="D1741"/>
      <c r="E1741"/>
    </row>
    <row r="1742" spans="1:5">
      <c r="A1742" s="1"/>
      <c r="B1742"/>
      <c r="C1742"/>
      <c r="D1742"/>
      <c r="E1742"/>
    </row>
    <row r="1743" spans="1:5">
      <c r="A1743" s="1"/>
      <c r="B1743"/>
      <c r="C1743"/>
      <c r="D1743"/>
      <c r="E1743"/>
    </row>
    <row r="1744" spans="1:5">
      <c r="A1744" s="1"/>
      <c r="B1744"/>
      <c r="C1744"/>
      <c r="D1744"/>
      <c r="E1744"/>
    </row>
    <row r="1745" spans="1:5">
      <c r="A1745" s="1"/>
      <c r="B1745"/>
      <c r="C1745"/>
      <c r="D1745"/>
      <c r="E1745"/>
    </row>
    <row r="1746" spans="1:5">
      <c r="A1746" s="1"/>
      <c r="B1746"/>
      <c r="C1746"/>
      <c r="D1746"/>
      <c r="E1746"/>
    </row>
    <row r="1747" spans="1:5">
      <c r="A1747" s="1"/>
      <c r="B1747"/>
      <c r="C1747"/>
      <c r="D1747"/>
      <c r="E1747"/>
    </row>
    <row r="1748" spans="1:5">
      <c r="A1748" s="1"/>
      <c r="B1748"/>
      <c r="C1748"/>
      <c r="D1748"/>
      <c r="E1748"/>
    </row>
    <row r="1749" spans="1:5">
      <c r="A1749" s="1"/>
      <c r="B1749"/>
      <c r="C1749"/>
      <c r="D1749"/>
      <c r="E1749"/>
    </row>
    <row r="1750" spans="1:5">
      <c r="A1750" s="1"/>
      <c r="B1750"/>
      <c r="C1750"/>
      <c r="D1750"/>
      <c r="E1750"/>
    </row>
    <row r="1751" spans="1:5">
      <c r="A1751" s="1"/>
      <c r="B1751"/>
      <c r="C1751"/>
      <c r="D1751"/>
      <c r="E1751"/>
    </row>
    <row r="1752" spans="1:5">
      <c r="A1752" s="1"/>
      <c r="B1752"/>
      <c r="C1752"/>
      <c r="D1752"/>
      <c r="E1752"/>
    </row>
    <row r="1753" spans="1:5">
      <c r="A1753" s="1"/>
      <c r="B1753"/>
      <c r="C1753"/>
      <c r="D1753"/>
      <c r="E1753"/>
    </row>
    <row r="1754" spans="1:5">
      <c r="A1754" s="1"/>
      <c r="B1754"/>
      <c r="C1754"/>
      <c r="D1754"/>
      <c r="E1754"/>
    </row>
    <row r="1755" spans="1:5">
      <c r="A1755" s="1"/>
      <c r="B1755"/>
      <c r="C1755"/>
      <c r="D1755"/>
      <c r="E1755"/>
    </row>
    <row r="1756" spans="1:5">
      <c r="A1756" s="1"/>
      <c r="B1756"/>
      <c r="C1756"/>
      <c r="D1756"/>
      <c r="E1756"/>
    </row>
    <row r="1757" spans="1:5">
      <c r="A1757" s="1"/>
      <c r="B1757"/>
      <c r="C1757"/>
      <c r="D1757"/>
      <c r="E1757"/>
    </row>
    <row r="1758" spans="1:5">
      <c r="A1758" s="1"/>
      <c r="B1758"/>
      <c r="C1758"/>
      <c r="D1758"/>
      <c r="E1758"/>
    </row>
    <row r="1759" spans="1:5">
      <c r="A1759" s="1"/>
      <c r="B1759"/>
      <c r="C1759"/>
      <c r="D1759"/>
      <c r="E1759"/>
    </row>
    <row r="1760" spans="1:5">
      <c r="A1760" s="1"/>
      <c r="B1760"/>
      <c r="C1760"/>
      <c r="D1760"/>
      <c r="E1760"/>
    </row>
    <row r="1761" spans="1:5">
      <c r="A1761" s="1"/>
      <c r="B1761"/>
      <c r="C1761"/>
      <c r="D1761"/>
      <c r="E1761"/>
    </row>
    <row r="1762" spans="1:5">
      <c r="A1762" s="1"/>
      <c r="B1762"/>
      <c r="C1762"/>
      <c r="D1762"/>
      <c r="E1762"/>
    </row>
    <row r="1763" spans="1:5">
      <c r="A1763" s="1"/>
      <c r="B1763"/>
      <c r="C1763"/>
      <c r="D1763"/>
      <c r="E1763"/>
    </row>
    <row r="1764" spans="1:5">
      <c r="A1764" s="1"/>
      <c r="B1764"/>
      <c r="C1764"/>
      <c r="D1764"/>
      <c r="E1764"/>
    </row>
    <row r="1765" spans="1:5">
      <c r="A1765" s="1"/>
      <c r="B1765"/>
      <c r="C1765"/>
      <c r="D1765"/>
      <c r="E1765"/>
    </row>
    <row r="1766" spans="1:5">
      <c r="A1766" s="1"/>
      <c r="B1766"/>
      <c r="C1766"/>
      <c r="D1766"/>
      <c r="E1766"/>
    </row>
    <row r="1767" spans="1:5">
      <c r="A1767" s="1"/>
      <c r="B1767"/>
      <c r="C1767"/>
      <c r="D1767"/>
      <c r="E1767"/>
    </row>
    <row r="1768" spans="1:5">
      <c r="A1768" s="1"/>
      <c r="B1768"/>
      <c r="C1768"/>
      <c r="D1768"/>
      <c r="E1768"/>
    </row>
    <row r="1769" spans="1:5">
      <c r="A1769" s="1"/>
      <c r="B1769"/>
      <c r="C1769"/>
      <c r="D1769"/>
      <c r="E1769"/>
    </row>
    <row r="1770" spans="1:5">
      <c r="A1770" s="1"/>
      <c r="B1770"/>
      <c r="C1770"/>
      <c r="D1770"/>
      <c r="E1770"/>
    </row>
    <row r="1771" spans="1:5">
      <c r="A1771" s="1"/>
      <c r="B1771"/>
      <c r="C1771"/>
      <c r="D1771"/>
      <c r="E1771"/>
    </row>
    <row r="1772" spans="1:5">
      <c r="A1772" s="1"/>
      <c r="B1772"/>
      <c r="C1772"/>
      <c r="D1772"/>
      <c r="E1772"/>
    </row>
    <row r="1773" spans="1:5">
      <c r="A1773" s="1"/>
      <c r="B1773"/>
      <c r="C1773"/>
      <c r="D1773"/>
      <c r="E1773"/>
    </row>
    <row r="1774" spans="1:5">
      <c r="A1774" s="1"/>
      <c r="B1774"/>
      <c r="C1774"/>
      <c r="D1774"/>
      <c r="E1774"/>
    </row>
    <row r="1775" spans="1:5">
      <c r="A1775" s="1"/>
      <c r="B1775"/>
      <c r="C1775"/>
      <c r="D1775"/>
      <c r="E1775"/>
    </row>
    <row r="1776" spans="1:5">
      <c r="A1776" s="1"/>
      <c r="B1776"/>
      <c r="C1776"/>
      <c r="D1776"/>
      <c r="E1776"/>
    </row>
    <row r="1777" spans="1:5">
      <c r="A1777" s="1"/>
      <c r="B1777"/>
      <c r="C1777"/>
      <c r="D1777"/>
      <c r="E1777"/>
    </row>
    <row r="1778" spans="1:5">
      <c r="A1778" s="1"/>
      <c r="B1778"/>
      <c r="C1778"/>
      <c r="D1778"/>
      <c r="E1778"/>
    </row>
    <row r="1779" spans="1:5">
      <c r="A1779" s="1"/>
      <c r="B1779"/>
      <c r="C1779"/>
      <c r="D1779"/>
      <c r="E1779"/>
    </row>
    <row r="1780" spans="1:5">
      <c r="A1780" s="1"/>
      <c r="B1780"/>
      <c r="C1780"/>
      <c r="D1780"/>
      <c r="E1780"/>
    </row>
    <row r="1781" spans="1:5">
      <c r="A1781" s="1"/>
      <c r="B1781"/>
      <c r="C1781"/>
      <c r="D1781"/>
      <c r="E1781"/>
    </row>
    <row r="1782" spans="1:5">
      <c r="A1782" s="1"/>
      <c r="B1782"/>
      <c r="C1782"/>
      <c r="D1782"/>
      <c r="E1782"/>
    </row>
    <row r="1783" spans="1:5">
      <c r="A1783" s="1"/>
      <c r="B1783"/>
      <c r="C1783"/>
      <c r="D1783"/>
      <c r="E1783"/>
    </row>
    <row r="1784" spans="1:5">
      <c r="A1784" s="1"/>
      <c r="B1784"/>
      <c r="C1784"/>
      <c r="D1784"/>
      <c r="E1784"/>
    </row>
    <row r="1785" spans="1:5">
      <c r="A1785" s="1"/>
      <c r="B1785"/>
      <c r="C1785"/>
      <c r="D1785"/>
      <c r="E1785"/>
    </row>
    <row r="1786" spans="1:5">
      <c r="A1786" s="1"/>
      <c r="B1786"/>
      <c r="C1786"/>
      <c r="D1786"/>
      <c r="E1786"/>
    </row>
    <row r="1787" spans="1:5">
      <c r="A1787" s="1"/>
      <c r="B1787"/>
      <c r="C1787"/>
      <c r="D1787"/>
      <c r="E1787"/>
    </row>
    <row r="1788" spans="1:5">
      <c r="A1788" s="1"/>
      <c r="B1788"/>
      <c r="C1788"/>
      <c r="D1788"/>
      <c r="E1788"/>
    </row>
    <row r="1789" spans="1:5">
      <c r="A1789" s="1"/>
      <c r="B1789"/>
      <c r="C1789"/>
      <c r="D1789"/>
      <c r="E1789"/>
    </row>
    <row r="1790" spans="1:5">
      <c r="A1790" s="1"/>
      <c r="B1790"/>
      <c r="C1790"/>
      <c r="D1790"/>
      <c r="E1790"/>
    </row>
    <row r="1791" spans="1:5">
      <c r="A1791" s="1"/>
      <c r="B1791"/>
      <c r="C1791"/>
      <c r="D1791"/>
      <c r="E1791"/>
    </row>
    <row r="1792" spans="1:5">
      <c r="A1792" s="1"/>
      <c r="B1792"/>
      <c r="C1792"/>
      <c r="D1792"/>
      <c r="E1792"/>
    </row>
    <row r="1793" spans="1:5">
      <c r="A1793" s="1"/>
      <c r="B1793"/>
      <c r="C1793"/>
      <c r="D1793"/>
      <c r="E1793"/>
    </row>
    <row r="1794" spans="1:5">
      <c r="A1794" s="1"/>
      <c r="B1794"/>
      <c r="C1794"/>
      <c r="D1794"/>
      <c r="E1794"/>
    </row>
    <row r="1795" spans="1:5">
      <c r="A1795" s="1"/>
      <c r="B1795"/>
      <c r="C1795"/>
      <c r="D1795"/>
      <c r="E1795"/>
    </row>
    <row r="1796" spans="1:5">
      <c r="A1796" s="1"/>
      <c r="B1796"/>
      <c r="C1796"/>
      <c r="D1796"/>
      <c r="E1796"/>
    </row>
    <row r="1797" spans="1:5">
      <c r="A1797" s="1"/>
      <c r="B1797"/>
      <c r="C1797"/>
      <c r="D1797"/>
      <c r="E1797"/>
    </row>
  </sheetData>
  <mergeCells count="2">
    <mergeCell ref="B5:D5"/>
    <mergeCell ref="G5:H5"/>
  </mergeCells>
  <pageMargins left="0.7" right="0.7" top="0.75" bottom="0.75" header="0.3" footer="0.3"/>
  <pageSetup orientation="portrait" verticalDpi="0"/>
  <ignoredErrors>
    <ignoredError sqref="H6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Z857"/>
  <sheetViews>
    <sheetView topLeftCell="B3" workbookViewId="0">
      <selection activeCell="H12" sqref="H12"/>
    </sheetView>
  </sheetViews>
  <sheetFormatPr baseColWidth="10" defaultColWidth="8.83203125" defaultRowHeight="14" x14ac:dyDescent="0"/>
  <cols>
    <col min="1" max="1" width="27.6640625" style="1" bestFit="1" customWidth="1"/>
    <col min="2" max="2" width="11.5" style="1" bestFit="1" customWidth="1"/>
    <col min="3" max="3" width="28.1640625" bestFit="1" customWidth="1"/>
    <col min="6" max="6" width="18.83203125" bestFit="1" customWidth="1"/>
    <col min="7" max="9" width="8.83203125" style="1"/>
    <col min="10" max="10" width="23" bestFit="1" customWidth="1"/>
    <col min="12" max="12" width="23" style="1" bestFit="1" customWidth="1"/>
    <col min="13" max="23" width="8.83203125" style="1"/>
    <col min="24" max="24" width="9.33203125" style="1" customWidth="1"/>
    <col min="25" max="26" width="8.83203125" style="1"/>
  </cols>
  <sheetData>
    <row r="1" spans="3:13">
      <c r="C1" s="1"/>
      <c r="D1" s="1"/>
      <c r="E1" s="1"/>
      <c r="F1" s="1"/>
      <c r="J1" s="1"/>
      <c r="K1" s="1"/>
    </row>
    <row r="2" spans="3:13">
      <c r="C2" s="1"/>
      <c r="D2" s="1"/>
      <c r="E2" s="1"/>
      <c r="F2" s="23"/>
      <c r="J2" s="23"/>
      <c r="K2" s="1"/>
    </row>
    <row r="3" spans="3:13">
      <c r="C3" s="1"/>
      <c r="D3" s="1"/>
      <c r="E3" s="1"/>
      <c r="F3" s="1"/>
      <c r="J3" s="1"/>
      <c r="K3" s="1"/>
    </row>
    <row r="4" spans="3:13" ht="15" thickBot="1">
      <c r="C4" s="1"/>
      <c r="D4" s="1"/>
      <c r="E4" s="1"/>
      <c r="F4" s="1"/>
      <c r="J4" s="1"/>
      <c r="K4" s="1"/>
    </row>
    <row r="5" spans="3:13" ht="23">
      <c r="C5" s="112" t="s">
        <v>38</v>
      </c>
      <c r="D5" s="113"/>
      <c r="E5" s="113"/>
      <c r="F5" s="114"/>
      <c r="J5" s="105" t="s">
        <v>37</v>
      </c>
      <c r="K5" s="106"/>
    </row>
    <row r="6" spans="3:13" ht="18">
      <c r="C6" s="108" t="s">
        <v>32</v>
      </c>
      <c r="D6" s="109"/>
      <c r="E6" s="110" t="s">
        <v>5</v>
      </c>
      <c r="F6" s="111"/>
      <c r="J6" s="115" t="s">
        <v>22</v>
      </c>
      <c r="K6" s="116"/>
      <c r="L6" s="107"/>
      <c r="M6" s="107"/>
    </row>
    <row r="7" spans="3:13" ht="16">
      <c r="C7" s="26" t="s">
        <v>31</v>
      </c>
      <c r="D7" s="38">
        <v>38.74</v>
      </c>
      <c r="E7" s="31" t="s">
        <v>33</v>
      </c>
      <c r="F7" s="36">
        <f>(LN(D7/D12)+((D9-D8+((D10^2)*0.5))*D11))/(D10*SQRT(D11))</f>
        <v>-0.11048714541899532</v>
      </c>
      <c r="J7" s="31" t="s">
        <v>7</v>
      </c>
      <c r="K7" s="42">
        <f>((D7*EXP(-D8*D11))*_xlfn.NORM.S.DIST($F$7,TRUE))-(D12*EXP(-D9*D10)*_xlfn.NORM.S.DIST($F$8,TRUE))</f>
        <v>1.4314242918642339</v>
      </c>
    </row>
    <row r="8" spans="3:13" ht="16">
      <c r="C8" s="26" t="s">
        <v>1</v>
      </c>
      <c r="D8" s="39">
        <v>4.9500000000000002E-2</v>
      </c>
      <c r="E8" s="31" t="s">
        <v>34</v>
      </c>
      <c r="F8" s="36">
        <f>(LN(D7/D12)+(D9-D8-((D10^2)/2))*D11)/(D10*SQRT(D11))</f>
        <v>-0.2270332921911706</v>
      </c>
      <c r="J8" s="31" t="s">
        <v>6</v>
      </c>
      <c r="K8" s="32">
        <f>(D12*EXP(-D9*D11)*_xlfn.NORM.S.DIST(-F8,TRUE))-(D7*EXP(-D8*D10)*_xlfn.NORM.S.DIST(-F7,TRUE))</f>
        <v>2.1155220635040344</v>
      </c>
      <c r="L8" s="23"/>
      <c r="M8" s="43"/>
    </row>
    <row r="9" spans="3:13" ht="16">
      <c r="C9" s="26" t="s">
        <v>2</v>
      </c>
      <c r="D9" s="39">
        <v>5.3E-3</v>
      </c>
      <c r="E9" s="31" t="s">
        <v>35</v>
      </c>
      <c r="F9" s="34">
        <f>_xlfn.NORM.S.DIST(F7,TRUE)</f>
        <v>0.45601152196152628</v>
      </c>
      <c r="J9" s="115" t="s">
        <v>23</v>
      </c>
      <c r="K9" s="116"/>
    </row>
    <row r="10" spans="3:13" ht="17" thickBot="1">
      <c r="C10" s="26" t="s">
        <v>3</v>
      </c>
      <c r="D10" s="39">
        <f>'(Q1) Volatility Estimates'!H8/SQRT(D11)</f>
        <v>0.21507123554374735</v>
      </c>
      <c r="E10" s="35" t="s">
        <v>36</v>
      </c>
      <c r="F10" s="37">
        <f>_xlfn.NORM.S.DIST(F8,TRUE)</f>
        <v>0.41019892729526608</v>
      </c>
      <c r="J10" s="31" t="s">
        <v>7</v>
      </c>
      <c r="K10" s="42">
        <f>((D17*EXP(-D18*D21))*_xlfn.NORM.S.DIST($F$17,TRUE))-(D22*EXP(-D19*D20)*_xlfn.NORM.S.DIST($F$18,TRUE))</f>
        <v>1.1885016396206254</v>
      </c>
    </row>
    <row r="11" spans="3:13" ht="15" thickBot="1">
      <c r="C11" s="26" t="s">
        <v>30</v>
      </c>
      <c r="D11" s="40">
        <f>74/252</f>
        <v>0.29365079365079366</v>
      </c>
      <c r="E11" s="1"/>
      <c r="F11" s="1"/>
      <c r="J11" s="35" t="s">
        <v>6</v>
      </c>
      <c r="K11" s="18">
        <f>(D22*EXP(-D19*D21)*_xlfn.NORM.S.DIST(-F18,TRUE))-(D17*EXP(-D18*D20)*_xlfn.NORM.S.DIST(-F17,TRUE))</f>
        <v>2.4157261781733261</v>
      </c>
      <c r="L11" s="107"/>
      <c r="M11" s="107"/>
    </row>
    <row r="12" spans="3:13" ht="15" thickBot="1">
      <c r="C12" s="29" t="s">
        <v>8</v>
      </c>
      <c r="D12" s="41">
        <f>39</f>
        <v>39</v>
      </c>
      <c r="E12" s="1"/>
      <c r="F12" s="1"/>
      <c r="J12" s="1"/>
      <c r="K12" s="1"/>
      <c r="L12" s="23"/>
    </row>
    <row r="13" spans="3:13">
      <c r="C13" s="1"/>
      <c r="D13" s="1"/>
      <c r="E13" s="1"/>
      <c r="F13" s="1"/>
      <c r="J13" s="1"/>
      <c r="K13" s="1"/>
      <c r="L13" s="23"/>
    </row>
    <row r="14" spans="3:13" ht="15" thickBot="1">
      <c r="C14" s="1"/>
      <c r="D14" s="1"/>
      <c r="E14" s="1"/>
      <c r="F14" s="1"/>
      <c r="J14" s="1"/>
      <c r="K14" s="1"/>
    </row>
    <row r="15" spans="3:13" ht="23">
      <c r="C15" s="112" t="s">
        <v>39</v>
      </c>
      <c r="D15" s="113"/>
      <c r="E15" s="113"/>
      <c r="F15" s="114"/>
      <c r="J15" s="1"/>
      <c r="K15" s="1"/>
    </row>
    <row r="16" spans="3:13" ht="18">
      <c r="C16" s="108" t="s">
        <v>32</v>
      </c>
      <c r="D16" s="109"/>
      <c r="E16" s="110" t="s">
        <v>5</v>
      </c>
      <c r="F16" s="111"/>
      <c r="J16" s="1"/>
      <c r="K16" s="1"/>
    </row>
    <row r="17" spans="3:11" ht="16">
      <c r="C17" s="26" t="s">
        <v>31</v>
      </c>
      <c r="D17" s="38">
        <v>39.18</v>
      </c>
      <c r="E17" s="31" t="s">
        <v>33</v>
      </c>
      <c r="F17" s="36">
        <f>(LN(D17/D22)+((D19-D18+((D20^2)*0.5))*D21))/(D20*SQRT(D21))</f>
        <v>-0.23531921373835454</v>
      </c>
      <c r="J17" s="1"/>
      <c r="K17" s="1"/>
    </row>
    <row r="18" spans="3:11" ht="16">
      <c r="C18" s="26" t="s">
        <v>1</v>
      </c>
      <c r="D18" s="39">
        <v>4.9500000000000002E-2</v>
      </c>
      <c r="E18" s="31" t="s">
        <v>34</v>
      </c>
      <c r="F18" s="36">
        <f>(LN(D17/D22)+(D19-D18-((D20^2)/2))*D21)/(D20*SQRT(D21))</f>
        <v>-0.34785913449884054</v>
      </c>
      <c r="J18" s="1"/>
      <c r="K18" s="1"/>
    </row>
    <row r="19" spans="3:11" ht="16">
      <c r="C19" s="26" t="s">
        <v>2</v>
      </c>
      <c r="D19" s="39">
        <v>5.3E-3</v>
      </c>
      <c r="E19" s="31" t="s">
        <v>35</v>
      </c>
      <c r="F19" s="34">
        <f>_xlfn.NORM.S.DIST(F17,TRUE)</f>
        <v>0.40698049169034189</v>
      </c>
      <c r="J19" s="1"/>
      <c r="K19" s="1"/>
    </row>
    <row r="20" spans="3:11" ht="17" thickBot="1">
      <c r="C20" s="26" t="s">
        <v>3</v>
      </c>
      <c r="D20" s="39">
        <f>'(Q1) Volatility Estimates'!H8/SQRT(D11)</f>
        <v>0.21507123554374735</v>
      </c>
      <c r="E20" s="35" t="s">
        <v>36</v>
      </c>
      <c r="F20" s="37">
        <f>_xlfn.NORM.S.DIST(F18,TRUE)</f>
        <v>0.36397298837109693</v>
      </c>
      <c r="J20" s="1"/>
      <c r="K20" s="1"/>
    </row>
    <row r="21" spans="3:11">
      <c r="C21" s="26" t="s">
        <v>29</v>
      </c>
      <c r="D21" s="40">
        <f>69/252</f>
        <v>0.27380952380952384</v>
      </c>
      <c r="E21" s="1"/>
      <c r="F21" s="1"/>
      <c r="J21" s="1"/>
      <c r="K21" s="1"/>
    </row>
    <row r="22" spans="3:11" ht="15" thickBot="1">
      <c r="C22" s="29" t="s">
        <v>49</v>
      </c>
      <c r="D22" s="41">
        <v>40</v>
      </c>
      <c r="E22" s="1"/>
      <c r="F22" s="1"/>
      <c r="J22" s="1"/>
      <c r="K22" s="1"/>
    </row>
    <row r="23" spans="3:11">
      <c r="C23" s="1"/>
      <c r="D23" s="1"/>
      <c r="E23" s="1"/>
      <c r="F23" s="1"/>
      <c r="J23" s="1"/>
      <c r="K23" s="1"/>
    </row>
    <row r="24" spans="3:11">
      <c r="C24" s="1"/>
      <c r="D24" s="1"/>
      <c r="E24" s="1"/>
      <c r="F24" s="1"/>
      <c r="J24" s="1"/>
      <c r="K24" s="1"/>
    </row>
    <row r="25" spans="3:11">
      <c r="C25" s="1"/>
      <c r="D25" s="1"/>
      <c r="E25" s="1"/>
      <c r="F25" s="1"/>
      <c r="J25" s="1"/>
      <c r="K25" s="1"/>
    </row>
    <row r="26" spans="3:11">
      <c r="C26" s="1"/>
      <c r="D26" s="1"/>
      <c r="E26" s="1"/>
      <c r="F26" s="1"/>
      <c r="J26" s="1"/>
      <c r="K26" s="1"/>
    </row>
    <row r="27" spans="3:11">
      <c r="C27" s="1"/>
      <c r="D27" s="1"/>
      <c r="E27" s="1"/>
      <c r="F27" s="1"/>
      <c r="J27" s="1"/>
      <c r="K27" s="1"/>
    </row>
    <row r="28" spans="3:11">
      <c r="C28" s="1"/>
      <c r="D28" s="1"/>
      <c r="E28" s="1"/>
      <c r="F28" s="1"/>
      <c r="J28" s="1"/>
      <c r="K28" s="1"/>
    </row>
    <row r="29" spans="3:11">
      <c r="C29" s="1"/>
      <c r="D29" s="1"/>
      <c r="E29" s="1"/>
      <c r="F29" s="1"/>
      <c r="J29" s="1"/>
      <c r="K29" s="1"/>
    </row>
    <row r="30" spans="3:11">
      <c r="C30" s="1"/>
      <c r="D30" s="1"/>
      <c r="E30" s="1"/>
      <c r="F30" s="1"/>
      <c r="J30" s="1"/>
      <c r="K30" s="1"/>
    </row>
    <row r="31" spans="3:11">
      <c r="C31" s="1"/>
      <c r="D31" s="1"/>
      <c r="E31" s="1"/>
      <c r="F31" s="1"/>
      <c r="J31" s="1"/>
      <c r="K31" s="1"/>
    </row>
    <row r="32" spans="3:11">
      <c r="C32" s="1"/>
      <c r="D32" s="1"/>
      <c r="E32" s="1"/>
      <c r="F32" s="1"/>
      <c r="J32" s="1"/>
      <c r="K32" s="1"/>
    </row>
    <row r="33" spans="3:11">
      <c r="C33" s="1"/>
      <c r="D33" s="1"/>
      <c r="E33" s="1"/>
      <c r="F33" s="1"/>
      <c r="J33" s="1"/>
      <c r="K33" s="1"/>
    </row>
    <row r="34" spans="3:11">
      <c r="C34" s="1"/>
      <c r="D34" s="1"/>
      <c r="E34" s="1"/>
      <c r="F34" s="1"/>
      <c r="J34" s="1"/>
      <c r="K34" s="1"/>
    </row>
    <row r="35" spans="3:11">
      <c r="C35" s="1"/>
      <c r="D35" s="1"/>
      <c r="E35" s="1"/>
      <c r="F35" s="1"/>
      <c r="J35" s="1"/>
      <c r="K35" s="1"/>
    </row>
    <row r="36" spans="3:11">
      <c r="C36" s="1"/>
      <c r="D36" s="1"/>
      <c r="E36" s="1"/>
      <c r="F36" s="1"/>
      <c r="J36" s="1"/>
      <c r="K36" s="1"/>
    </row>
    <row r="37" spans="3:11">
      <c r="C37" s="1"/>
      <c r="D37" s="1"/>
      <c r="E37" s="1"/>
      <c r="F37" s="1"/>
      <c r="J37" s="1"/>
      <c r="K37" s="1"/>
    </row>
    <row r="38" spans="3:11">
      <c r="C38" s="1"/>
      <c r="D38" s="1"/>
      <c r="E38" s="1"/>
      <c r="F38" s="1"/>
      <c r="J38" s="1"/>
      <c r="K38" s="1"/>
    </row>
    <row r="39" spans="3:11">
      <c r="C39" s="1"/>
      <c r="D39" s="1"/>
      <c r="E39" s="1"/>
      <c r="F39" s="1"/>
      <c r="J39" s="1"/>
      <c r="K39" s="1"/>
    </row>
    <row r="40" spans="3:11">
      <c r="C40" s="1"/>
      <c r="D40" s="1"/>
      <c r="E40" s="1"/>
      <c r="F40" s="1"/>
      <c r="J40" s="1"/>
      <c r="K40" s="1"/>
    </row>
    <row r="41" spans="3:11">
      <c r="C41" s="1"/>
      <c r="D41" s="1"/>
      <c r="E41" s="1"/>
      <c r="F41" s="1"/>
      <c r="J41" s="1"/>
      <c r="K41" s="1"/>
    </row>
    <row r="42" spans="3:11">
      <c r="C42" s="1"/>
      <c r="D42" s="1"/>
      <c r="E42" s="1"/>
      <c r="F42" s="1"/>
      <c r="J42" s="1"/>
      <c r="K42" s="1"/>
    </row>
    <row r="43" spans="3:11">
      <c r="C43" s="1"/>
      <c r="D43" s="1"/>
      <c r="E43" s="1"/>
      <c r="F43" s="1"/>
      <c r="J43" s="1"/>
      <c r="K43" s="1"/>
    </row>
    <row r="44" spans="3:11">
      <c r="C44" s="1"/>
      <c r="D44" s="1"/>
      <c r="E44" s="1"/>
      <c r="F44" s="1"/>
      <c r="J44" s="1"/>
      <c r="K44" s="1"/>
    </row>
    <row r="45" spans="3:11">
      <c r="C45" s="1"/>
      <c r="D45" s="1"/>
      <c r="E45" s="1"/>
      <c r="F45" s="1"/>
      <c r="J45" s="1"/>
      <c r="K45" s="1"/>
    </row>
    <row r="46" spans="3:11">
      <c r="C46" s="1"/>
      <c r="D46" s="1"/>
      <c r="E46" s="1"/>
      <c r="F46" s="1"/>
      <c r="J46" s="1"/>
      <c r="K46" s="1"/>
    </row>
    <row r="47" spans="3:11">
      <c r="C47" s="1"/>
      <c r="D47" s="1"/>
      <c r="E47" s="1"/>
      <c r="F47" s="1"/>
      <c r="J47" s="1"/>
      <c r="K47" s="1"/>
    </row>
    <row r="48" spans="3:11">
      <c r="C48" s="1"/>
      <c r="D48" s="1"/>
      <c r="E48" s="1"/>
      <c r="F48" s="1"/>
      <c r="J48" s="1"/>
      <c r="K48" s="1"/>
    </row>
    <row r="49" spans="3:11">
      <c r="C49" s="1"/>
      <c r="D49" s="1"/>
      <c r="E49" s="1"/>
      <c r="F49" s="1"/>
      <c r="J49" s="1"/>
      <c r="K49" s="1"/>
    </row>
    <row r="50" spans="3:11">
      <c r="C50" s="1"/>
      <c r="D50" s="1"/>
      <c r="E50" s="1"/>
      <c r="F50" s="1"/>
      <c r="J50" s="1"/>
      <c r="K50" s="1"/>
    </row>
    <row r="51" spans="3:11">
      <c r="C51" s="1"/>
      <c r="D51" s="1"/>
      <c r="E51" s="1"/>
      <c r="F51" s="1"/>
      <c r="J51" s="1"/>
      <c r="K51" s="1"/>
    </row>
    <row r="52" spans="3:11">
      <c r="C52" s="1"/>
      <c r="D52" s="1"/>
      <c r="E52" s="1"/>
      <c r="F52" s="1"/>
      <c r="J52" s="1"/>
      <c r="K52" s="1"/>
    </row>
    <row r="53" spans="3:11">
      <c r="C53" s="1"/>
      <c r="D53" s="1"/>
      <c r="E53" s="1"/>
      <c r="F53" s="1"/>
      <c r="J53" s="1"/>
      <c r="K53" s="1"/>
    </row>
    <row r="54" spans="3:11">
      <c r="C54" s="1"/>
      <c r="D54" s="1"/>
      <c r="E54" s="1"/>
      <c r="F54" s="1"/>
      <c r="J54" s="1"/>
      <c r="K54" s="1"/>
    </row>
    <row r="55" spans="3:11">
      <c r="C55" s="1"/>
      <c r="D55" s="1"/>
      <c r="E55" s="1"/>
      <c r="F55" s="1"/>
      <c r="J55" s="1"/>
      <c r="K55" s="1"/>
    </row>
    <row r="56" spans="3:11">
      <c r="C56" s="1"/>
      <c r="D56" s="1"/>
      <c r="E56" s="1"/>
      <c r="F56" s="1"/>
      <c r="J56" s="1"/>
      <c r="K56" s="1"/>
    </row>
    <row r="57" spans="3:11">
      <c r="C57" s="1"/>
      <c r="D57" s="1"/>
      <c r="E57" s="1"/>
      <c r="F57" s="1"/>
      <c r="J57" s="1"/>
      <c r="K57" s="1"/>
    </row>
    <row r="58" spans="3:11">
      <c r="C58" s="1"/>
      <c r="D58" s="1"/>
      <c r="E58" s="1"/>
      <c r="F58" s="1"/>
      <c r="J58" s="1"/>
      <c r="K58" s="1"/>
    </row>
    <row r="59" spans="3:11">
      <c r="C59" s="1"/>
      <c r="D59" s="1"/>
      <c r="E59" s="1"/>
      <c r="F59" s="1"/>
      <c r="J59" s="1"/>
      <c r="K59" s="1"/>
    </row>
    <row r="60" spans="3:11">
      <c r="C60" s="1"/>
      <c r="D60" s="1"/>
      <c r="E60" s="1"/>
      <c r="F60" s="1"/>
      <c r="J60" s="1"/>
      <c r="K60" s="1"/>
    </row>
    <row r="61" spans="3:11">
      <c r="C61" s="1"/>
      <c r="D61" s="1"/>
      <c r="E61" s="1"/>
      <c r="F61" s="1"/>
      <c r="J61" s="1"/>
      <c r="K61" s="1"/>
    </row>
    <row r="62" spans="3:11">
      <c r="C62" s="1"/>
      <c r="D62" s="1"/>
      <c r="E62" s="1"/>
      <c r="F62" s="1"/>
      <c r="J62" s="1"/>
      <c r="K62" s="1"/>
    </row>
    <row r="63" spans="3:11">
      <c r="C63" s="1"/>
      <c r="D63" s="1"/>
      <c r="E63" s="1"/>
      <c r="F63" s="1"/>
      <c r="J63" s="1"/>
      <c r="K63" s="1"/>
    </row>
    <row r="64" spans="3:11">
      <c r="C64" s="1"/>
      <c r="D64" s="1"/>
      <c r="E64" s="1"/>
      <c r="F64" s="1"/>
      <c r="J64" s="1"/>
      <c r="K64" s="1"/>
    </row>
    <row r="65" spans="3:11">
      <c r="C65" s="1"/>
      <c r="D65" s="1"/>
      <c r="E65" s="1"/>
      <c r="F65" s="1"/>
      <c r="J65" s="1"/>
      <c r="K65" s="1"/>
    </row>
    <row r="66" spans="3:11">
      <c r="C66" s="1"/>
      <c r="D66" s="1"/>
      <c r="E66" s="1"/>
      <c r="F66" s="1"/>
      <c r="J66" s="1"/>
      <c r="K66" s="1"/>
    </row>
    <row r="67" spans="3:11">
      <c r="C67" s="1"/>
      <c r="D67" s="1"/>
      <c r="E67" s="1"/>
      <c r="F67" s="1"/>
      <c r="J67" s="1"/>
      <c r="K67" s="1"/>
    </row>
    <row r="68" spans="3:11">
      <c r="C68" s="1"/>
      <c r="D68" s="1"/>
      <c r="E68" s="1"/>
      <c r="F68" s="1"/>
      <c r="J68" s="1"/>
      <c r="K68" s="1"/>
    </row>
    <row r="69" spans="3:11">
      <c r="C69" s="1"/>
      <c r="D69" s="1"/>
      <c r="E69" s="1"/>
      <c r="F69" s="1"/>
      <c r="J69" s="1"/>
      <c r="K69" s="1"/>
    </row>
    <row r="70" spans="3:11">
      <c r="C70" s="1"/>
      <c r="D70" s="1"/>
      <c r="E70" s="1"/>
      <c r="F70" s="1"/>
      <c r="J70" s="1"/>
      <c r="K70" s="1"/>
    </row>
    <row r="71" spans="3:11">
      <c r="C71" s="1"/>
      <c r="D71" s="1"/>
      <c r="E71" s="1"/>
      <c r="F71" s="1"/>
      <c r="J71" s="1"/>
      <c r="K71" s="1"/>
    </row>
    <row r="72" spans="3:11">
      <c r="C72" s="1"/>
      <c r="D72" s="1"/>
      <c r="E72" s="1"/>
      <c r="F72" s="1"/>
      <c r="J72" s="1"/>
      <c r="K72" s="1"/>
    </row>
    <row r="73" spans="3:11">
      <c r="C73" s="1"/>
      <c r="D73" s="1"/>
      <c r="E73" s="1"/>
      <c r="F73" s="1"/>
      <c r="J73" s="1"/>
      <c r="K73" s="1"/>
    </row>
    <row r="74" spans="3:11">
      <c r="C74" s="1"/>
      <c r="D74" s="1"/>
      <c r="E74" s="1"/>
      <c r="F74" s="1"/>
      <c r="J74" s="1"/>
      <c r="K74" s="1"/>
    </row>
    <row r="75" spans="3:11">
      <c r="C75" s="1"/>
      <c r="D75" s="1"/>
      <c r="E75" s="1"/>
      <c r="F75" s="1"/>
      <c r="J75" s="1"/>
      <c r="K75" s="1"/>
    </row>
    <row r="76" spans="3:11">
      <c r="C76" s="1"/>
      <c r="D76" s="1"/>
      <c r="E76" s="1"/>
      <c r="F76" s="1"/>
      <c r="J76" s="1"/>
      <c r="K76" s="1"/>
    </row>
    <row r="77" spans="3:11">
      <c r="C77" s="1"/>
      <c r="D77" s="1"/>
      <c r="E77" s="1"/>
      <c r="F77" s="1"/>
      <c r="J77" s="1"/>
      <c r="K77" s="1"/>
    </row>
    <row r="78" spans="3:11">
      <c r="C78" s="1"/>
      <c r="D78" s="1"/>
      <c r="E78" s="1"/>
      <c r="F78" s="1"/>
      <c r="J78" s="1"/>
      <c r="K78" s="1"/>
    </row>
    <row r="79" spans="3:11">
      <c r="C79" s="1"/>
      <c r="D79" s="1"/>
      <c r="E79" s="1"/>
      <c r="F79" s="1"/>
      <c r="J79" s="1"/>
      <c r="K79" s="1"/>
    </row>
    <row r="80" spans="3:11">
      <c r="C80" s="1"/>
      <c r="D80" s="1"/>
      <c r="E80" s="1"/>
      <c r="F80" s="1"/>
      <c r="J80" s="1"/>
      <c r="K80" s="1"/>
    </row>
    <row r="81" spans="3:11">
      <c r="C81" s="1"/>
      <c r="D81" s="1"/>
      <c r="E81" s="1"/>
      <c r="F81" s="1"/>
      <c r="J81" s="1"/>
      <c r="K81" s="1"/>
    </row>
    <row r="82" spans="3:11">
      <c r="C82" s="1"/>
      <c r="D82" s="1"/>
      <c r="E82" s="1"/>
      <c r="F82" s="1"/>
      <c r="J82" s="1"/>
      <c r="K82" s="1"/>
    </row>
    <row r="83" spans="3:11">
      <c r="C83" s="1"/>
      <c r="D83" s="1"/>
      <c r="E83" s="1"/>
      <c r="F83" s="1"/>
      <c r="J83" s="1"/>
      <c r="K83" s="1"/>
    </row>
    <row r="84" spans="3:11">
      <c r="C84" s="1"/>
      <c r="D84" s="1"/>
      <c r="E84" s="1"/>
      <c r="F84" s="1"/>
      <c r="J84" s="1"/>
      <c r="K84" s="1"/>
    </row>
    <row r="85" spans="3:11">
      <c r="C85" s="1"/>
      <c r="D85" s="1"/>
      <c r="E85" s="1"/>
      <c r="F85" s="1"/>
      <c r="J85" s="1"/>
      <c r="K85" s="1"/>
    </row>
    <row r="86" spans="3:11">
      <c r="C86" s="1"/>
      <c r="D86" s="1"/>
      <c r="E86" s="1"/>
      <c r="F86" s="1"/>
      <c r="J86" s="1"/>
      <c r="K86" s="1"/>
    </row>
    <row r="87" spans="3:11">
      <c r="C87" s="1"/>
      <c r="D87" s="1"/>
      <c r="E87" s="1"/>
      <c r="F87" s="1"/>
      <c r="J87" s="1"/>
      <c r="K87" s="1"/>
    </row>
    <row r="88" spans="3:11">
      <c r="C88" s="1"/>
      <c r="D88" s="1"/>
      <c r="E88" s="1"/>
      <c r="F88" s="1"/>
      <c r="J88" s="1"/>
      <c r="K88" s="1"/>
    </row>
    <row r="89" spans="3:11">
      <c r="C89" s="1"/>
      <c r="D89" s="1"/>
      <c r="E89" s="1"/>
      <c r="F89" s="1"/>
      <c r="J89" s="1"/>
      <c r="K89" s="1"/>
    </row>
    <row r="90" spans="3:11">
      <c r="C90" s="1"/>
      <c r="D90" s="1"/>
      <c r="E90" s="1"/>
      <c r="F90" s="1"/>
      <c r="J90" s="1"/>
      <c r="K90" s="1"/>
    </row>
    <row r="91" spans="3:11">
      <c r="C91" s="1"/>
      <c r="D91" s="1"/>
      <c r="E91" s="1"/>
      <c r="F91" s="1"/>
      <c r="J91" s="1"/>
      <c r="K91" s="1"/>
    </row>
    <row r="92" spans="3:11">
      <c r="C92" s="1"/>
      <c r="D92" s="1"/>
      <c r="E92" s="1"/>
      <c r="F92" s="1"/>
      <c r="J92" s="1"/>
      <c r="K92" s="1"/>
    </row>
    <row r="93" spans="3:11">
      <c r="C93" s="1"/>
      <c r="D93" s="1"/>
      <c r="E93" s="1"/>
      <c r="F93" s="1"/>
      <c r="J93" s="1"/>
      <c r="K93" s="1"/>
    </row>
    <row r="94" spans="3:11">
      <c r="C94" s="1"/>
      <c r="D94" s="1"/>
      <c r="E94" s="1"/>
      <c r="F94" s="1"/>
      <c r="J94" s="1"/>
      <c r="K94" s="1"/>
    </row>
    <row r="95" spans="3:11">
      <c r="C95" s="1"/>
      <c r="D95" s="1"/>
      <c r="E95" s="1"/>
      <c r="F95" s="1"/>
      <c r="J95" s="1"/>
      <c r="K95" s="1"/>
    </row>
    <row r="96" spans="3:11">
      <c r="C96" s="1"/>
      <c r="D96" s="1"/>
      <c r="E96" s="1"/>
      <c r="F96" s="1"/>
      <c r="J96" s="1"/>
      <c r="K96" s="1"/>
    </row>
    <row r="97" spans="3:11">
      <c r="C97" s="1"/>
      <c r="D97" s="1"/>
      <c r="E97" s="1"/>
      <c r="F97" s="1"/>
      <c r="J97" s="1"/>
      <c r="K97" s="1"/>
    </row>
    <row r="98" spans="3:11">
      <c r="C98" s="1"/>
      <c r="D98" s="1"/>
      <c r="E98" s="1"/>
      <c r="F98" s="1"/>
      <c r="J98" s="1"/>
      <c r="K98" s="1"/>
    </row>
    <row r="99" spans="3:11">
      <c r="C99" s="1"/>
      <c r="D99" s="1"/>
      <c r="E99" s="1"/>
      <c r="F99" s="1"/>
      <c r="J99" s="1"/>
      <c r="K99" s="1"/>
    </row>
    <row r="100" spans="3:11">
      <c r="C100" s="1"/>
      <c r="D100" s="1"/>
      <c r="E100" s="1"/>
      <c r="F100" s="1"/>
      <c r="J100" s="1"/>
      <c r="K100" s="1"/>
    </row>
    <row r="101" spans="3:11">
      <c r="C101" s="1"/>
      <c r="D101" s="1"/>
      <c r="E101" s="1"/>
      <c r="F101" s="1"/>
      <c r="J101" s="1"/>
      <c r="K101" s="1"/>
    </row>
    <row r="102" spans="3:11">
      <c r="C102" s="1"/>
      <c r="D102" s="1"/>
      <c r="E102" s="1"/>
      <c r="F102" s="1"/>
      <c r="J102" s="1"/>
      <c r="K102" s="1"/>
    </row>
    <row r="103" spans="3:11">
      <c r="C103" s="1"/>
      <c r="D103" s="1"/>
      <c r="E103" s="1"/>
      <c r="F103" s="1"/>
      <c r="J103" s="1"/>
      <c r="K103" s="1"/>
    </row>
    <row r="104" spans="3:11">
      <c r="C104" s="1"/>
      <c r="D104" s="1"/>
      <c r="E104" s="1"/>
      <c r="F104" s="1"/>
      <c r="J104" s="1"/>
      <c r="K104" s="1"/>
    </row>
    <row r="105" spans="3:11">
      <c r="C105" s="1"/>
      <c r="D105" s="1"/>
      <c r="E105" s="1"/>
      <c r="F105" s="1"/>
      <c r="J105" s="1"/>
      <c r="K105" s="1"/>
    </row>
    <row r="106" spans="3:11">
      <c r="C106" s="1"/>
      <c r="D106" s="1"/>
      <c r="E106" s="1"/>
      <c r="F106" s="1"/>
      <c r="J106" s="1"/>
      <c r="K106" s="1"/>
    </row>
    <row r="107" spans="3:11">
      <c r="C107" s="1"/>
      <c r="D107" s="1"/>
      <c r="E107" s="1"/>
      <c r="F107" s="1"/>
      <c r="J107" s="1"/>
      <c r="K107" s="1"/>
    </row>
    <row r="108" spans="3:11">
      <c r="C108" s="1"/>
      <c r="D108" s="1"/>
      <c r="E108" s="1"/>
      <c r="F108" s="1"/>
      <c r="J108" s="1"/>
      <c r="K108" s="1"/>
    </row>
    <row r="109" spans="3:11">
      <c r="C109" s="1"/>
      <c r="D109" s="1"/>
      <c r="E109" s="1"/>
      <c r="F109" s="1"/>
      <c r="J109" s="1"/>
      <c r="K109" s="1"/>
    </row>
    <row r="110" spans="3:11">
      <c r="C110" s="1"/>
      <c r="D110" s="1"/>
      <c r="E110" s="1"/>
      <c r="F110" s="1"/>
      <c r="J110" s="1"/>
      <c r="K110" s="1"/>
    </row>
    <row r="111" spans="3:11">
      <c r="C111" s="1"/>
      <c r="D111" s="1"/>
      <c r="E111" s="1"/>
      <c r="F111" s="1"/>
      <c r="J111" s="1"/>
      <c r="K111" s="1"/>
    </row>
    <row r="112" spans="3:11">
      <c r="C112" s="1"/>
      <c r="D112" s="1"/>
      <c r="E112" s="1"/>
      <c r="F112" s="1"/>
      <c r="J112" s="1"/>
      <c r="K112" s="1"/>
    </row>
    <row r="113" spans="3:11">
      <c r="C113" s="1"/>
      <c r="D113" s="1"/>
      <c r="E113" s="1"/>
      <c r="F113" s="1"/>
      <c r="J113" s="1"/>
      <c r="K113" s="1"/>
    </row>
    <row r="114" spans="3:11">
      <c r="C114" s="1"/>
      <c r="D114" s="1"/>
      <c r="E114" s="1"/>
      <c r="F114" s="1"/>
      <c r="J114" s="1"/>
      <c r="K114" s="1"/>
    </row>
    <row r="115" spans="3:11">
      <c r="C115" s="1"/>
      <c r="D115" s="1"/>
      <c r="E115" s="1"/>
      <c r="F115" s="1"/>
      <c r="J115" s="1"/>
      <c r="K115" s="1"/>
    </row>
    <row r="116" spans="3:11">
      <c r="C116" s="1"/>
      <c r="D116" s="1"/>
      <c r="E116" s="1"/>
      <c r="F116" s="1"/>
      <c r="J116" s="1"/>
      <c r="K116" s="1"/>
    </row>
    <row r="117" spans="3:11">
      <c r="C117" s="1"/>
      <c r="D117" s="1"/>
      <c r="E117" s="1"/>
      <c r="F117" s="1"/>
      <c r="J117" s="1"/>
      <c r="K117" s="1"/>
    </row>
    <row r="118" spans="3:11">
      <c r="C118" s="1"/>
      <c r="D118" s="1"/>
      <c r="E118" s="1"/>
      <c r="F118" s="1"/>
      <c r="J118" s="1"/>
      <c r="K118" s="1"/>
    </row>
    <row r="119" spans="3:11">
      <c r="C119" s="1"/>
      <c r="D119" s="1"/>
      <c r="E119" s="1"/>
      <c r="F119" s="1"/>
      <c r="J119" s="1"/>
      <c r="K119" s="1"/>
    </row>
    <row r="120" spans="3:11">
      <c r="C120" s="1"/>
      <c r="D120" s="1"/>
      <c r="E120" s="1"/>
      <c r="F120" s="1"/>
      <c r="J120" s="1"/>
      <c r="K120" s="1"/>
    </row>
    <row r="121" spans="3:11">
      <c r="C121" s="1"/>
      <c r="D121" s="1"/>
      <c r="E121" s="1"/>
      <c r="F121" s="1"/>
      <c r="J121" s="1"/>
      <c r="K121" s="1"/>
    </row>
    <row r="122" spans="3:11">
      <c r="C122" s="1"/>
      <c r="D122" s="1"/>
      <c r="E122" s="1"/>
      <c r="F122" s="1"/>
      <c r="J122" s="1"/>
      <c r="K122" s="1"/>
    </row>
    <row r="123" spans="3:11">
      <c r="C123" s="1"/>
      <c r="D123" s="1"/>
      <c r="E123" s="1"/>
      <c r="F123" s="1"/>
      <c r="J123" s="1"/>
      <c r="K123" s="1"/>
    </row>
    <row r="124" spans="3:11">
      <c r="C124" s="1"/>
      <c r="D124" s="1"/>
      <c r="E124" s="1"/>
      <c r="F124" s="1"/>
      <c r="J124" s="1"/>
      <c r="K124" s="1"/>
    </row>
    <row r="125" spans="3:11">
      <c r="C125" s="1"/>
      <c r="D125" s="1"/>
      <c r="E125" s="1"/>
      <c r="F125" s="1"/>
      <c r="J125" s="1"/>
      <c r="K125" s="1"/>
    </row>
    <row r="126" spans="3:11">
      <c r="C126" s="1"/>
      <c r="D126" s="1"/>
      <c r="E126" s="1"/>
      <c r="F126" s="1"/>
      <c r="J126" s="1"/>
      <c r="K126" s="1"/>
    </row>
    <row r="127" spans="3:11">
      <c r="C127" s="1"/>
      <c r="D127" s="1"/>
      <c r="E127" s="1"/>
      <c r="F127" s="1"/>
      <c r="J127" s="1"/>
      <c r="K127" s="1"/>
    </row>
    <row r="128" spans="3:11">
      <c r="C128" s="1"/>
      <c r="D128" s="1"/>
      <c r="E128" s="1"/>
      <c r="F128" s="1"/>
      <c r="J128" s="1"/>
      <c r="K128" s="1"/>
    </row>
    <row r="129" spans="3:11">
      <c r="C129" s="1"/>
      <c r="D129" s="1"/>
      <c r="E129" s="1"/>
      <c r="F129" s="1"/>
      <c r="J129" s="1"/>
      <c r="K129" s="1"/>
    </row>
    <row r="130" spans="3:11">
      <c r="C130" s="1"/>
      <c r="D130" s="1"/>
      <c r="E130" s="1"/>
      <c r="F130" s="1"/>
      <c r="J130" s="1"/>
      <c r="K130" s="1"/>
    </row>
    <row r="131" spans="3:11">
      <c r="C131" s="1"/>
      <c r="D131" s="1"/>
      <c r="E131" s="1"/>
      <c r="F131" s="1"/>
      <c r="J131" s="1"/>
      <c r="K131" s="1"/>
    </row>
    <row r="132" spans="3:11">
      <c r="C132" s="1"/>
      <c r="D132" s="1"/>
      <c r="E132" s="1"/>
      <c r="F132" s="1"/>
      <c r="J132" s="1"/>
      <c r="K132" s="1"/>
    </row>
    <row r="133" spans="3:11">
      <c r="C133" s="1"/>
      <c r="D133" s="1"/>
      <c r="E133" s="1"/>
      <c r="F133" s="1"/>
      <c r="J133" s="1"/>
      <c r="K133" s="1"/>
    </row>
    <row r="134" spans="3:11">
      <c r="C134" s="1"/>
      <c r="D134" s="1"/>
      <c r="E134" s="1"/>
      <c r="F134" s="1"/>
      <c r="J134" s="1"/>
      <c r="K134" s="1"/>
    </row>
    <row r="135" spans="3:11">
      <c r="C135" s="1"/>
      <c r="D135" s="1"/>
      <c r="E135" s="1"/>
      <c r="F135" s="1"/>
      <c r="J135" s="1"/>
      <c r="K135" s="1"/>
    </row>
    <row r="136" spans="3:11">
      <c r="C136" s="1"/>
      <c r="D136" s="1"/>
      <c r="E136" s="1"/>
      <c r="F136" s="1"/>
      <c r="J136" s="1"/>
      <c r="K136" s="1"/>
    </row>
    <row r="137" spans="3:11">
      <c r="C137" s="1"/>
      <c r="D137" s="1"/>
      <c r="E137" s="1"/>
      <c r="F137" s="1"/>
      <c r="J137" s="1"/>
      <c r="K137" s="1"/>
    </row>
    <row r="138" spans="3:11">
      <c r="C138" s="1"/>
      <c r="D138" s="1"/>
      <c r="E138" s="1"/>
      <c r="F138" s="1"/>
      <c r="J138" s="1"/>
      <c r="K138" s="1"/>
    </row>
    <row r="139" spans="3:11">
      <c r="C139" s="1"/>
      <c r="D139" s="1"/>
      <c r="E139" s="1"/>
      <c r="F139" s="1"/>
      <c r="J139" s="1"/>
      <c r="K139" s="1"/>
    </row>
    <row r="140" spans="3:11">
      <c r="C140" s="1"/>
      <c r="D140" s="1"/>
      <c r="E140" s="1"/>
      <c r="F140" s="1"/>
      <c r="J140" s="1"/>
      <c r="K140" s="1"/>
    </row>
    <row r="141" spans="3:11">
      <c r="C141" s="1"/>
      <c r="D141" s="1"/>
      <c r="E141" s="1"/>
      <c r="F141" s="1"/>
      <c r="J141" s="1"/>
      <c r="K141" s="1"/>
    </row>
    <row r="142" spans="3:11">
      <c r="C142" s="1"/>
      <c r="D142" s="1"/>
      <c r="E142" s="1"/>
      <c r="F142" s="1"/>
      <c r="J142" s="1"/>
      <c r="K142" s="1"/>
    </row>
    <row r="143" spans="3:11">
      <c r="C143" s="1"/>
      <c r="D143" s="1"/>
      <c r="E143" s="1"/>
      <c r="F143" s="1"/>
      <c r="J143" s="1"/>
      <c r="K143" s="1"/>
    </row>
    <row r="144" spans="3:11">
      <c r="C144" s="1"/>
      <c r="D144" s="1"/>
      <c r="E144" s="1"/>
      <c r="F144" s="1"/>
      <c r="J144" s="1"/>
      <c r="K144" s="1"/>
    </row>
    <row r="145" spans="3:11">
      <c r="C145" s="1"/>
      <c r="D145" s="1"/>
      <c r="E145" s="1"/>
      <c r="F145" s="1"/>
      <c r="J145" s="1"/>
      <c r="K145" s="1"/>
    </row>
    <row r="146" spans="3:11">
      <c r="C146" s="1"/>
      <c r="D146" s="1"/>
      <c r="E146" s="1"/>
      <c r="F146" s="1"/>
      <c r="J146" s="1"/>
      <c r="K146" s="1"/>
    </row>
    <row r="147" spans="3:11">
      <c r="C147" s="1"/>
      <c r="D147" s="1"/>
      <c r="E147" s="1"/>
      <c r="F147" s="1"/>
      <c r="J147" s="1"/>
      <c r="K147" s="1"/>
    </row>
    <row r="148" spans="3:11">
      <c r="C148" s="1"/>
      <c r="D148" s="1"/>
      <c r="E148" s="1"/>
      <c r="F148" s="1"/>
      <c r="J148" s="1"/>
      <c r="K148" s="1"/>
    </row>
    <row r="149" spans="3:11">
      <c r="C149" s="1"/>
      <c r="D149" s="1"/>
      <c r="E149" s="1"/>
      <c r="F149" s="1"/>
      <c r="J149" s="1"/>
      <c r="K149" s="1"/>
    </row>
    <row r="150" spans="3:11">
      <c r="C150" s="1"/>
      <c r="D150" s="1"/>
      <c r="E150" s="1"/>
      <c r="F150" s="1"/>
      <c r="J150" s="1"/>
      <c r="K150" s="1"/>
    </row>
    <row r="151" spans="3:11">
      <c r="C151" s="1"/>
      <c r="D151" s="1"/>
      <c r="E151" s="1"/>
      <c r="F151" s="1"/>
      <c r="J151" s="1"/>
      <c r="K151" s="1"/>
    </row>
    <row r="152" spans="3:11">
      <c r="C152" s="1"/>
      <c r="D152" s="1"/>
      <c r="E152" s="1"/>
      <c r="F152" s="1"/>
      <c r="J152" s="1"/>
      <c r="K152" s="1"/>
    </row>
    <row r="153" spans="3:11">
      <c r="C153" s="1"/>
      <c r="D153" s="1"/>
      <c r="E153" s="1"/>
      <c r="F153" s="1"/>
      <c r="J153" s="1"/>
      <c r="K153" s="1"/>
    </row>
    <row r="154" spans="3:11">
      <c r="C154" s="1"/>
      <c r="D154" s="1"/>
      <c r="E154" s="1"/>
      <c r="F154" s="1"/>
      <c r="J154" s="1"/>
      <c r="K154" s="1"/>
    </row>
    <row r="155" spans="3:11">
      <c r="C155" s="1"/>
      <c r="D155" s="1"/>
      <c r="E155" s="1"/>
      <c r="F155" s="1"/>
      <c r="J155" s="1"/>
      <c r="K155" s="1"/>
    </row>
    <row r="156" spans="3:11">
      <c r="C156" s="1"/>
      <c r="D156" s="1"/>
      <c r="E156" s="1"/>
      <c r="F156" s="1"/>
      <c r="J156" s="1"/>
      <c r="K156" s="1"/>
    </row>
    <row r="157" spans="3:11">
      <c r="C157" s="1"/>
      <c r="D157" s="1"/>
      <c r="E157" s="1"/>
      <c r="F157" s="1"/>
      <c r="J157" s="1"/>
      <c r="K157" s="1"/>
    </row>
    <row r="158" spans="3:11">
      <c r="C158" s="1"/>
      <c r="D158" s="1"/>
      <c r="E158" s="1"/>
      <c r="F158" s="1"/>
      <c r="J158" s="1"/>
      <c r="K158" s="1"/>
    </row>
    <row r="159" spans="3:11">
      <c r="C159" s="1"/>
      <c r="D159" s="1"/>
      <c r="E159" s="1"/>
      <c r="F159" s="1"/>
      <c r="J159" s="1"/>
      <c r="K159" s="1"/>
    </row>
    <row r="160" spans="3:11">
      <c r="C160" s="1"/>
      <c r="D160" s="1"/>
      <c r="E160" s="1"/>
      <c r="F160" s="1"/>
      <c r="J160" s="1"/>
      <c r="K160" s="1"/>
    </row>
    <row r="161" spans="3:11">
      <c r="C161" s="1"/>
      <c r="D161" s="1"/>
      <c r="E161" s="1"/>
      <c r="F161" s="1"/>
      <c r="J161" s="1"/>
      <c r="K161" s="1"/>
    </row>
    <row r="162" spans="3:11">
      <c r="C162" s="1"/>
      <c r="D162" s="1"/>
      <c r="E162" s="1"/>
      <c r="F162" s="1"/>
      <c r="J162" s="1"/>
      <c r="K162" s="1"/>
    </row>
    <row r="163" spans="3:11">
      <c r="C163" s="1"/>
      <c r="D163" s="1"/>
      <c r="E163" s="1"/>
      <c r="F163" s="1"/>
      <c r="J163" s="1"/>
      <c r="K163" s="1"/>
    </row>
    <row r="164" spans="3:11">
      <c r="C164" s="1"/>
      <c r="D164" s="1"/>
      <c r="E164" s="1"/>
      <c r="F164" s="1"/>
      <c r="J164" s="1"/>
      <c r="K164" s="1"/>
    </row>
    <row r="165" spans="3:11">
      <c r="C165" s="1"/>
      <c r="D165" s="1"/>
      <c r="E165" s="1"/>
      <c r="F165" s="1"/>
      <c r="J165" s="1"/>
      <c r="K165" s="1"/>
    </row>
    <row r="166" spans="3:11">
      <c r="C166" s="1"/>
      <c r="D166" s="1"/>
      <c r="E166" s="1"/>
      <c r="F166" s="1"/>
      <c r="J166" s="1"/>
      <c r="K166" s="1"/>
    </row>
    <row r="167" spans="3:11">
      <c r="C167" s="1"/>
      <c r="D167" s="1"/>
      <c r="E167" s="1"/>
      <c r="F167" s="1"/>
      <c r="J167" s="1"/>
      <c r="K167" s="1"/>
    </row>
    <row r="168" spans="3:11">
      <c r="C168" s="1"/>
      <c r="D168" s="1"/>
      <c r="E168" s="1"/>
      <c r="F168" s="1"/>
      <c r="J168" s="1"/>
      <c r="K168" s="1"/>
    </row>
    <row r="169" spans="3:11">
      <c r="C169" s="1"/>
      <c r="D169" s="1"/>
      <c r="E169" s="1"/>
      <c r="F169" s="1"/>
      <c r="J169" s="1"/>
      <c r="K169" s="1"/>
    </row>
    <row r="170" spans="3:11">
      <c r="C170" s="1"/>
      <c r="D170" s="1"/>
      <c r="E170" s="1"/>
      <c r="F170" s="1"/>
      <c r="J170" s="1"/>
      <c r="K170" s="1"/>
    </row>
    <row r="171" spans="3:11">
      <c r="C171" s="1"/>
      <c r="D171" s="1"/>
      <c r="E171" s="1"/>
      <c r="F171" s="1"/>
      <c r="J171" s="1"/>
      <c r="K171" s="1"/>
    </row>
    <row r="172" spans="3:11">
      <c r="C172" s="1"/>
      <c r="D172" s="1"/>
      <c r="E172" s="1"/>
      <c r="F172" s="1"/>
      <c r="J172" s="1"/>
      <c r="K172" s="1"/>
    </row>
    <row r="173" spans="3:11">
      <c r="C173" s="1"/>
      <c r="D173" s="1"/>
      <c r="E173" s="1"/>
      <c r="F173" s="1"/>
      <c r="J173" s="1"/>
      <c r="K173" s="1"/>
    </row>
    <row r="174" spans="3:11">
      <c r="C174" s="1"/>
      <c r="D174" s="1"/>
      <c r="E174" s="1"/>
      <c r="F174" s="1"/>
      <c r="J174" s="1"/>
      <c r="K174" s="1"/>
    </row>
    <row r="175" spans="3:11">
      <c r="C175" s="1"/>
      <c r="D175" s="1"/>
      <c r="E175" s="1"/>
      <c r="F175" s="1"/>
      <c r="J175" s="1"/>
      <c r="K175" s="1"/>
    </row>
    <row r="176" spans="3:11">
      <c r="C176" s="1"/>
      <c r="D176" s="1"/>
      <c r="E176" s="1"/>
      <c r="F176" s="1"/>
      <c r="J176" s="1"/>
      <c r="K176" s="1"/>
    </row>
    <row r="177" spans="3:11">
      <c r="C177" s="1"/>
      <c r="D177" s="1"/>
      <c r="E177" s="1"/>
      <c r="F177" s="1"/>
      <c r="J177" s="1"/>
      <c r="K177" s="1"/>
    </row>
    <row r="178" spans="3:11">
      <c r="C178" s="1"/>
      <c r="D178" s="1"/>
      <c r="E178" s="1"/>
      <c r="F178" s="1"/>
      <c r="J178" s="1"/>
      <c r="K178" s="1"/>
    </row>
    <row r="179" spans="3:11">
      <c r="C179" s="1"/>
      <c r="D179" s="1"/>
      <c r="E179" s="1"/>
      <c r="F179" s="1"/>
      <c r="J179" s="1"/>
      <c r="K179" s="1"/>
    </row>
    <row r="180" spans="3:11">
      <c r="C180" s="1"/>
      <c r="D180" s="1"/>
      <c r="E180" s="1"/>
      <c r="F180" s="1"/>
      <c r="J180" s="1"/>
      <c r="K180" s="1"/>
    </row>
    <row r="181" spans="3:11">
      <c r="C181" s="1"/>
      <c r="D181" s="1"/>
      <c r="E181" s="1"/>
      <c r="F181" s="1"/>
      <c r="J181" s="1"/>
      <c r="K181" s="1"/>
    </row>
    <row r="182" spans="3:11">
      <c r="C182" s="1"/>
      <c r="D182" s="1"/>
      <c r="E182" s="1"/>
      <c r="F182" s="1"/>
      <c r="J182" s="1"/>
      <c r="K182" s="1"/>
    </row>
    <row r="183" spans="3:11">
      <c r="C183" s="1"/>
      <c r="D183" s="1"/>
      <c r="E183" s="1"/>
      <c r="F183" s="1"/>
      <c r="J183" s="1"/>
      <c r="K183" s="1"/>
    </row>
    <row r="184" spans="3:11">
      <c r="C184" s="1"/>
      <c r="D184" s="1"/>
      <c r="E184" s="1"/>
      <c r="F184" s="1"/>
      <c r="J184" s="1"/>
      <c r="K184" s="1"/>
    </row>
    <row r="185" spans="3:11">
      <c r="C185" s="1"/>
      <c r="D185" s="1"/>
      <c r="E185" s="1"/>
      <c r="F185" s="1"/>
      <c r="J185" s="1"/>
      <c r="K185" s="1"/>
    </row>
    <row r="186" spans="3:11">
      <c r="C186" s="1"/>
      <c r="D186" s="1"/>
      <c r="E186" s="1"/>
      <c r="F186" s="1"/>
      <c r="J186" s="1"/>
      <c r="K186" s="1"/>
    </row>
    <row r="187" spans="3:11">
      <c r="C187" s="1"/>
      <c r="D187" s="1"/>
      <c r="E187" s="1"/>
      <c r="F187" s="1"/>
      <c r="J187" s="1"/>
      <c r="K187" s="1"/>
    </row>
    <row r="188" spans="3:11">
      <c r="C188" s="1"/>
      <c r="D188" s="1"/>
      <c r="E188" s="1"/>
      <c r="F188" s="1"/>
      <c r="J188" s="1"/>
      <c r="K188" s="1"/>
    </row>
    <row r="189" spans="3:11">
      <c r="C189" s="1"/>
      <c r="D189" s="1"/>
      <c r="E189" s="1"/>
      <c r="F189" s="1"/>
      <c r="J189" s="1"/>
      <c r="K189" s="1"/>
    </row>
    <row r="190" spans="3:11">
      <c r="C190" s="1"/>
      <c r="D190" s="1"/>
      <c r="E190" s="1"/>
      <c r="F190" s="1"/>
      <c r="J190" s="1"/>
      <c r="K190" s="1"/>
    </row>
    <row r="191" spans="3:11">
      <c r="C191" s="1"/>
      <c r="D191" s="1"/>
      <c r="E191" s="1"/>
      <c r="F191" s="1"/>
      <c r="J191" s="1"/>
      <c r="K191" s="1"/>
    </row>
    <row r="192" spans="3:11">
      <c r="C192" s="1"/>
      <c r="D192" s="1"/>
      <c r="E192" s="1"/>
      <c r="F192" s="1"/>
      <c r="J192" s="1"/>
      <c r="K192" s="1"/>
    </row>
    <row r="193" spans="3:11">
      <c r="C193" s="1"/>
      <c r="D193" s="1"/>
      <c r="E193" s="1"/>
      <c r="F193" s="1"/>
      <c r="J193" s="1"/>
      <c r="K193" s="1"/>
    </row>
    <row r="194" spans="3:11">
      <c r="C194" s="1"/>
      <c r="D194" s="1"/>
      <c r="E194" s="1"/>
      <c r="F194" s="1"/>
      <c r="J194" s="1"/>
      <c r="K194" s="1"/>
    </row>
    <row r="195" spans="3:11">
      <c r="C195" s="1"/>
      <c r="D195" s="1"/>
      <c r="E195" s="1"/>
      <c r="F195" s="1"/>
      <c r="J195" s="1"/>
      <c r="K195" s="1"/>
    </row>
    <row r="196" spans="3:11">
      <c r="C196" s="1"/>
      <c r="D196" s="1"/>
      <c r="E196" s="1"/>
      <c r="F196" s="1"/>
      <c r="J196" s="1"/>
      <c r="K196" s="1"/>
    </row>
    <row r="197" spans="3:11">
      <c r="C197" s="1"/>
      <c r="D197" s="1"/>
      <c r="E197" s="1"/>
      <c r="F197" s="1"/>
      <c r="J197" s="1"/>
      <c r="K197" s="1"/>
    </row>
    <row r="198" spans="3:11">
      <c r="C198" s="1"/>
      <c r="D198" s="1"/>
      <c r="E198" s="1"/>
      <c r="F198" s="1"/>
      <c r="J198" s="1"/>
      <c r="K198" s="1"/>
    </row>
    <row r="199" spans="3:11">
      <c r="C199" s="1"/>
      <c r="D199" s="1"/>
      <c r="E199" s="1"/>
      <c r="F199" s="1"/>
      <c r="J199" s="1"/>
      <c r="K199" s="1"/>
    </row>
    <row r="200" spans="3:11">
      <c r="C200" s="1"/>
      <c r="D200" s="1"/>
      <c r="E200" s="1"/>
      <c r="F200" s="1"/>
      <c r="J200" s="1"/>
      <c r="K200" s="1"/>
    </row>
    <row r="201" spans="3:11">
      <c r="C201" s="1"/>
      <c r="D201" s="1"/>
      <c r="E201" s="1"/>
      <c r="F201" s="1"/>
      <c r="J201" s="1"/>
      <c r="K201" s="1"/>
    </row>
    <row r="202" spans="3:11">
      <c r="C202" s="1"/>
      <c r="D202" s="1"/>
      <c r="E202" s="1"/>
      <c r="F202" s="1"/>
      <c r="J202" s="1"/>
      <c r="K202" s="1"/>
    </row>
    <row r="203" spans="3:11">
      <c r="C203" s="1"/>
      <c r="D203" s="1"/>
      <c r="E203" s="1"/>
      <c r="F203" s="1"/>
      <c r="J203" s="1"/>
      <c r="K203" s="1"/>
    </row>
    <row r="204" spans="3:11">
      <c r="C204" s="1"/>
      <c r="D204" s="1"/>
      <c r="E204" s="1"/>
      <c r="F204" s="1"/>
      <c r="J204" s="1"/>
      <c r="K204" s="1"/>
    </row>
    <row r="205" spans="3:11">
      <c r="C205" s="1"/>
      <c r="D205" s="1"/>
      <c r="E205" s="1"/>
      <c r="F205" s="1"/>
      <c r="J205" s="1"/>
      <c r="K205" s="1"/>
    </row>
    <row r="206" spans="3:11">
      <c r="C206" s="1"/>
      <c r="D206" s="1"/>
      <c r="E206" s="1"/>
      <c r="F206" s="1"/>
      <c r="J206" s="1"/>
      <c r="K206" s="1"/>
    </row>
    <row r="207" spans="3:11">
      <c r="C207" s="1"/>
      <c r="D207" s="1"/>
      <c r="E207" s="1"/>
      <c r="F207" s="1"/>
      <c r="J207" s="1"/>
      <c r="K207" s="1"/>
    </row>
    <row r="208" spans="3:11">
      <c r="C208" s="1"/>
      <c r="D208" s="1"/>
      <c r="E208" s="1"/>
      <c r="F208" s="1"/>
      <c r="J208" s="1"/>
      <c r="K208" s="1"/>
    </row>
    <row r="209" spans="3:11">
      <c r="C209" s="1"/>
      <c r="D209" s="1"/>
      <c r="E209" s="1"/>
      <c r="F209" s="1"/>
      <c r="J209" s="1"/>
      <c r="K209" s="1"/>
    </row>
    <row r="210" spans="3:11">
      <c r="C210" s="1"/>
      <c r="D210" s="1"/>
      <c r="E210" s="1"/>
      <c r="F210" s="1"/>
      <c r="J210" s="1"/>
      <c r="K210" s="1"/>
    </row>
    <row r="211" spans="3:11">
      <c r="C211" s="1"/>
      <c r="D211" s="1"/>
      <c r="E211" s="1"/>
      <c r="F211" s="1"/>
      <c r="J211" s="1"/>
      <c r="K211" s="1"/>
    </row>
    <row r="212" spans="3:11">
      <c r="C212" s="1"/>
      <c r="D212" s="1"/>
      <c r="E212" s="1"/>
      <c r="F212" s="1"/>
      <c r="J212" s="1"/>
      <c r="K212" s="1"/>
    </row>
    <row r="213" spans="3:11">
      <c r="C213" s="1"/>
      <c r="D213" s="1"/>
      <c r="E213" s="1"/>
      <c r="F213" s="1"/>
      <c r="J213" s="1"/>
      <c r="K213" s="1"/>
    </row>
    <row r="214" spans="3:11">
      <c r="C214" s="1"/>
      <c r="D214" s="1"/>
      <c r="E214" s="1"/>
      <c r="F214" s="1"/>
      <c r="J214" s="1"/>
      <c r="K214" s="1"/>
    </row>
    <row r="215" spans="3:11">
      <c r="C215" s="1"/>
      <c r="D215" s="1"/>
      <c r="E215" s="1"/>
      <c r="F215" s="1"/>
      <c r="J215" s="1"/>
      <c r="K215" s="1"/>
    </row>
    <row r="216" spans="3:11">
      <c r="C216" s="1"/>
      <c r="D216" s="1"/>
      <c r="E216" s="1"/>
      <c r="F216" s="1"/>
      <c r="J216" s="1"/>
      <c r="K216" s="1"/>
    </row>
    <row r="217" spans="3:11">
      <c r="C217" s="1"/>
      <c r="D217" s="1"/>
      <c r="E217" s="1"/>
      <c r="F217" s="1"/>
      <c r="J217" s="1"/>
      <c r="K217" s="1"/>
    </row>
    <row r="218" spans="3:11">
      <c r="C218" s="1"/>
      <c r="D218" s="1"/>
      <c r="E218" s="1"/>
      <c r="F218" s="1"/>
      <c r="J218" s="1"/>
      <c r="K218" s="1"/>
    </row>
    <row r="219" spans="3:11">
      <c r="C219" s="1"/>
      <c r="D219" s="1"/>
      <c r="E219" s="1"/>
      <c r="F219" s="1"/>
      <c r="J219" s="1"/>
      <c r="K219" s="1"/>
    </row>
    <row r="220" spans="3:11">
      <c r="C220" s="1"/>
      <c r="D220" s="1"/>
      <c r="E220" s="1"/>
      <c r="F220" s="1"/>
      <c r="J220" s="1"/>
      <c r="K220" s="1"/>
    </row>
    <row r="221" spans="3:11">
      <c r="C221" s="1"/>
      <c r="D221" s="1"/>
      <c r="E221" s="1"/>
      <c r="F221" s="1"/>
      <c r="J221" s="1"/>
      <c r="K221" s="1"/>
    </row>
    <row r="222" spans="3:11">
      <c r="C222" s="1"/>
      <c r="D222" s="1"/>
      <c r="E222" s="1"/>
      <c r="F222" s="1"/>
      <c r="J222" s="1"/>
      <c r="K222" s="1"/>
    </row>
    <row r="223" spans="3:11">
      <c r="C223" s="1"/>
      <c r="D223" s="1"/>
      <c r="E223" s="1"/>
      <c r="F223" s="1"/>
      <c r="J223" s="1"/>
      <c r="K223" s="1"/>
    </row>
    <row r="224" spans="3:11">
      <c r="C224" s="1"/>
      <c r="D224" s="1"/>
      <c r="E224" s="1"/>
      <c r="F224" s="1"/>
      <c r="J224" s="1"/>
      <c r="K224" s="1"/>
    </row>
    <row r="225" spans="3:11">
      <c r="C225" s="1"/>
      <c r="D225" s="1"/>
      <c r="E225" s="1"/>
      <c r="F225" s="1"/>
      <c r="J225" s="1"/>
      <c r="K225" s="1"/>
    </row>
    <row r="226" spans="3:11">
      <c r="C226" s="1"/>
      <c r="D226" s="1"/>
      <c r="E226" s="1"/>
      <c r="F226" s="1"/>
      <c r="J226" s="1"/>
      <c r="K226" s="1"/>
    </row>
    <row r="227" spans="3:11">
      <c r="C227" s="1"/>
      <c r="D227" s="1"/>
      <c r="E227" s="1"/>
      <c r="F227" s="1"/>
      <c r="J227" s="1"/>
      <c r="K227" s="1"/>
    </row>
    <row r="228" spans="3:11">
      <c r="C228" s="1"/>
      <c r="D228" s="1"/>
      <c r="E228" s="1"/>
      <c r="F228" s="1"/>
      <c r="J228" s="1"/>
      <c r="K228" s="1"/>
    </row>
    <row r="229" spans="3:11">
      <c r="C229" s="1"/>
      <c r="D229" s="1"/>
      <c r="E229" s="1"/>
      <c r="F229" s="1"/>
      <c r="J229" s="1"/>
      <c r="K229" s="1"/>
    </row>
    <row r="230" spans="3:11">
      <c r="C230" s="1"/>
      <c r="D230" s="1"/>
      <c r="E230" s="1"/>
      <c r="F230" s="1"/>
      <c r="J230" s="1"/>
      <c r="K230" s="1"/>
    </row>
    <row r="231" spans="3:11">
      <c r="C231" s="1"/>
      <c r="D231" s="1"/>
      <c r="E231" s="1"/>
      <c r="F231" s="1"/>
      <c r="J231" s="1"/>
      <c r="K231" s="1"/>
    </row>
    <row r="232" spans="3:11">
      <c r="C232" s="1"/>
      <c r="D232" s="1"/>
      <c r="E232" s="1"/>
      <c r="F232" s="1"/>
      <c r="J232" s="1"/>
      <c r="K232" s="1"/>
    </row>
    <row r="233" spans="3:11">
      <c r="C233" s="1"/>
      <c r="D233" s="1"/>
      <c r="E233" s="1"/>
      <c r="F233" s="1"/>
      <c r="J233" s="1"/>
      <c r="K233" s="1"/>
    </row>
    <row r="234" spans="3:11">
      <c r="C234" s="1"/>
      <c r="D234" s="1"/>
      <c r="E234" s="1"/>
      <c r="F234" s="1"/>
      <c r="J234" s="1"/>
      <c r="K234" s="1"/>
    </row>
    <row r="235" spans="3:11">
      <c r="C235" s="1"/>
      <c r="D235" s="1"/>
      <c r="E235" s="1"/>
      <c r="F235" s="1"/>
      <c r="J235" s="1"/>
      <c r="K235" s="1"/>
    </row>
    <row r="236" spans="3:11">
      <c r="C236" s="1"/>
      <c r="D236" s="1"/>
      <c r="E236" s="1"/>
      <c r="F236" s="1"/>
      <c r="J236" s="1"/>
      <c r="K236" s="1"/>
    </row>
    <row r="237" spans="3:11">
      <c r="C237" s="1"/>
      <c r="D237" s="1"/>
      <c r="E237" s="1"/>
      <c r="F237" s="1"/>
      <c r="J237" s="1"/>
      <c r="K237" s="1"/>
    </row>
    <row r="238" spans="3:11">
      <c r="C238" s="1"/>
      <c r="D238" s="1"/>
      <c r="E238" s="1"/>
      <c r="F238" s="1"/>
      <c r="J238" s="1"/>
      <c r="K238" s="1"/>
    </row>
    <row r="239" spans="3:11">
      <c r="C239" s="1"/>
      <c r="D239" s="1"/>
      <c r="E239" s="1"/>
      <c r="F239" s="1"/>
      <c r="J239" s="1"/>
      <c r="K239" s="1"/>
    </row>
    <row r="240" spans="3:11">
      <c r="C240" s="1"/>
      <c r="D240" s="1"/>
      <c r="E240" s="1"/>
      <c r="F240" s="1"/>
      <c r="J240" s="1"/>
      <c r="K240" s="1"/>
    </row>
    <row r="241" spans="3:11">
      <c r="C241" s="1"/>
      <c r="D241" s="1"/>
      <c r="E241" s="1"/>
      <c r="F241" s="1"/>
      <c r="J241" s="1"/>
      <c r="K241" s="1"/>
    </row>
    <row r="242" spans="3:11">
      <c r="C242" s="1"/>
      <c r="D242" s="1"/>
      <c r="E242" s="1"/>
      <c r="F242" s="1"/>
      <c r="J242" s="1"/>
      <c r="K242" s="1"/>
    </row>
    <row r="243" spans="3:11">
      <c r="C243" s="1"/>
      <c r="D243" s="1"/>
      <c r="E243" s="1"/>
      <c r="F243" s="1"/>
      <c r="J243" s="1"/>
      <c r="K243" s="1"/>
    </row>
    <row r="244" spans="3:11">
      <c r="C244" s="1"/>
      <c r="D244" s="1"/>
      <c r="E244" s="1"/>
      <c r="F244" s="1"/>
      <c r="J244" s="1"/>
      <c r="K244" s="1"/>
    </row>
    <row r="245" spans="3:11">
      <c r="C245" s="1"/>
      <c r="D245" s="1"/>
      <c r="E245" s="1"/>
      <c r="F245" s="1"/>
      <c r="J245" s="1"/>
      <c r="K245" s="1"/>
    </row>
    <row r="246" spans="3:11">
      <c r="C246" s="1"/>
      <c r="D246" s="1"/>
      <c r="E246" s="1"/>
      <c r="F246" s="1"/>
      <c r="J246" s="1"/>
      <c r="K246" s="1"/>
    </row>
    <row r="247" spans="3:11">
      <c r="C247" s="1"/>
      <c r="D247" s="1"/>
      <c r="E247" s="1"/>
      <c r="F247" s="1"/>
      <c r="J247" s="1"/>
      <c r="K247" s="1"/>
    </row>
    <row r="248" spans="3:11">
      <c r="C248" s="1"/>
      <c r="D248" s="1"/>
      <c r="E248" s="1"/>
      <c r="F248" s="1"/>
      <c r="J248" s="1"/>
      <c r="K248" s="1"/>
    </row>
    <row r="249" spans="3:11">
      <c r="C249" s="1"/>
      <c r="D249" s="1"/>
      <c r="E249" s="1"/>
      <c r="F249" s="1"/>
      <c r="J249" s="1"/>
      <c r="K249" s="1"/>
    </row>
    <row r="250" spans="3:11">
      <c r="C250" s="1"/>
      <c r="D250" s="1"/>
      <c r="E250" s="1"/>
      <c r="F250" s="1"/>
      <c r="J250" s="1"/>
      <c r="K250" s="1"/>
    </row>
    <row r="251" spans="3:11">
      <c r="C251" s="1"/>
      <c r="D251" s="1"/>
      <c r="E251" s="1"/>
      <c r="F251" s="1"/>
      <c r="J251" s="1"/>
      <c r="K251" s="1"/>
    </row>
    <row r="252" spans="3:11">
      <c r="C252" s="1"/>
      <c r="D252" s="1"/>
      <c r="E252" s="1"/>
      <c r="F252" s="1"/>
      <c r="J252" s="1"/>
      <c r="K252" s="1"/>
    </row>
    <row r="253" spans="3:11">
      <c r="C253" s="1"/>
      <c r="D253" s="1"/>
      <c r="E253" s="1"/>
      <c r="F253" s="1"/>
      <c r="J253" s="1"/>
      <c r="K253" s="1"/>
    </row>
    <row r="254" spans="3:11">
      <c r="C254" s="1"/>
      <c r="D254" s="1"/>
      <c r="E254" s="1"/>
      <c r="F254" s="1"/>
      <c r="J254" s="1"/>
      <c r="K254" s="1"/>
    </row>
    <row r="255" spans="3:11">
      <c r="C255" s="1"/>
      <c r="D255" s="1"/>
      <c r="E255" s="1"/>
      <c r="F255" s="1"/>
      <c r="J255" s="1"/>
      <c r="K255" s="1"/>
    </row>
    <row r="256" spans="3:11">
      <c r="C256" s="1"/>
      <c r="D256" s="1"/>
      <c r="E256" s="1"/>
      <c r="F256" s="1"/>
      <c r="J256" s="1"/>
      <c r="K256" s="1"/>
    </row>
    <row r="257" spans="3:11">
      <c r="C257" s="1"/>
      <c r="D257" s="1"/>
      <c r="E257" s="1"/>
      <c r="F257" s="1"/>
      <c r="J257" s="1"/>
      <c r="K257" s="1"/>
    </row>
    <row r="258" spans="3:11">
      <c r="C258" s="1"/>
      <c r="D258" s="1"/>
      <c r="E258" s="1"/>
      <c r="F258" s="1"/>
      <c r="J258" s="1"/>
      <c r="K258" s="1"/>
    </row>
    <row r="259" spans="3:11">
      <c r="C259" s="1"/>
      <c r="D259" s="1"/>
      <c r="E259" s="1"/>
      <c r="F259" s="1"/>
      <c r="J259" s="1"/>
      <c r="K259" s="1"/>
    </row>
    <row r="260" spans="3:11">
      <c r="C260" s="1"/>
      <c r="D260" s="1"/>
      <c r="E260" s="1"/>
      <c r="F260" s="1"/>
      <c r="J260" s="1"/>
      <c r="K260" s="1"/>
    </row>
    <row r="261" spans="3:11">
      <c r="C261" s="1"/>
      <c r="D261" s="1"/>
      <c r="E261" s="1"/>
      <c r="F261" s="1"/>
      <c r="J261" s="1"/>
      <c r="K261" s="1"/>
    </row>
    <row r="262" spans="3:11">
      <c r="C262" s="1"/>
      <c r="D262" s="1"/>
      <c r="E262" s="1"/>
      <c r="F262" s="1"/>
      <c r="J262" s="1"/>
      <c r="K262" s="1"/>
    </row>
    <row r="263" spans="3:11">
      <c r="C263" s="1"/>
      <c r="D263" s="1"/>
      <c r="E263" s="1"/>
      <c r="F263" s="1"/>
      <c r="J263" s="1"/>
      <c r="K263" s="1"/>
    </row>
    <row r="264" spans="3:11">
      <c r="C264" s="1"/>
      <c r="D264" s="1"/>
      <c r="E264" s="1"/>
      <c r="F264" s="1"/>
      <c r="J264" s="1"/>
      <c r="K264" s="1"/>
    </row>
    <row r="265" spans="3:11">
      <c r="C265" s="1"/>
      <c r="D265" s="1"/>
      <c r="E265" s="1"/>
      <c r="F265" s="1"/>
      <c r="J265" s="1"/>
      <c r="K265" s="1"/>
    </row>
    <row r="266" spans="3:11">
      <c r="C266" s="1"/>
      <c r="D266" s="1"/>
      <c r="E266" s="1"/>
      <c r="F266" s="1"/>
      <c r="J266" s="1"/>
      <c r="K266" s="1"/>
    </row>
    <row r="267" spans="3:11">
      <c r="C267" s="1"/>
      <c r="D267" s="1"/>
      <c r="E267" s="1"/>
      <c r="F267" s="1"/>
      <c r="J267" s="1"/>
      <c r="K267" s="1"/>
    </row>
    <row r="268" spans="3:11">
      <c r="C268" s="1"/>
      <c r="D268" s="1"/>
      <c r="E268" s="1"/>
      <c r="F268" s="1"/>
      <c r="J268" s="1"/>
      <c r="K268" s="1"/>
    </row>
    <row r="269" spans="3:11">
      <c r="C269" s="1"/>
      <c r="D269" s="1"/>
      <c r="E269" s="1"/>
      <c r="F269" s="1"/>
      <c r="J269" s="1"/>
      <c r="K269" s="1"/>
    </row>
    <row r="270" spans="3:11">
      <c r="C270" s="1"/>
      <c r="D270" s="1"/>
      <c r="E270" s="1"/>
      <c r="F270" s="1"/>
      <c r="J270" s="1"/>
      <c r="K270" s="1"/>
    </row>
    <row r="271" spans="3:11">
      <c r="C271" s="1"/>
      <c r="D271" s="1"/>
      <c r="E271" s="1"/>
      <c r="F271" s="1"/>
      <c r="J271" s="1"/>
      <c r="K271" s="1"/>
    </row>
    <row r="272" spans="3:11">
      <c r="C272" s="1"/>
      <c r="D272" s="1"/>
      <c r="E272" s="1"/>
      <c r="F272" s="1"/>
      <c r="J272" s="1"/>
      <c r="K272" s="1"/>
    </row>
    <row r="273" spans="3:11">
      <c r="C273" s="1"/>
      <c r="D273" s="1"/>
      <c r="E273" s="1"/>
      <c r="F273" s="1"/>
      <c r="J273" s="1"/>
      <c r="K273" s="1"/>
    </row>
    <row r="274" spans="3:11">
      <c r="C274" s="1"/>
      <c r="D274" s="1"/>
      <c r="E274" s="1"/>
      <c r="F274" s="1"/>
      <c r="J274" s="1"/>
      <c r="K274" s="1"/>
    </row>
    <row r="275" spans="3:11">
      <c r="C275" s="1"/>
      <c r="D275" s="1"/>
      <c r="E275" s="1"/>
      <c r="F275" s="1"/>
      <c r="J275" s="1"/>
      <c r="K275" s="1"/>
    </row>
    <row r="276" spans="3:11">
      <c r="C276" s="1"/>
      <c r="D276" s="1"/>
      <c r="E276" s="1"/>
      <c r="F276" s="1"/>
      <c r="J276" s="1"/>
      <c r="K276" s="1"/>
    </row>
    <row r="277" spans="3:11">
      <c r="C277" s="1"/>
      <c r="D277" s="1"/>
      <c r="E277" s="1"/>
      <c r="F277" s="1"/>
      <c r="J277" s="1"/>
      <c r="K277" s="1"/>
    </row>
    <row r="278" spans="3:11">
      <c r="C278" s="1"/>
      <c r="D278" s="1"/>
      <c r="E278" s="1"/>
      <c r="F278" s="1"/>
      <c r="J278" s="1"/>
      <c r="K278" s="1"/>
    </row>
    <row r="279" spans="3:11">
      <c r="C279" s="1"/>
      <c r="D279" s="1"/>
      <c r="E279" s="1"/>
      <c r="F279" s="1"/>
      <c r="J279" s="1"/>
      <c r="K279" s="1"/>
    </row>
    <row r="280" spans="3:11">
      <c r="C280" s="1"/>
      <c r="D280" s="1"/>
      <c r="E280" s="1"/>
      <c r="F280" s="1"/>
      <c r="J280" s="1"/>
      <c r="K280" s="1"/>
    </row>
    <row r="281" spans="3:11">
      <c r="C281" s="1"/>
      <c r="D281" s="1"/>
      <c r="E281" s="1"/>
      <c r="F281" s="1"/>
      <c r="J281" s="1"/>
      <c r="K281" s="1"/>
    </row>
    <row r="282" spans="3:11">
      <c r="C282" s="1"/>
      <c r="D282" s="1"/>
      <c r="E282" s="1"/>
      <c r="F282" s="1"/>
      <c r="J282" s="1"/>
      <c r="K282" s="1"/>
    </row>
    <row r="283" spans="3:11">
      <c r="C283" s="1"/>
      <c r="D283" s="1"/>
      <c r="E283" s="1"/>
      <c r="F283" s="1"/>
      <c r="J283" s="1"/>
      <c r="K283" s="1"/>
    </row>
    <row r="284" spans="3:11">
      <c r="C284" s="1"/>
      <c r="D284" s="1"/>
      <c r="E284" s="1"/>
      <c r="F284" s="1"/>
      <c r="J284" s="1"/>
      <c r="K284" s="1"/>
    </row>
    <row r="285" spans="3:11">
      <c r="C285" s="1"/>
      <c r="D285" s="1"/>
      <c r="E285" s="1"/>
      <c r="F285" s="1"/>
      <c r="J285" s="1"/>
      <c r="K285" s="1"/>
    </row>
    <row r="286" spans="3:11">
      <c r="C286" s="1"/>
      <c r="D286" s="1"/>
      <c r="E286" s="1"/>
      <c r="F286" s="1"/>
      <c r="J286" s="1"/>
      <c r="K286" s="1"/>
    </row>
    <row r="287" spans="3:11">
      <c r="C287" s="1"/>
      <c r="D287" s="1"/>
      <c r="E287" s="1"/>
      <c r="F287" s="1"/>
      <c r="J287" s="1"/>
      <c r="K287" s="1"/>
    </row>
    <row r="288" spans="3:11">
      <c r="C288" s="1"/>
      <c r="D288" s="1"/>
      <c r="E288" s="1"/>
      <c r="F288" s="1"/>
      <c r="J288" s="1"/>
      <c r="K288" s="1"/>
    </row>
    <row r="289" spans="3:11">
      <c r="C289" s="1"/>
      <c r="D289" s="1"/>
      <c r="E289" s="1"/>
      <c r="F289" s="1"/>
      <c r="J289" s="1"/>
      <c r="K289" s="1"/>
    </row>
    <row r="290" spans="3:11">
      <c r="C290" s="1"/>
      <c r="D290" s="1"/>
      <c r="E290" s="1"/>
      <c r="F290" s="1"/>
      <c r="J290" s="1"/>
      <c r="K290" s="1"/>
    </row>
    <row r="291" spans="3:11">
      <c r="C291" s="1"/>
      <c r="D291" s="1"/>
      <c r="E291" s="1"/>
      <c r="F291" s="1"/>
      <c r="J291" s="1"/>
      <c r="K291" s="1"/>
    </row>
    <row r="292" spans="3:11">
      <c r="C292" s="1"/>
      <c r="D292" s="1"/>
      <c r="E292" s="1"/>
      <c r="F292" s="1"/>
      <c r="J292" s="1"/>
      <c r="K292" s="1"/>
    </row>
    <row r="293" spans="3:11">
      <c r="C293" s="1"/>
      <c r="D293" s="1"/>
      <c r="E293" s="1"/>
      <c r="F293" s="1"/>
      <c r="J293" s="1"/>
      <c r="K293" s="1"/>
    </row>
    <row r="294" spans="3:11">
      <c r="C294" s="1"/>
      <c r="D294" s="1"/>
      <c r="E294" s="1"/>
      <c r="F294" s="1"/>
      <c r="J294" s="1"/>
      <c r="K294" s="1"/>
    </row>
    <row r="295" spans="3:11">
      <c r="C295" s="1"/>
      <c r="D295" s="1"/>
      <c r="E295" s="1"/>
      <c r="F295" s="1"/>
      <c r="J295" s="1"/>
      <c r="K295" s="1"/>
    </row>
    <row r="296" spans="3:11">
      <c r="C296" s="1"/>
      <c r="D296" s="1"/>
      <c r="E296" s="1"/>
      <c r="F296" s="1"/>
      <c r="J296" s="1"/>
      <c r="K296" s="1"/>
    </row>
    <row r="297" spans="3:11">
      <c r="C297" s="1"/>
      <c r="D297" s="1"/>
      <c r="E297" s="1"/>
      <c r="F297" s="1"/>
      <c r="J297" s="1"/>
      <c r="K297" s="1"/>
    </row>
    <row r="298" spans="3:11">
      <c r="C298" s="1"/>
      <c r="D298" s="1"/>
      <c r="E298" s="1"/>
      <c r="F298" s="1"/>
      <c r="J298" s="1"/>
      <c r="K298" s="1"/>
    </row>
    <row r="299" spans="3:11">
      <c r="C299" s="1"/>
      <c r="D299" s="1"/>
      <c r="E299" s="1"/>
      <c r="F299" s="1"/>
      <c r="J299" s="1"/>
      <c r="K299" s="1"/>
    </row>
    <row r="300" spans="3:11">
      <c r="C300" s="1"/>
      <c r="D300" s="1"/>
      <c r="E300" s="1"/>
      <c r="F300" s="1"/>
      <c r="J300" s="1"/>
      <c r="K300" s="1"/>
    </row>
    <row r="301" spans="3:11">
      <c r="C301" s="1"/>
      <c r="D301" s="1"/>
      <c r="E301" s="1"/>
      <c r="F301" s="1"/>
      <c r="J301" s="1"/>
      <c r="K301" s="1"/>
    </row>
    <row r="302" spans="3:11">
      <c r="C302" s="1"/>
      <c r="D302" s="1"/>
      <c r="E302" s="1"/>
      <c r="F302" s="1"/>
      <c r="J302" s="1"/>
      <c r="K302" s="1"/>
    </row>
    <row r="303" spans="3:11">
      <c r="C303" s="1"/>
      <c r="D303" s="1"/>
      <c r="E303" s="1"/>
      <c r="F303" s="1"/>
      <c r="J303" s="1"/>
      <c r="K303" s="1"/>
    </row>
    <row r="304" spans="3:11">
      <c r="C304" s="1"/>
      <c r="D304" s="1"/>
      <c r="E304" s="1"/>
      <c r="F304" s="1"/>
      <c r="J304" s="1"/>
      <c r="K304" s="1"/>
    </row>
    <row r="305" spans="3:11">
      <c r="C305" s="1"/>
      <c r="D305" s="1"/>
      <c r="E305" s="1"/>
      <c r="F305" s="1"/>
      <c r="J305" s="1"/>
      <c r="K305" s="1"/>
    </row>
    <row r="306" spans="3:11">
      <c r="C306" s="1"/>
      <c r="D306" s="1"/>
      <c r="E306" s="1"/>
      <c r="F306" s="1"/>
      <c r="J306" s="1"/>
      <c r="K306" s="1"/>
    </row>
    <row r="307" spans="3:11">
      <c r="C307" s="1"/>
      <c r="D307" s="1"/>
      <c r="E307" s="1"/>
      <c r="F307" s="1"/>
      <c r="J307" s="1"/>
      <c r="K307" s="1"/>
    </row>
    <row r="308" spans="3:11">
      <c r="C308" s="1"/>
      <c r="D308" s="1"/>
      <c r="E308" s="1"/>
      <c r="F308" s="1"/>
      <c r="J308" s="1"/>
      <c r="K308" s="1"/>
    </row>
    <row r="309" spans="3:11">
      <c r="C309" s="1"/>
      <c r="D309" s="1"/>
      <c r="E309" s="1"/>
      <c r="F309" s="1"/>
      <c r="J309" s="1"/>
      <c r="K309" s="1"/>
    </row>
    <row r="310" spans="3:11">
      <c r="C310" s="1"/>
      <c r="D310" s="1"/>
      <c r="E310" s="1"/>
      <c r="F310" s="1"/>
      <c r="J310" s="1"/>
      <c r="K310" s="1"/>
    </row>
    <row r="311" spans="3:11">
      <c r="C311" s="1"/>
      <c r="D311" s="1"/>
      <c r="E311" s="1"/>
      <c r="F311" s="1"/>
      <c r="J311" s="1"/>
      <c r="K311" s="1"/>
    </row>
    <row r="312" spans="3:11">
      <c r="C312" s="1"/>
      <c r="D312" s="1"/>
      <c r="E312" s="1"/>
      <c r="F312" s="1"/>
      <c r="J312" s="1"/>
      <c r="K312" s="1"/>
    </row>
    <row r="313" spans="3:11">
      <c r="C313" s="1"/>
      <c r="D313" s="1"/>
      <c r="E313" s="1"/>
      <c r="F313" s="1"/>
      <c r="J313" s="1"/>
      <c r="K313" s="1"/>
    </row>
    <row r="314" spans="3:11">
      <c r="C314" s="1"/>
      <c r="D314" s="1"/>
      <c r="E314" s="1"/>
      <c r="F314" s="1"/>
      <c r="J314" s="1"/>
      <c r="K314" s="1"/>
    </row>
    <row r="315" spans="3:11">
      <c r="C315" s="1"/>
      <c r="D315" s="1"/>
      <c r="E315" s="1"/>
      <c r="F315" s="1"/>
      <c r="J315" s="1"/>
      <c r="K315" s="1"/>
    </row>
    <row r="316" spans="3:11">
      <c r="C316" s="1"/>
      <c r="D316" s="1"/>
      <c r="E316" s="1"/>
      <c r="F316" s="1"/>
      <c r="J316" s="1"/>
      <c r="K316" s="1"/>
    </row>
    <row r="317" spans="3:11">
      <c r="C317" s="1"/>
      <c r="D317" s="1"/>
      <c r="E317" s="1"/>
      <c r="F317" s="1"/>
      <c r="J317" s="1"/>
      <c r="K317" s="1"/>
    </row>
    <row r="318" spans="3:11">
      <c r="C318" s="1"/>
      <c r="D318" s="1"/>
      <c r="E318" s="1"/>
      <c r="F318" s="1"/>
      <c r="J318" s="1"/>
      <c r="K318" s="1"/>
    </row>
    <row r="319" spans="3:11">
      <c r="C319" s="1"/>
      <c r="D319" s="1"/>
      <c r="E319" s="1"/>
      <c r="F319" s="1"/>
      <c r="J319" s="1"/>
      <c r="K319" s="1"/>
    </row>
    <row r="320" spans="3:11">
      <c r="C320" s="1"/>
      <c r="D320" s="1"/>
      <c r="E320" s="1"/>
      <c r="F320" s="1"/>
      <c r="J320" s="1"/>
      <c r="K320" s="1"/>
    </row>
    <row r="321" spans="3:11">
      <c r="C321" s="1"/>
      <c r="D321" s="1"/>
      <c r="E321" s="1"/>
      <c r="F321" s="1"/>
      <c r="J321" s="1"/>
      <c r="K321" s="1"/>
    </row>
    <row r="322" spans="3:11">
      <c r="C322" s="1"/>
      <c r="D322" s="1"/>
      <c r="E322" s="1"/>
      <c r="F322" s="1"/>
      <c r="J322" s="1"/>
      <c r="K322" s="1"/>
    </row>
    <row r="323" spans="3:11">
      <c r="C323" s="1"/>
      <c r="D323" s="1"/>
      <c r="E323" s="1"/>
      <c r="F323" s="1"/>
      <c r="J323" s="1"/>
      <c r="K323" s="1"/>
    </row>
    <row r="324" spans="3:11">
      <c r="C324" s="1"/>
      <c r="D324" s="1"/>
      <c r="E324" s="1"/>
      <c r="F324" s="1"/>
      <c r="J324" s="1"/>
      <c r="K324" s="1"/>
    </row>
    <row r="325" spans="3:11">
      <c r="C325" s="1"/>
      <c r="D325" s="1"/>
      <c r="E325" s="1"/>
      <c r="F325" s="1"/>
      <c r="J325" s="1"/>
      <c r="K325" s="1"/>
    </row>
    <row r="326" spans="3:11">
      <c r="C326" s="1"/>
      <c r="D326" s="1"/>
      <c r="E326" s="1"/>
      <c r="F326" s="1"/>
      <c r="J326" s="1"/>
      <c r="K326" s="1"/>
    </row>
    <row r="327" spans="3:11">
      <c r="C327" s="1"/>
      <c r="D327" s="1"/>
      <c r="E327" s="1"/>
      <c r="F327" s="1"/>
      <c r="J327" s="1"/>
      <c r="K327" s="1"/>
    </row>
    <row r="328" spans="3:11">
      <c r="C328" s="1"/>
      <c r="D328" s="1"/>
      <c r="E328" s="1"/>
      <c r="F328" s="1"/>
      <c r="J328" s="1"/>
      <c r="K328" s="1"/>
    </row>
    <row r="329" spans="3:11">
      <c r="C329" s="1"/>
      <c r="D329" s="1"/>
      <c r="E329" s="1"/>
      <c r="F329" s="1"/>
      <c r="J329" s="1"/>
      <c r="K329" s="1"/>
    </row>
    <row r="330" spans="3:11">
      <c r="C330" s="1"/>
      <c r="D330" s="1"/>
      <c r="E330" s="1"/>
      <c r="F330" s="1"/>
      <c r="J330" s="1"/>
      <c r="K330" s="1"/>
    </row>
    <row r="331" spans="3:11">
      <c r="C331" s="1"/>
      <c r="D331" s="1"/>
      <c r="E331" s="1"/>
      <c r="F331" s="1"/>
      <c r="J331" s="1"/>
      <c r="K331" s="1"/>
    </row>
    <row r="332" spans="3:11">
      <c r="C332" s="1"/>
      <c r="D332" s="1"/>
      <c r="E332" s="1"/>
      <c r="F332" s="1"/>
      <c r="J332" s="1"/>
      <c r="K332" s="1"/>
    </row>
    <row r="333" spans="3:11">
      <c r="C333" s="1"/>
      <c r="D333" s="1"/>
      <c r="E333" s="1"/>
      <c r="F333" s="1"/>
      <c r="J333" s="1"/>
      <c r="K333" s="1"/>
    </row>
    <row r="334" spans="3:11">
      <c r="C334" s="1"/>
      <c r="D334" s="1"/>
      <c r="E334" s="1"/>
      <c r="F334" s="1"/>
      <c r="J334" s="1"/>
      <c r="K334" s="1"/>
    </row>
    <row r="335" spans="3:11">
      <c r="C335" s="1"/>
      <c r="D335" s="1"/>
      <c r="E335" s="1"/>
      <c r="F335" s="1"/>
      <c r="J335" s="1"/>
      <c r="K335" s="1"/>
    </row>
    <row r="336" spans="3:11">
      <c r="C336" s="1"/>
      <c r="D336" s="1"/>
      <c r="E336" s="1"/>
      <c r="F336" s="1"/>
      <c r="J336" s="1"/>
      <c r="K336" s="1"/>
    </row>
    <row r="337" spans="3:11">
      <c r="C337" s="1"/>
      <c r="D337" s="1"/>
      <c r="E337" s="1"/>
      <c r="F337" s="1"/>
      <c r="J337" s="1"/>
      <c r="K337" s="1"/>
    </row>
    <row r="338" spans="3:11">
      <c r="C338" s="1"/>
      <c r="D338" s="1"/>
      <c r="E338" s="1"/>
      <c r="F338" s="1"/>
      <c r="J338" s="1"/>
      <c r="K338" s="1"/>
    </row>
    <row r="339" spans="3:11">
      <c r="C339" s="1"/>
      <c r="D339" s="1"/>
      <c r="E339" s="1"/>
      <c r="F339" s="1"/>
      <c r="J339" s="1"/>
      <c r="K339" s="1"/>
    </row>
    <row r="340" spans="3:11">
      <c r="C340" s="1"/>
      <c r="D340" s="1"/>
      <c r="E340" s="1"/>
      <c r="F340" s="1"/>
      <c r="J340" s="1"/>
      <c r="K340" s="1"/>
    </row>
    <row r="341" spans="3:11">
      <c r="C341" s="1"/>
      <c r="D341" s="1"/>
      <c r="E341" s="1"/>
      <c r="F341" s="1"/>
      <c r="J341" s="1"/>
      <c r="K341" s="1"/>
    </row>
    <row r="342" spans="3:11">
      <c r="C342" s="1"/>
      <c r="D342" s="1"/>
      <c r="E342" s="1"/>
      <c r="F342" s="1"/>
      <c r="J342" s="1"/>
      <c r="K342" s="1"/>
    </row>
    <row r="343" spans="3:11">
      <c r="C343" s="1"/>
      <c r="D343" s="1"/>
      <c r="E343" s="1"/>
      <c r="F343" s="1"/>
      <c r="J343" s="1"/>
      <c r="K343" s="1"/>
    </row>
    <row r="344" spans="3:11">
      <c r="C344" s="1"/>
      <c r="D344" s="1"/>
      <c r="E344" s="1"/>
      <c r="F344" s="1"/>
      <c r="J344" s="1"/>
      <c r="K344" s="1"/>
    </row>
    <row r="345" spans="3:11">
      <c r="C345" s="1"/>
      <c r="D345" s="1"/>
      <c r="E345" s="1"/>
      <c r="F345" s="1"/>
      <c r="J345" s="1"/>
      <c r="K345" s="1"/>
    </row>
    <row r="346" spans="3:11">
      <c r="C346" s="1"/>
      <c r="D346" s="1"/>
      <c r="E346" s="1"/>
      <c r="F346" s="1"/>
      <c r="J346" s="1"/>
      <c r="K346" s="1"/>
    </row>
    <row r="347" spans="3:11">
      <c r="C347" s="1"/>
      <c r="D347" s="1"/>
      <c r="E347" s="1"/>
      <c r="F347" s="1"/>
      <c r="J347" s="1"/>
      <c r="K347" s="1"/>
    </row>
    <row r="348" spans="3:11">
      <c r="C348" s="1"/>
      <c r="D348" s="1"/>
      <c r="E348" s="1"/>
      <c r="F348" s="1"/>
      <c r="J348" s="1"/>
      <c r="K348" s="1"/>
    </row>
    <row r="349" spans="3:11">
      <c r="C349" s="1"/>
      <c r="D349" s="1"/>
      <c r="E349" s="1"/>
      <c r="F349" s="1"/>
      <c r="J349" s="1"/>
      <c r="K349" s="1"/>
    </row>
    <row r="350" spans="3:11">
      <c r="C350" s="1"/>
      <c r="D350" s="1"/>
      <c r="E350" s="1"/>
      <c r="F350" s="1"/>
      <c r="J350" s="1"/>
      <c r="K350" s="1"/>
    </row>
    <row r="351" spans="3:11">
      <c r="C351" s="1"/>
      <c r="D351" s="1"/>
      <c r="E351" s="1"/>
      <c r="F351" s="1"/>
      <c r="J351" s="1"/>
      <c r="K351" s="1"/>
    </row>
    <row r="352" spans="3:11">
      <c r="C352" s="1"/>
      <c r="D352" s="1"/>
      <c r="E352" s="1"/>
      <c r="F352" s="1"/>
      <c r="J352" s="1"/>
      <c r="K352" s="1"/>
    </row>
    <row r="353" spans="3:11">
      <c r="C353" s="1"/>
      <c r="D353" s="1"/>
      <c r="E353" s="1"/>
      <c r="F353" s="1"/>
      <c r="J353" s="1"/>
      <c r="K353" s="1"/>
    </row>
    <row r="354" spans="3:11">
      <c r="C354" s="1"/>
      <c r="D354" s="1"/>
      <c r="E354" s="1"/>
      <c r="F354" s="1"/>
      <c r="J354" s="1"/>
      <c r="K354" s="1"/>
    </row>
    <row r="355" spans="3:11">
      <c r="C355" s="1"/>
      <c r="D355" s="1"/>
      <c r="E355" s="1"/>
      <c r="F355" s="1"/>
      <c r="J355" s="1"/>
      <c r="K355" s="1"/>
    </row>
    <row r="356" spans="3:11">
      <c r="C356" s="1"/>
      <c r="D356" s="1"/>
      <c r="E356" s="1"/>
      <c r="F356" s="1"/>
      <c r="J356" s="1"/>
      <c r="K356" s="1"/>
    </row>
    <row r="357" spans="3:11">
      <c r="C357" s="1"/>
      <c r="D357" s="1"/>
      <c r="E357" s="1"/>
      <c r="F357" s="1"/>
      <c r="J357" s="1"/>
      <c r="K357" s="1"/>
    </row>
    <row r="358" spans="3:11">
      <c r="C358" s="1"/>
      <c r="D358" s="1"/>
      <c r="E358" s="1"/>
      <c r="F358" s="1"/>
      <c r="J358" s="1"/>
      <c r="K358" s="1"/>
    </row>
    <row r="359" spans="3:11">
      <c r="C359" s="1"/>
      <c r="D359" s="1"/>
      <c r="E359" s="1"/>
      <c r="F359" s="1"/>
      <c r="J359" s="1"/>
      <c r="K359" s="1"/>
    </row>
    <row r="360" spans="3:11">
      <c r="C360" s="1"/>
      <c r="D360" s="1"/>
      <c r="E360" s="1"/>
      <c r="F360" s="1"/>
      <c r="J360" s="1"/>
      <c r="K360" s="1"/>
    </row>
    <row r="361" spans="3:11">
      <c r="C361" s="1"/>
      <c r="D361" s="1"/>
      <c r="E361" s="1"/>
      <c r="F361" s="1"/>
      <c r="J361" s="1"/>
      <c r="K361" s="1"/>
    </row>
    <row r="362" spans="3:11">
      <c r="C362" s="1"/>
      <c r="D362" s="1"/>
      <c r="E362" s="1"/>
      <c r="F362" s="1"/>
      <c r="J362" s="1"/>
      <c r="K362" s="1"/>
    </row>
    <row r="363" spans="3:11">
      <c r="C363" s="1"/>
      <c r="D363" s="1"/>
      <c r="E363" s="1"/>
      <c r="F363" s="1"/>
      <c r="J363" s="1"/>
      <c r="K363" s="1"/>
    </row>
    <row r="364" spans="3:11">
      <c r="C364" s="1"/>
      <c r="D364" s="1"/>
      <c r="E364" s="1"/>
      <c r="F364" s="1"/>
      <c r="J364" s="1"/>
      <c r="K364" s="1"/>
    </row>
    <row r="365" spans="3:11">
      <c r="C365" s="1"/>
      <c r="D365" s="1"/>
      <c r="E365" s="1"/>
      <c r="F365" s="1"/>
      <c r="J365" s="1"/>
      <c r="K365" s="1"/>
    </row>
    <row r="366" spans="3:11">
      <c r="C366" s="1"/>
      <c r="D366" s="1"/>
      <c r="E366" s="1"/>
      <c r="F366" s="1"/>
      <c r="J366" s="1"/>
      <c r="K366" s="1"/>
    </row>
    <row r="367" spans="3:11">
      <c r="C367" s="1"/>
      <c r="D367" s="1"/>
      <c r="E367" s="1"/>
      <c r="F367" s="1"/>
      <c r="J367" s="1"/>
      <c r="K367" s="1"/>
    </row>
    <row r="368" spans="3:11">
      <c r="C368" s="1"/>
      <c r="D368" s="1"/>
      <c r="E368" s="1"/>
      <c r="F368" s="1"/>
      <c r="J368" s="1"/>
      <c r="K368" s="1"/>
    </row>
    <row r="369" spans="3:11">
      <c r="C369" s="1"/>
      <c r="D369" s="1"/>
      <c r="E369" s="1"/>
      <c r="F369" s="1"/>
      <c r="J369" s="1"/>
      <c r="K369" s="1"/>
    </row>
    <row r="370" spans="3:11">
      <c r="C370" s="1"/>
      <c r="D370" s="1"/>
      <c r="E370" s="1"/>
      <c r="F370" s="1"/>
      <c r="J370" s="1"/>
      <c r="K370" s="1"/>
    </row>
    <row r="371" spans="3:11">
      <c r="C371" s="1"/>
      <c r="D371" s="1"/>
      <c r="E371" s="1"/>
      <c r="F371" s="1"/>
      <c r="J371" s="1"/>
      <c r="K371" s="1"/>
    </row>
    <row r="372" spans="3:11">
      <c r="C372" s="1"/>
      <c r="D372" s="1"/>
      <c r="E372" s="1"/>
      <c r="F372" s="1"/>
      <c r="J372" s="1"/>
      <c r="K372" s="1"/>
    </row>
    <row r="373" spans="3:11">
      <c r="C373" s="1"/>
      <c r="D373" s="1"/>
      <c r="E373" s="1"/>
      <c r="F373" s="1"/>
      <c r="J373" s="1"/>
      <c r="K373" s="1"/>
    </row>
    <row r="374" spans="3:11">
      <c r="C374" s="1"/>
      <c r="D374" s="1"/>
      <c r="E374" s="1"/>
      <c r="F374" s="1"/>
      <c r="J374" s="1"/>
      <c r="K374" s="1"/>
    </row>
    <row r="375" spans="3:11">
      <c r="C375" s="1"/>
      <c r="D375" s="1"/>
      <c r="E375" s="1"/>
      <c r="F375" s="1"/>
      <c r="J375" s="1"/>
      <c r="K375" s="1"/>
    </row>
    <row r="376" spans="3:11">
      <c r="C376" s="1"/>
      <c r="D376" s="1"/>
      <c r="E376" s="1"/>
      <c r="F376" s="1"/>
      <c r="J376" s="1"/>
      <c r="K376" s="1"/>
    </row>
    <row r="377" spans="3:11">
      <c r="C377" s="1"/>
      <c r="D377" s="1"/>
      <c r="E377" s="1"/>
      <c r="F377" s="1"/>
      <c r="J377" s="1"/>
      <c r="K377" s="1"/>
    </row>
    <row r="378" spans="3:11">
      <c r="C378" s="1"/>
      <c r="D378" s="1"/>
      <c r="E378" s="1"/>
      <c r="F378" s="1"/>
      <c r="J378" s="1"/>
      <c r="K378" s="1"/>
    </row>
    <row r="379" spans="3:11">
      <c r="C379" s="1"/>
      <c r="D379" s="1"/>
      <c r="E379" s="1"/>
      <c r="F379" s="1"/>
      <c r="J379" s="1"/>
      <c r="K379" s="1"/>
    </row>
    <row r="380" spans="3:11">
      <c r="C380" s="1"/>
      <c r="D380" s="1"/>
      <c r="E380" s="1"/>
      <c r="F380" s="1"/>
      <c r="J380" s="1"/>
      <c r="K380" s="1"/>
    </row>
    <row r="381" spans="3:11">
      <c r="C381" s="1"/>
      <c r="D381" s="1"/>
      <c r="E381" s="1"/>
      <c r="F381" s="1"/>
      <c r="J381" s="1"/>
      <c r="K381" s="1"/>
    </row>
    <row r="382" spans="3:11">
      <c r="C382" s="1"/>
      <c r="D382" s="1"/>
      <c r="E382" s="1"/>
      <c r="F382" s="1"/>
      <c r="J382" s="1"/>
      <c r="K382" s="1"/>
    </row>
    <row r="383" spans="3:11">
      <c r="C383" s="1"/>
      <c r="D383" s="1"/>
      <c r="E383" s="1"/>
      <c r="F383" s="1"/>
      <c r="J383" s="1"/>
      <c r="K383" s="1"/>
    </row>
    <row r="384" spans="3:11">
      <c r="C384" s="1"/>
      <c r="D384" s="1"/>
      <c r="E384" s="1"/>
      <c r="F384" s="1"/>
      <c r="J384" s="1"/>
      <c r="K384" s="1"/>
    </row>
    <row r="385" spans="3:11">
      <c r="C385" s="1"/>
      <c r="D385" s="1"/>
      <c r="E385" s="1"/>
      <c r="F385" s="1"/>
      <c r="J385" s="1"/>
      <c r="K385" s="1"/>
    </row>
    <row r="386" spans="3:11">
      <c r="C386" s="1"/>
      <c r="D386" s="1"/>
      <c r="E386" s="1"/>
      <c r="F386" s="1"/>
      <c r="J386" s="1"/>
      <c r="K386" s="1"/>
    </row>
    <row r="387" spans="3:11">
      <c r="C387" s="1"/>
      <c r="D387" s="1"/>
      <c r="E387" s="1"/>
      <c r="F387" s="1"/>
      <c r="J387" s="1"/>
      <c r="K387" s="1"/>
    </row>
    <row r="388" spans="3:11">
      <c r="C388" s="1"/>
      <c r="D388" s="1"/>
      <c r="E388" s="1"/>
      <c r="F388" s="1"/>
      <c r="J388" s="1"/>
      <c r="K388" s="1"/>
    </row>
    <row r="389" spans="3:11">
      <c r="C389" s="1"/>
      <c r="D389" s="1"/>
      <c r="E389" s="1"/>
      <c r="F389" s="1"/>
      <c r="J389" s="1"/>
      <c r="K389" s="1"/>
    </row>
    <row r="390" spans="3:11">
      <c r="C390" s="1"/>
      <c r="D390" s="1"/>
      <c r="E390" s="1"/>
      <c r="F390" s="1"/>
      <c r="J390" s="1"/>
      <c r="K390" s="1"/>
    </row>
    <row r="391" spans="3:11">
      <c r="C391" s="1"/>
      <c r="D391" s="1"/>
      <c r="E391" s="1"/>
      <c r="F391" s="1"/>
      <c r="J391" s="1"/>
      <c r="K391" s="1"/>
    </row>
    <row r="392" spans="3:11">
      <c r="C392" s="1"/>
      <c r="D392" s="1"/>
      <c r="E392" s="1"/>
      <c r="F392" s="1"/>
      <c r="J392" s="1"/>
      <c r="K392" s="1"/>
    </row>
    <row r="393" spans="3:11">
      <c r="C393" s="1"/>
      <c r="D393" s="1"/>
      <c r="E393" s="1"/>
      <c r="F393" s="1"/>
      <c r="J393" s="1"/>
      <c r="K393" s="1"/>
    </row>
    <row r="394" spans="3:11">
      <c r="C394" s="1"/>
      <c r="D394" s="1"/>
      <c r="E394" s="1"/>
      <c r="F394" s="1"/>
      <c r="J394" s="1"/>
      <c r="K394" s="1"/>
    </row>
    <row r="395" spans="3:11">
      <c r="C395" s="1"/>
      <c r="D395" s="1"/>
      <c r="E395" s="1"/>
      <c r="F395" s="1"/>
      <c r="J395" s="1"/>
      <c r="K395" s="1"/>
    </row>
    <row r="396" spans="3:11">
      <c r="C396" s="1"/>
      <c r="D396" s="1"/>
      <c r="E396" s="1"/>
      <c r="F396" s="1"/>
      <c r="J396" s="1"/>
      <c r="K396" s="1"/>
    </row>
    <row r="397" spans="3:11">
      <c r="C397" s="1"/>
      <c r="D397" s="1"/>
      <c r="E397" s="1"/>
      <c r="F397" s="1"/>
      <c r="J397" s="1"/>
      <c r="K397" s="1"/>
    </row>
    <row r="398" spans="3:11">
      <c r="C398" s="1"/>
      <c r="D398" s="1"/>
      <c r="E398" s="1"/>
      <c r="F398" s="1"/>
      <c r="J398" s="1"/>
      <c r="K398" s="1"/>
    </row>
    <row r="399" spans="3:11">
      <c r="C399" s="1"/>
      <c r="D399" s="1"/>
      <c r="E399" s="1"/>
      <c r="F399" s="1"/>
      <c r="J399" s="1"/>
      <c r="K399" s="1"/>
    </row>
    <row r="400" spans="3:11">
      <c r="C400" s="1"/>
      <c r="D400" s="1"/>
      <c r="E400" s="1"/>
      <c r="F400" s="1"/>
      <c r="J400" s="1"/>
      <c r="K400" s="1"/>
    </row>
    <row r="401" spans="3:11">
      <c r="C401" s="1"/>
      <c r="D401" s="1"/>
      <c r="E401" s="1"/>
      <c r="F401" s="1"/>
      <c r="J401" s="1"/>
      <c r="K401" s="1"/>
    </row>
    <row r="402" spans="3:11">
      <c r="C402" s="1"/>
      <c r="D402" s="1"/>
      <c r="E402" s="1"/>
      <c r="F402" s="1"/>
      <c r="J402" s="1"/>
      <c r="K402" s="1"/>
    </row>
    <row r="403" spans="3:11">
      <c r="C403" s="1"/>
      <c r="D403" s="1"/>
      <c r="E403" s="1"/>
      <c r="F403" s="1"/>
      <c r="J403" s="1"/>
      <c r="K403" s="1"/>
    </row>
    <row r="404" spans="3:11">
      <c r="C404" s="1"/>
      <c r="D404" s="1"/>
      <c r="E404" s="1"/>
      <c r="F404" s="1"/>
      <c r="J404" s="1"/>
      <c r="K404" s="1"/>
    </row>
    <row r="405" spans="3:11">
      <c r="C405" s="1"/>
      <c r="D405" s="1"/>
      <c r="E405" s="1"/>
      <c r="F405" s="1"/>
      <c r="J405" s="1"/>
      <c r="K405" s="1"/>
    </row>
    <row r="406" spans="3:11">
      <c r="C406" s="1"/>
      <c r="D406" s="1"/>
      <c r="E406" s="1"/>
      <c r="F406" s="1"/>
      <c r="J406" s="1"/>
      <c r="K406" s="1"/>
    </row>
    <row r="407" spans="3:11">
      <c r="C407" s="1"/>
      <c r="D407" s="1"/>
      <c r="E407" s="1"/>
      <c r="F407" s="1"/>
      <c r="J407" s="1"/>
      <c r="K407" s="1"/>
    </row>
    <row r="408" spans="3:11">
      <c r="C408" s="1"/>
      <c r="D408" s="1"/>
      <c r="E408" s="1"/>
      <c r="F408" s="1"/>
      <c r="J408" s="1"/>
      <c r="K408" s="1"/>
    </row>
    <row r="409" spans="3:11">
      <c r="C409" s="1"/>
      <c r="D409" s="1"/>
      <c r="E409" s="1"/>
      <c r="F409" s="1"/>
      <c r="J409" s="1"/>
      <c r="K409" s="1"/>
    </row>
    <row r="410" spans="3:11">
      <c r="C410" s="1"/>
      <c r="D410" s="1"/>
      <c r="E410" s="1"/>
      <c r="F410" s="1"/>
      <c r="J410" s="1"/>
      <c r="K410" s="1"/>
    </row>
    <row r="411" spans="3:11">
      <c r="C411" s="1"/>
      <c r="D411" s="1"/>
      <c r="E411" s="1"/>
      <c r="F411" s="1"/>
      <c r="J411" s="1"/>
      <c r="K411" s="1"/>
    </row>
    <row r="412" spans="3:11">
      <c r="C412" s="1"/>
      <c r="D412" s="1"/>
      <c r="E412" s="1"/>
      <c r="F412" s="1"/>
      <c r="J412" s="1"/>
      <c r="K412" s="1"/>
    </row>
    <row r="413" spans="3:11">
      <c r="C413" s="1"/>
      <c r="D413" s="1"/>
      <c r="E413" s="1"/>
      <c r="F413" s="1"/>
      <c r="J413" s="1"/>
      <c r="K413" s="1"/>
    </row>
    <row r="414" spans="3:11">
      <c r="C414" s="1"/>
      <c r="D414" s="1"/>
      <c r="E414" s="1"/>
      <c r="F414" s="1"/>
      <c r="J414" s="1"/>
      <c r="K414" s="1"/>
    </row>
    <row r="415" spans="3:11">
      <c r="C415" s="1"/>
      <c r="D415" s="1"/>
      <c r="E415" s="1"/>
      <c r="F415" s="1"/>
      <c r="J415" s="1"/>
      <c r="K415" s="1"/>
    </row>
    <row r="416" spans="3:11">
      <c r="C416" s="1"/>
      <c r="D416" s="1"/>
      <c r="E416" s="1"/>
      <c r="F416" s="1"/>
      <c r="J416" s="1"/>
      <c r="K416" s="1"/>
    </row>
    <row r="417" spans="3:11">
      <c r="C417" s="1"/>
      <c r="D417" s="1"/>
      <c r="E417" s="1"/>
      <c r="F417" s="1"/>
      <c r="J417" s="1"/>
      <c r="K417" s="1"/>
    </row>
    <row r="418" spans="3:11">
      <c r="C418" s="1"/>
      <c r="D418" s="1"/>
      <c r="E418" s="1"/>
      <c r="F418" s="1"/>
      <c r="J418" s="1"/>
      <c r="K418" s="1"/>
    </row>
    <row r="419" spans="3:11">
      <c r="C419" s="1"/>
      <c r="D419" s="1"/>
      <c r="E419" s="1"/>
      <c r="F419" s="1"/>
      <c r="J419" s="1"/>
      <c r="K419" s="1"/>
    </row>
    <row r="420" spans="3:11">
      <c r="C420" s="1"/>
      <c r="D420" s="1"/>
      <c r="E420" s="1"/>
      <c r="F420" s="1"/>
      <c r="J420" s="1"/>
      <c r="K420" s="1"/>
    </row>
    <row r="421" spans="3:11">
      <c r="C421" s="1"/>
      <c r="D421" s="1"/>
      <c r="E421" s="1"/>
      <c r="F421" s="1"/>
      <c r="J421" s="1"/>
      <c r="K421" s="1"/>
    </row>
    <row r="422" spans="3:11">
      <c r="C422" s="1"/>
      <c r="D422" s="1"/>
      <c r="E422" s="1"/>
      <c r="F422" s="1"/>
      <c r="J422" s="1"/>
      <c r="K422" s="1"/>
    </row>
    <row r="423" spans="3:11">
      <c r="C423" s="1"/>
      <c r="D423" s="1"/>
      <c r="E423" s="1"/>
      <c r="F423" s="1"/>
      <c r="J423" s="1"/>
      <c r="K423" s="1"/>
    </row>
    <row r="424" spans="3:11">
      <c r="C424" s="1"/>
      <c r="D424" s="1"/>
      <c r="E424" s="1"/>
      <c r="F424" s="1"/>
      <c r="J424" s="1"/>
      <c r="K424" s="1"/>
    </row>
    <row r="425" spans="3:11">
      <c r="C425" s="1"/>
      <c r="D425" s="1"/>
      <c r="E425" s="1"/>
      <c r="F425" s="1"/>
      <c r="J425" s="1"/>
      <c r="K425" s="1"/>
    </row>
    <row r="426" spans="3:11">
      <c r="C426" s="1"/>
      <c r="D426" s="1"/>
      <c r="E426" s="1"/>
      <c r="F426" s="1"/>
      <c r="J426" s="1"/>
      <c r="K426" s="1"/>
    </row>
    <row r="427" spans="3:11">
      <c r="C427" s="1"/>
      <c r="D427" s="1"/>
      <c r="E427" s="1"/>
      <c r="F427" s="1"/>
      <c r="J427" s="1"/>
      <c r="K427" s="1"/>
    </row>
    <row r="428" spans="3:11">
      <c r="C428" s="1"/>
      <c r="D428" s="1"/>
      <c r="E428" s="1"/>
      <c r="F428" s="1"/>
      <c r="J428" s="1"/>
      <c r="K428" s="1"/>
    </row>
    <row r="429" spans="3:11">
      <c r="C429" s="1"/>
      <c r="D429" s="1"/>
      <c r="E429" s="1"/>
      <c r="F429" s="1"/>
      <c r="J429" s="1"/>
      <c r="K429" s="1"/>
    </row>
    <row r="430" spans="3:11">
      <c r="C430" s="1"/>
      <c r="D430" s="1"/>
      <c r="E430" s="1"/>
      <c r="F430" s="1"/>
      <c r="J430" s="1"/>
      <c r="K430" s="1"/>
    </row>
    <row r="431" spans="3:11">
      <c r="C431" s="1"/>
      <c r="D431" s="1"/>
      <c r="E431" s="1"/>
      <c r="F431" s="1"/>
      <c r="J431" s="1"/>
      <c r="K431" s="1"/>
    </row>
    <row r="432" spans="3:11">
      <c r="C432" s="1"/>
      <c r="D432" s="1"/>
      <c r="E432" s="1"/>
      <c r="F432" s="1"/>
      <c r="J432" s="1"/>
      <c r="K432" s="1"/>
    </row>
    <row r="433" spans="3:11">
      <c r="C433" s="1"/>
      <c r="D433" s="1"/>
      <c r="E433" s="1"/>
      <c r="F433" s="1"/>
      <c r="J433" s="1"/>
      <c r="K433" s="1"/>
    </row>
    <row r="434" spans="3:11">
      <c r="C434" s="1"/>
      <c r="D434" s="1"/>
      <c r="E434" s="1"/>
      <c r="F434" s="1"/>
      <c r="J434" s="1"/>
      <c r="K434" s="1"/>
    </row>
    <row r="435" spans="3:11">
      <c r="C435" s="1"/>
      <c r="D435" s="1"/>
      <c r="E435" s="1"/>
      <c r="F435" s="1"/>
      <c r="J435" s="1"/>
      <c r="K435" s="1"/>
    </row>
    <row r="436" spans="3:11">
      <c r="C436" s="1"/>
      <c r="D436" s="1"/>
      <c r="E436" s="1"/>
      <c r="F436" s="1"/>
      <c r="J436" s="1"/>
      <c r="K436" s="1"/>
    </row>
    <row r="437" spans="3:11">
      <c r="C437" s="1"/>
      <c r="D437" s="1"/>
      <c r="E437" s="1"/>
      <c r="F437" s="1"/>
      <c r="J437" s="1"/>
      <c r="K437" s="1"/>
    </row>
    <row r="438" spans="3:11">
      <c r="C438" s="1"/>
      <c r="D438" s="1"/>
      <c r="E438" s="1"/>
      <c r="F438" s="1"/>
      <c r="J438" s="1"/>
      <c r="K438" s="1"/>
    </row>
    <row r="439" spans="3:11">
      <c r="C439" s="1"/>
      <c r="D439" s="1"/>
      <c r="E439" s="1"/>
      <c r="F439" s="1"/>
      <c r="J439" s="1"/>
      <c r="K439" s="1"/>
    </row>
    <row r="440" spans="3:11">
      <c r="C440" s="1"/>
      <c r="D440" s="1"/>
      <c r="E440" s="1"/>
      <c r="F440" s="1"/>
      <c r="J440" s="1"/>
      <c r="K440" s="1"/>
    </row>
    <row r="441" spans="3:11">
      <c r="C441" s="1"/>
      <c r="D441" s="1"/>
      <c r="E441" s="1"/>
      <c r="F441" s="1"/>
      <c r="J441" s="1"/>
      <c r="K441" s="1"/>
    </row>
    <row r="442" spans="3:11">
      <c r="C442" s="1"/>
      <c r="D442" s="1"/>
      <c r="E442" s="1"/>
      <c r="F442" s="1"/>
      <c r="J442" s="1"/>
      <c r="K442" s="1"/>
    </row>
    <row r="443" spans="3:11">
      <c r="C443" s="1"/>
      <c r="D443" s="1"/>
      <c r="E443" s="1"/>
      <c r="F443" s="1"/>
      <c r="J443" s="1"/>
      <c r="K443" s="1"/>
    </row>
    <row r="444" spans="3:11">
      <c r="C444" s="1"/>
      <c r="D444" s="1"/>
      <c r="E444" s="1"/>
      <c r="F444" s="1"/>
      <c r="J444" s="1"/>
      <c r="K444" s="1"/>
    </row>
    <row r="445" spans="3:11">
      <c r="C445" s="1"/>
      <c r="D445" s="1"/>
      <c r="E445" s="1"/>
      <c r="F445" s="1"/>
      <c r="J445" s="1"/>
      <c r="K445" s="1"/>
    </row>
    <row r="446" spans="3:11">
      <c r="C446" s="1"/>
      <c r="D446" s="1"/>
      <c r="E446" s="1"/>
      <c r="F446" s="1"/>
      <c r="J446" s="1"/>
      <c r="K446" s="1"/>
    </row>
    <row r="447" spans="3:11">
      <c r="C447" s="1"/>
      <c r="D447" s="1"/>
      <c r="E447" s="1"/>
      <c r="F447" s="1"/>
      <c r="J447" s="1"/>
      <c r="K447" s="1"/>
    </row>
    <row r="448" spans="3:11">
      <c r="C448" s="1"/>
      <c r="D448" s="1"/>
      <c r="E448" s="1"/>
      <c r="F448" s="1"/>
      <c r="J448" s="1"/>
      <c r="K448" s="1"/>
    </row>
    <row r="449" spans="3:11">
      <c r="C449" s="1"/>
      <c r="D449" s="1"/>
      <c r="E449" s="1"/>
      <c r="F449" s="1"/>
      <c r="J449" s="1"/>
      <c r="K449" s="1"/>
    </row>
    <row r="450" spans="3:11">
      <c r="C450" s="1"/>
      <c r="D450" s="1"/>
      <c r="E450" s="1"/>
      <c r="F450" s="1"/>
      <c r="J450" s="1"/>
      <c r="K450" s="1"/>
    </row>
    <row r="451" spans="3:11">
      <c r="C451" s="1"/>
      <c r="D451" s="1"/>
      <c r="E451" s="1"/>
      <c r="F451" s="1"/>
      <c r="J451" s="1"/>
      <c r="K451" s="1"/>
    </row>
    <row r="452" spans="3:11">
      <c r="C452" s="1"/>
      <c r="D452" s="1"/>
      <c r="E452" s="1"/>
      <c r="F452" s="1"/>
      <c r="J452" s="1"/>
      <c r="K452" s="1"/>
    </row>
    <row r="453" spans="3:11">
      <c r="C453" s="1"/>
      <c r="D453" s="1"/>
      <c r="E453" s="1"/>
      <c r="F453" s="1"/>
      <c r="J453" s="1"/>
      <c r="K453" s="1"/>
    </row>
    <row r="454" spans="3:11">
      <c r="C454" s="1"/>
      <c r="D454" s="1"/>
      <c r="E454" s="1"/>
      <c r="F454" s="1"/>
      <c r="J454" s="1"/>
      <c r="K454" s="1"/>
    </row>
    <row r="455" spans="3:11">
      <c r="C455" s="1"/>
      <c r="D455" s="1"/>
      <c r="E455" s="1"/>
      <c r="F455" s="1"/>
      <c r="J455" s="1"/>
      <c r="K455" s="1"/>
    </row>
    <row r="456" spans="3:11">
      <c r="C456" s="1"/>
      <c r="D456" s="1"/>
      <c r="E456" s="1"/>
      <c r="F456" s="1"/>
      <c r="J456" s="1"/>
      <c r="K456" s="1"/>
    </row>
    <row r="457" spans="3:11">
      <c r="C457" s="1"/>
      <c r="D457" s="1"/>
      <c r="E457" s="1"/>
      <c r="F457" s="1"/>
      <c r="J457" s="1"/>
      <c r="K457" s="1"/>
    </row>
    <row r="458" spans="3:11">
      <c r="C458" s="1"/>
      <c r="D458" s="1"/>
      <c r="E458" s="1"/>
      <c r="F458" s="1"/>
      <c r="J458" s="1"/>
      <c r="K458" s="1"/>
    </row>
    <row r="459" spans="3:11">
      <c r="C459" s="1"/>
      <c r="D459" s="1"/>
      <c r="E459" s="1"/>
      <c r="F459" s="1"/>
      <c r="J459" s="1"/>
      <c r="K459" s="1"/>
    </row>
    <row r="460" spans="3:11">
      <c r="C460" s="1"/>
      <c r="D460" s="1"/>
      <c r="E460" s="1"/>
      <c r="F460" s="1"/>
      <c r="J460" s="1"/>
      <c r="K460" s="1"/>
    </row>
    <row r="461" spans="3:11">
      <c r="C461" s="1"/>
      <c r="D461" s="1"/>
      <c r="E461" s="1"/>
      <c r="F461" s="1"/>
      <c r="J461" s="1"/>
      <c r="K461" s="1"/>
    </row>
    <row r="462" spans="3:11">
      <c r="C462" s="1"/>
      <c r="D462" s="1"/>
      <c r="E462" s="1"/>
      <c r="F462" s="1"/>
      <c r="J462" s="1"/>
      <c r="K462" s="1"/>
    </row>
    <row r="463" spans="3:11">
      <c r="C463" s="1"/>
      <c r="D463" s="1"/>
      <c r="E463" s="1"/>
      <c r="F463" s="1"/>
      <c r="J463" s="1"/>
      <c r="K463" s="1"/>
    </row>
    <row r="464" spans="3:11">
      <c r="C464" s="1"/>
      <c r="D464" s="1"/>
      <c r="E464" s="1"/>
      <c r="F464" s="1"/>
      <c r="J464" s="1"/>
      <c r="K464" s="1"/>
    </row>
    <row r="465" spans="3:11">
      <c r="C465" s="1"/>
      <c r="D465" s="1"/>
      <c r="E465" s="1"/>
      <c r="F465" s="1"/>
      <c r="J465" s="1"/>
      <c r="K465" s="1"/>
    </row>
    <row r="466" spans="3:11">
      <c r="C466" s="1"/>
      <c r="D466" s="1"/>
      <c r="E466" s="1"/>
      <c r="F466" s="1"/>
      <c r="J466" s="1"/>
      <c r="K466" s="1"/>
    </row>
    <row r="467" spans="3:11">
      <c r="C467" s="1"/>
      <c r="D467" s="1"/>
      <c r="E467" s="1"/>
      <c r="F467" s="1"/>
      <c r="J467" s="1"/>
      <c r="K467" s="1"/>
    </row>
    <row r="468" spans="3:11">
      <c r="C468" s="1"/>
      <c r="D468" s="1"/>
      <c r="E468" s="1"/>
      <c r="F468" s="1"/>
      <c r="J468" s="1"/>
      <c r="K468" s="1"/>
    </row>
    <row r="469" spans="3:11">
      <c r="C469" s="1"/>
      <c r="D469" s="1"/>
      <c r="E469" s="1"/>
      <c r="F469" s="1"/>
      <c r="J469" s="1"/>
      <c r="K469" s="1"/>
    </row>
    <row r="470" spans="3:11">
      <c r="C470" s="1"/>
      <c r="D470" s="1"/>
      <c r="E470" s="1"/>
      <c r="F470" s="1"/>
      <c r="J470" s="1"/>
      <c r="K470" s="1"/>
    </row>
    <row r="471" spans="3:11">
      <c r="C471" s="1"/>
      <c r="D471" s="1"/>
      <c r="E471" s="1"/>
      <c r="F471" s="1"/>
      <c r="J471" s="1"/>
      <c r="K471" s="1"/>
    </row>
    <row r="472" spans="3:11">
      <c r="C472" s="1"/>
      <c r="D472" s="1"/>
      <c r="E472" s="1"/>
      <c r="F472" s="1"/>
      <c r="J472" s="1"/>
      <c r="K472" s="1"/>
    </row>
    <row r="473" spans="3:11">
      <c r="C473" s="1"/>
      <c r="D473" s="1"/>
      <c r="E473" s="1"/>
      <c r="F473" s="1"/>
      <c r="J473" s="1"/>
      <c r="K473" s="1"/>
    </row>
    <row r="474" spans="3:11">
      <c r="C474" s="1"/>
      <c r="D474" s="1"/>
      <c r="E474" s="1"/>
      <c r="F474" s="1"/>
      <c r="J474" s="1"/>
      <c r="K474" s="1"/>
    </row>
    <row r="475" spans="3:11">
      <c r="C475" s="1"/>
      <c r="D475" s="1"/>
      <c r="E475" s="1"/>
      <c r="F475" s="1"/>
      <c r="J475" s="1"/>
      <c r="K475" s="1"/>
    </row>
    <row r="476" spans="3:11">
      <c r="C476" s="1"/>
      <c r="D476" s="1"/>
      <c r="E476" s="1"/>
      <c r="F476" s="1"/>
      <c r="J476" s="1"/>
      <c r="K476" s="1"/>
    </row>
    <row r="477" spans="3:11">
      <c r="C477" s="1"/>
      <c r="D477" s="1"/>
      <c r="E477" s="1"/>
      <c r="F477" s="1"/>
      <c r="J477" s="1"/>
      <c r="K477" s="1"/>
    </row>
    <row r="478" spans="3:11">
      <c r="C478" s="1"/>
      <c r="D478" s="1"/>
      <c r="E478" s="1"/>
      <c r="F478" s="1"/>
      <c r="J478" s="1"/>
      <c r="K478" s="1"/>
    </row>
    <row r="479" spans="3:11">
      <c r="C479" s="1"/>
      <c r="D479" s="1"/>
      <c r="E479" s="1"/>
      <c r="F479" s="1"/>
      <c r="J479" s="1"/>
      <c r="K479" s="1"/>
    </row>
    <row r="480" spans="3:11">
      <c r="C480" s="1"/>
      <c r="D480" s="1"/>
      <c r="E480" s="1"/>
      <c r="F480" s="1"/>
      <c r="J480" s="1"/>
      <c r="K480" s="1"/>
    </row>
    <row r="481" spans="3:11">
      <c r="C481" s="1"/>
      <c r="D481" s="1"/>
      <c r="E481" s="1"/>
      <c r="F481" s="1"/>
      <c r="J481" s="1"/>
      <c r="K481" s="1"/>
    </row>
    <row r="482" spans="3:11">
      <c r="C482" s="1"/>
      <c r="D482" s="1"/>
      <c r="E482" s="1"/>
      <c r="F482" s="1"/>
      <c r="J482" s="1"/>
      <c r="K482" s="1"/>
    </row>
    <row r="483" spans="3:11">
      <c r="C483" s="1"/>
      <c r="D483" s="1"/>
      <c r="E483" s="1"/>
      <c r="F483" s="1"/>
      <c r="J483" s="1"/>
      <c r="K483" s="1"/>
    </row>
    <row r="484" spans="3:11">
      <c r="C484" s="1"/>
      <c r="D484" s="1"/>
      <c r="E484" s="1"/>
      <c r="F484" s="1"/>
      <c r="J484" s="1"/>
      <c r="K484" s="1"/>
    </row>
    <row r="485" spans="3:11">
      <c r="C485" s="1"/>
      <c r="D485" s="1"/>
      <c r="E485" s="1"/>
      <c r="F485" s="1"/>
      <c r="J485" s="1"/>
      <c r="K485" s="1"/>
    </row>
    <row r="486" spans="3:11">
      <c r="C486" s="1"/>
      <c r="D486" s="1"/>
      <c r="E486" s="1"/>
      <c r="F486" s="1"/>
      <c r="J486" s="1"/>
      <c r="K486" s="1"/>
    </row>
    <row r="487" spans="3:11">
      <c r="C487" s="1"/>
      <c r="D487" s="1"/>
      <c r="E487" s="1"/>
      <c r="F487" s="1"/>
      <c r="J487" s="1"/>
      <c r="K487" s="1"/>
    </row>
    <row r="488" spans="3:11">
      <c r="C488" s="1"/>
      <c r="D488" s="1"/>
      <c r="E488" s="1"/>
      <c r="F488" s="1"/>
      <c r="J488" s="1"/>
      <c r="K488" s="1"/>
    </row>
    <row r="489" spans="3:11">
      <c r="C489" s="1"/>
      <c r="D489" s="1"/>
      <c r="E489" s="1"/>
      <c r="F489" s="1"/>
      <c r="J489" s="1"/>
      <c r="K489" s="1"/>
    </row>
    <row r="490" spans="3:11">
      <c r="C490" s="1"/>
      <c r="D490" s="1"/>
      <c r="E490" s="1"/>
      <c r="F490" s="1"/>
      <c r="J490" s="1"/>
      <c r="K490" s="1"/>
    </row>
    <row r="491" spans="3:11">
      <c r="C491" s="1"/>
      <c r="D491" s="1"/>
      <c r="E491" s="1"/>
      <c r="F491" s="1"/>
      <c r="J491" s="1"/>
      <c r="K491" s="1"/>
    </row>
    <row r="492" spans="3:11">
      <c r="C492" s="1"/>
      <c r="D492" s="1"/>
      <c r="E492" s="1"/>
      <c r="F492" s="1"/>
      <c r="J492" s="1"/>
      <c r="K492" s="1"/>
    </row>
    <row r="493" spans="3:11">
      <c r="C493" s="1"/>
      <c r="D493" s="1"/>
      <c r="E493" s="1"/>
      <c r="F493" s="1"/>
      <c r="J493" s="1"/>
      <c r="K493" s="1"/>
    </row>
    <row r="494" spans="3:11">
      <c r="C494" s="1"/>
      <c r="D494" s="1"/>
      <c r="E494" s="1"/>
      <c r="F494" s="1"/>
      <c r="J494" s="1"/>
      <c r="K494" s="1"/>
    </row>
    <row r="495" spans="3:11">
      <c r="C495" s="1"/>
      <c r="D495" s="1"/>
      <c r="E495" s="1"/>
      <c r="F495" s="1"/>
      <c r="J495" s="1"/>
      <c r="K495" s="1"/>
    </row>
    <row r="496" spans="3:11">
      <c r="C496" s="1"/>
      <c r="D496" s="1"/>
      <c r="E496" s="1"/>
      <c r="F496" s="1"/>
      <c r="J496" s="1"/>
      <c r="K496" s="1"/>
    </row>
    <row r="497" spans="3:11">
      <c r="C497" s="1"/>
      <c r="D497" s="1"/>
      <c r="E497" s="1"/>
      <c r="F497" s="1"/>
      <c r="J497" s="1"/>
      <c r="K497" s="1"/>
    </row>
    <row r="498" spans="3:11">
      <c r="C498" s="1"/>
      <c r="D498" s="1"/>
      <c r="E498" s="1"/>
      <c r="F498" s="1"/>
      <c r="J498" s="1"/>
      <c r="K498" s="1"/>
    </row>
    <row r="499" spans="3:11">
      <c r="C499" s="1"/>
      <c r="D499" s="1"/>
      <c r="E499" s="1"/>
      <c r="F499" s="1"/>
      <c r="J499" s="1"/>
      <c r="K499" s="1"/>
    </row>
    <row r="500" spans="3:11">
      <c r="C500" s="1"/>
      <c r="D500" s="1"/>
      <c r="E500" s="1"/>
      <c r="F500" s="1"/>
      <c r="J500" s="1"/>
      <c r="K500" s="1"/>
    </row>
    <row r="501" spans="3:11">
      <c r="C501" s="1"/>
      <c r="D501" s="1"/>
      <c r="E501" s="1"/>
      <c r="F501" s="1"/>
      <c r="J501" s="1"/>
      <c r="K501" s="1"/>
    </row>
    <row r="502" spans="3:11">
      <c r="C502" s="1"/>
      <c r="D502" s="1"/>
      <c r="E502" s="1"/>
      <c r="F502" s="1"/>
      <c r="J502" s="1"/>
      <c r="K502" s="1"/>
    </row>
    <row r="503" spans="3:11">
      <c r="C503" s="1"/>
      <c r="D503" s="1"/>
      <c r="E503" s="1"/>
      <c r="F503" s="1"/>
      <c r="J503" s="1"/>
      <c r="K503" s="1"/>
    </row>
    <row r="504" spans="3:11">
      <c r="C504" s="1"/>
      <c r="D504" s="1"/>
      <c r="E504" s="1"/>
      <c r="F504" s="1"/>
      <c r="J504" s="1"/>
      <c r="K504" s="1"/>
    </row>
    <row r="505" spans="3:11">
      <c r="C505" s="1"/>
      <c r="D505" s="1"/>
      <c r="E505" s="1"/>
      <c r="F505" s="1"/>
      <c r="J505" s="1"/>
      <c r="K505" s="1"/>
    </row>
    <row r="506" spans="3:11">
      <c r="C506" s="1"/>
      <c r="D506" s="1"/>
      <c r="E506" s="1"/>
      <c r="F506" s="1"/>
      <c r="J506" s="1"/>
      <c r="K506" s="1"/>
    </row>
    <row r="507" spans="3:11">
      <c r="C507" s="1"/>
      <c r="D507" s="1"/>
      <c r="E507" s="1"/>
      <c r="F507" s="1"/>
      <c r="J507" s="1"/>
      <c r="K507" s="1"/>
    </row>
    <row r="508" spans="3:11">
      <c r="C508" s="1"/>
      <c r="D508" s="1"/>
      <c r="E508" s="1"/>
      <c r="F508" s="1"/>
      <c r="J508" s="1"/>
      <c r="K508" s="1"/>
    </row>
    <row r="509" spans="3:11">
      <c r="C509" s="1"/>
      <c r="D509" s="1"/>
      <c r="E509" s="1"/>
      <c r="F509" s="1"/>
      <c r="J509" s="1"/>
      <c r="K509" s="1"/>
    </row>
    <row r="510" spans="3:11">
      <c r="C510" s="1"/>
      <c r="D510" s="1"/>
      <c r="E510" s="1"/>
      <c r="F510" s="1"/>
      <c r="J510" s="1"/>
      <c r="K510" s="1"/>
    </row>
    <row r="511" spans="3:11">
      <c r="C511" s="1"/>
      <c r="D511" s="1"/>
      <c r="E511" s="1"/>
      <c r="F511" s="1"/>
      <c r="J511" s="1"/>
      <c r="K511" s="1"/>
    </row>
    <row r="512" spans="3:11">
      <c r="C512" s="1"/>
      <c r="D512" s="1"/>
      <c r="E512" s="1"/>
      <c r="F512" s="1"/>
      <c r="J512" s="1"/>
      <c r="K512" s="1"/>
    </row>
    <row r="513" spans="3:11">
      <c r="C513" s="1"/>
      <c r="D513" s="1"/>
      <c r="E513" s="1"/>
      <c r="F513" s="1"/>
      <c r="J513" s="1"/>
      <c r="K513" s="1"/>
    </row>
    <row r="514" spans="3:11">
      <c r="C514" s="1"/>
      <c r="D514" s="1"/>
      <c r="E514" s="1"/>
      <c r="F514" s="1"/>
      <c r="J514" s="1"/>
      <c r="K514" s="1"/>
    </row>
    <row r="515" spans="3:11">
      <c r="C515" s="1"/>
      <c r="D515" s="1"/>
      <c r="E515" s="1"/>
      <c r="F515" s="1"/>
      <c r="J515" s="1"/>
      <c r="K515" s="1"/>
    </row>
    <row r="516" spans="3:11">
      <c r="C516" s="1"/>
      <c r="D516" s="1"/>
      <c r="E516" s="1"/>
      <c r="F516" s="1"/>
      <c r="J516" s="1"/>
      <c r="K516" s="1"/>
    </row>
    <row r="517" spans="3:11">
      <c r="C517" s="1"/>
      <c r="D517" s="1"/>
      <c r="E517" s="1"/>
      <c r="F517" s="1"/>
      <c r="J517" s="1"/>
      <c r="K517" s="1"/>
    </row>
    <row r="518" spans="3:11">
      <c r="C518" s="1"/>
      <c r="D518" s="1"/>
      <c r="E518" s="1"/>
      <c r="F518" s="1"/>
      <c r="J518" s="1"/>
      <c r="K518" s="1"/>
    </row>
    <row r="519" spans="3:11">
      <c r="C519" s="1"/>
      <c r="D519" s="1"/>
      <c r="E519" s="1"/>
      <c r="F519" s="1"/>
      <c r="J519" s="1"/>
      <c r="K519" s="1"/>
    </row>
    <row r="520" spans="3:11">
      <c r="C520" s="1"/>
      <c r="D520" s="1"/>
      <c r="E520" s="1"/>
      <c r="F520" s="1"/>
      <c r="J520" s="1"/>
      <c r="K520" s="1"/>
    </row>
    <row r="521" spans="3:11">
      <c r="C521" s="1"/>
      <c r="D521" s="1"/>
      <c r="E521" s="1"/>
      <c r="F521" s="1"/>
      <c r="J521" s="1"/>
      <c r="K521" s="1"/>
    </row>
    <row r="522" spans="3:11">
      <c r="C522" s="1"/>
      <c r="D522" s="1"/>
      <c r="E522" s="1"/>
      <c r="F522" s="1"/>
      <c r="J522" s="1"/>
      <c r="K522" s="1"/>
    </row>
    <row r="523" spans="3:11">
      <c r="C523" s="1"/>
      <c r="D523" s="1"/>
      <c r="E523" s="1"/>
      <c r="F523" s="1"/>
      <c r="J523" s="1"/>
      <c r="K523" s="1"/>
    </row>
    <row r="524" spans="3:11">
      <c r="C524" s="1"/>
      <c r="D524" s="1"/>
      <c r="E524" s="1"/>
      <c r="F524" s="1"/>
      <c r="J524" s="1"/>
      <c r="K524" s="1"/>
    </row>
    <row r="525" spans="3:11">
      <c r="C525" s="1"/>
      <c r="D525" s="1"/>
      <c r="E525" s="1"/>
      <c r="F525" s="1"/>
      <c r="J525" s="1"/>
      <c r="K525" s="1"/>
    </row>
    <row r="526" spans="3:11">
      <c r="C526" s="1"/>
      <c r="D526" s="1"/>
      <c r="E526" s="1"/>
      <c r="F526" s="1"/>
      <c r="J526" s="1"/>
      <c r="K526" s="1"/>
    </row>
    <row r="527" spans="3:11">
      <c r="C527" s="1"/>
      <c r="D527" s="1"/>
      <c r="E527" s="1"/>
      <c r="F527" s="1"/>
      <c r="J527" s="1"/>
      <c r="K527" s="1"/>
    </row>
    <row r="528" spans="3:11">
      <c r="C528" s="1"/>
      <c r="D528" s="1"/>
      <c r="E528" s="1"/>
      <c r="F528" s="1"/>
      <c r="J528" s="1"/>
      <c r="K528" s="1"/>
    </row>
    <row r="529" spans="3:11">
      <c r="C529" s="1"/>
      <c r="D529" s="1"/>
      <c r="E529" s="1"/>
      <c r="F529" s="1"/>
      <c r="J529" s="1"/>
      <c r="K529" s="1"/>
    </row>
    <row r="530" spans="3:11">
      <c r="C530" s="1"/>
      <c r="D530" s="1"/>
      <c r="E530" s="1"/>
      <c r="F530" s="1"/>
      <c r="J530" s="1"/>
      <c r="K530" s="1"/>
    </row>
    <row r="531" spans="3:11">
      <c r="C531" s="1"/>
      <c r="D531" s="1"/>
      <c r="E531" s="1"/>
      <c r="F531" s="1"/>
      <c r="J531" s="1"/>
      <c r="K531" s="1"/>
    </row>
    <row r="532" spans="3:11">
      <c r="C532" s="1"/>
      <c r="D532" s="1"/>
      <c r="E532" s="1"/>
      <c r="F532" s="1"/>
      <c r="J532" s="1"/>
      <c r="K532" s="1"/>
    </row>
    <row r="533" spans="3:11">
      <c r="C533" s="1"/>
      <c r="D533" s="1"/>
      <c r="E533" s="1"/>
      <c r="F533" s="1"/>
      <c r="J533" s="1"/>
      <c r="K533" s="1"/>
    </row>
    <row r="534" spans="3:11">
      <c r="C534" s="1"/>
      <c r="D534" s="1"/>
      <c r="E534" s="1"/>
      <c r="F534" s="1"/>
      <c r="J534" s="1"/>
      <c r="K534" s="1"/>
    </row>
    <row r="535" spans="3:11">
      <c r="C535" s="1"/>
      <c r="D535" s="1"/>
      <c r="E535" s="1"/>
      <c r="F535" s="1"/>
      <c r="J535" s="1"/>
      <c r="K535" s="1"/>
    </row>
    <row r="536" spans="3:11">
      <c r="C536" s="1"/>
      <c r="D536" s="1"/>
      <c r="E536" s="1"/>
      <c r="F536" s="1"/>
      <c r="J536" s="1"/>
      <c r="K536" s="1"/>
    </row>
    <row r="537" spans="3:11">
      <c r="C537" s="1"/>
      <c r="D537" s="1"/>
      <c r="E537" s="1"/>
      <c r="F537" s="1"/>
      <c r="J537" s="1"/>
      <c r="K537" s="1"/>
    </row>
    <row r="538" spans="3:11">
      <c r="C538" s="1"/>
      <c r="D538" s="1"/>
      <c r="E538" s="1"/>
      <c r="F538" s="1"/>
      <c r="J538" s="1"/>
      <c r="K538" s="1"/>
    </row>
    <row r="539" spans="3:11">
      <c r="C539" s="1"/>
      <c r="D539" s="1"/>
      <c r="E539" s="1"/>
      <c r="F539" s="1"/>
      <c r="J539" s="1"/>
      <c r="K539" s="1"/>
    </row>
    <row r="540" spans="3:11">
      <c r="C540" s="1"/>
      <c r="D540" s="1"/>
      <c r="E540" s="1"/>
      <c r="F540" s="1"/>
      <c r="J540" s="1"/>
      <c r="K540" s="1"/>
    </row>
    <row r="541" spans="3:11">
      <c r="C541" s="1"/>
      <c r="D541" s="1"/>
      <c r="E541" s="1"/>
      <c r="F541" s="1"/>
      <c r="J541" s="1"/>
      <c r="K541" s="1"/>
    </row>
    <row r="542" spans="3:11">
      <c r="C542" s="1"/>
      <c r="D542" s="1"/>
      <c r="E542" s="1"/>
      <c r="F542" s="1"/>
      <c r="J542" s="1"/>
      <c r="K542" s="1"/>
    </row>
    <row r="543" spans="3:11">
      <c r="C543" s="1"/>
      <c r="D543" s="1"/>
      <c r="E543" s="1"/>
      <c r="F543" s="1"/>
      <c r="J543" s="1"/>
      <c r="K543" s="1"/>
    </row>
    <row r="544" spans="3:11">
      <c r="C544" s="1"/>
      <c r="D544" s="1"/>
      <c r="E544" s="1"/>
      <c r="F544" s="1"/>
      <c r="J544" s="1"/>
      <c r="K544" s="1"/>
    </row>
    <row r="545" spans="3:11">
      <c r="C545" s="1"/>
      <c r="D545" s="1"/>
      <c r="E545" s="1"/>
      <c r="F545" s="1"/>
      <c r="J545" s="1"/>
      <c r="K545" s="1"/>
    </row>
    <row r="546" spans="3:11">
      <c r="C546" s="1"/>
      <c r="D546" s="1"/>
      <c r="E546" s="1"/>
      <c r="F546" s="1"/>
      <c r="J546" s="1"/>
      <c r="K546" s="1"/>
    </row>
    <row r="547" spans="3:11">
      <c r="C547" s="1"/>
      <c r="D547" s="1"/>
      <c r="E547" s="1"/>
      <c r="F547" s="1"/>
      <c r="J547" s="1"/>
      <c r="K547" s="1"/>
    </row>
    <row r="548" spans="3:11">
      <c r="C548" s="1"/>
      <c r="D548" s="1"/>
      <c r="E548" s="1"/>
      <c r="F548" s="1"/>
      <c r="J548" s="1"/>
      <c r="K548" s="1"/>
    </row>
    <row r="549" spans="3:11">
      <c r="C549" s="1"/>
      <c r="D549" s="1"/>
      <c r="E549" s="1"/>
      <c r="F549" s="1"/>
      <c r="J549" s="1"/>
      <c r="K549" s="1"/>
    </row>
    <row r="550" spans="3:11">
      <c r="C550" s="1"/>
      <c r="D550" s="1"/>
      <c r="E550" s="1"/>
      <c r="F550" s="1"/>
      <c r="J550" s="1"/>
      <c r="K550" s="1"/>
    </row>
    <row r="551" spans="3:11">
      <c r="C551" s="1"/>
      <c r="D551" s="1"/>
      <c r="E551" s="1"/>
      <c r="F551" s="1"/>
      <c r="J551" s="1"/>
      <c r="K551" s="1"/>
    </row>
    <row r="552" spans="3:11">
      <c r="C552" s="1"/>
      <c r="D552" s="1"/>
      <c r="E552" s="1"/>
      <c r="F552" s="1"/>
      <c r="J552" s="1"/>
      <c r="K552" s="1"/>
    </row>
    <row r="553" spans="3:11">
      <c r="C553" s="1"/>
      <c r="D553" s="1"/>
      <c r="E553" s="1"/>
      <c r="F553" s="1"/>
      <c r="J553" s="1"/>
      <c r="K553" s="1"/>
    </row>
    <row r="554" spans="3:11">
      <c r="C554" s="1"/>
      <c r="D554" s="1"/>
      <c r="E554" s="1"/>
      <c r="F554" s="1"/>
      <c r="J554" s="1"/>
      <c r="K554" s="1"/>
    </row>
    <row r="555" spans="3:11">
      <c r="C555" s="1"/>
      <c r="D555" s="1"/>
      <c r="E555" s="1"/>
      <c r="F555" s="1"/>
      <c r="J555" s="1"/>
      <c r="K555" s="1"/>
    </row>
    <row r="556" spans="3:11">
      <c r="C556" s="1"/>
      <c r="D556" s="1"/>
      <c r="E556" s="1"/>
      <c r="F556" s="1"/>
      <c r="J556" s="1"/>
      <c r="K556" s="1"/>
    </row>
    <row r="557" spans="3:11">
      <c r="C557" s="1"/>
      <c r="D557" s="1"/>
      <c r="E557" s="1"/>
      <c r="F557" s="1"/>
      <c r="J557" s="1"/>
      <c r="K557" s="1"/>
    </row>
    <row r="558" spans="3:11">
      <c r="C558" s="1"/>
      <c r="D558" s="1"/>
      <c r="E558" s="1"/>
      <c r="F558" s="1"/>
      <c r="J558" s="1"/>
      <c r="K558" s="1"/>
    </row>
    <row r="559" spans="3:11">
      <c r="C559" s="1"/>
      <c r="D559" s="1"/>
      <c r="E559" s="1"/>
      <c r="F559" s="1"/>
      <c r="J559" s="1"/>
      <c r="K559" s="1"/>
    </row>
    <row r="560" spans="3:11">
      <c r="C560" s="1"/>
      <c r="D560" s="1"/>
      <c r="E560" s="1"/>
      <c r="F560" s="1"/>
      <c r="J560" s="1"/>
      <c r="K560" s="1"/>
    </row>
    <row r="561" spans="3:11">
      <c r="C561" s="1"/>
      <c r="D561" s="1"/>
      <c r="E561" s="1"/>
      <c r="F561" s="1"/>
      <c r="J561" s="1"/>
      <c r="K561" s="1"/>
    </row>
    <row r="562" spans="3:11">
      <c r="C562" s="1"/>
      <c r="D562" s="1"/>
      <c r="E562" s="1"/>
      <c r="F562" s="1"/>
      <c r="J562" s="1"/>
      <c r="K562" s="1"/>
    </row>
    <row r="563" spans="3:11">
      <c r="C563" s="1"/>
      <c r="D563" s="1"/>
      <c r="E563" s="1"/>
      <c r="F563" s="1"/>
      <c r="J563" s="1"/>
      <c r="K563" s="1"/>
    </row>
    <row r="564" spans="3:11">
      <c r="C564" s="1"/>
      <c r="D564" s="1"/>
      <c r="E564" s="1"/>
      <c r="F564" s="1"/>
      <c r="J564" s="1"/>
      <c r="K564" s="1"/>
    </row>
    <row r="565" spans="3:11">
      <c r="C565" s="1"/>
      <c r="D565" s="1"/>
      <c r="E565" s="1"/>
      <c r="F565" s="1"/>
      <c r="J565" s="1"/>
      <c r="K565" s="1"/>
    </row>
    <row r="566" spans="3:11">
      <c r="C566" s="1"/>
      <c r="D566" s="1"/>
      <c r="E566" s="1"/>
      <c r="F566" s="1"/>
      <c r="J566" s="1"/>
      <c r="K566" s="1"/>
    </row>
    <row r="567" spans="3:11">
      <c r="C567" s="1"/>
      <c r="D567" s="1"/>
      <c r="E567" s="1"/>
      <c r="F567" s="1"/>
      <c r="J567" s="1"/>
      <c r="K567" s="1"/>
    </row>
    <row r="568" spans="3:11">
      <c r="C568" s="1"/>
      <c r="D568" s="1"/>
      <c r="E568" s="1"/>
      <c r="F568" s="1"/>
      <c r="J568" s="1"/>
      <c r="K568" s="1"/>
    </row>
    <row r="569" spans="3:11">
      <c r="C569" s="1"/>
      <c r="D569" s="1"/>
      <c r="E569" s="1"/>
      <c r="F569" s="1"/>
      <c r="J569" s="1"/>
      <c r="K569" s="1"/>
    </row>
    <row r="570" spans="3:11">
      <c r="C570" s="1"/>
      <c r="D570" s="1"/>
      <c r="E570" s="1"/>
      <c r="F570" s="1"/>
      <c r="J570" s="1"/>
      <c r="K570" s="1"/>
    </row>
    <row r="571" spans="3:11">
      <c r="C571" s="1"/>
      <c r="D571" s="1"/>
      <c r="E571" s="1"/>
      <c r="F571" s="1"/>
      <c r="J571" s="1"/>
      <c r="K571" s="1"/>
    </row>
    <row r="572" spans="3:11">
      <c r="C572" s="1"/>
      <c r="D572" s="1"/>
      <c r="E572" s="1"/>
      <c r="F572" s="1"/>
      <c r="J572" s="1"/>
      <c r="K572" s="1"/>
    </row>
    <row r="573" spans="3:11">
      <c r="C573" s="1"/>
      <c r="D573" s="1"/>
      <c r="E573" s="1"/>
      <c r="F573" s="1"/>
      <c r="J573" s="1"/>
      <c r="K573" s="1"/>
    </row>
    <row r="574" spans="3:11">
      <c r="C574" s="1"/>
      <c r="D574" s="1"/>
      <c r="E574" s="1"/>
      <c r="F574" s="1"/>
      <c r="J574" s="1"/>
      <c r="K574" s="1"/>
    </row>
    <row r="575" spans="3:11">
      <c r="C575" s="1"/>
      <c r="D575" s="1"/>
      <c r="E575" s="1"/>
      <c r="F575" s="1"/>
      <c r="J575" s="1"/>
      <c r="K575" s="1"/>
    </row>
    <row r="576" spans="3:11">
      <c r="C576" s="1"/>
      <c r="D576" s="1"/>
      <c r="E576" s="1"/>
      <c r="F576" s="1"/>
      <c r="J576" s="1"/>
      <c r="K576" s="1"/>
    </row>
    <row r="577" spans="3:11">
      <c r="C577" s="1"/>
      <c r="D577" s="1"/>
      <c r="E577" s="1"/>
      <c r="F577" s="1"/>
      <c r="J577" s="1"/>
      <c r="K577" s="1"/>
    </row>
    <row r="578" spans="3:11">
      <c r="C578" s="1"/>
      <c r="D578" s="1"/>
      <c r="E578" s="1"/>
      <c r="F578" s="1"/>
      <c r="J578" s="1"/>
      <c r="K578" s="1"/>
    </row>
    <row r="579" spans="3:11">
      <c r="C579" s="1"/>
      <c r="D579" s="1"/>
      <c r="E579" s="1"/>
      <c r="F579" s="1"/>
      <c r="J579" s="1"/>
      <c r="K579" s="1"/>
    </row>
    <row r="580" spans="3:11">
      <c r="C580" s="1"/>
      <c r="D580" s="1"/>
      <c r="E580" s="1"/>
      <c r="F580" s="1"/>
      <c r="J580" s="1"/>
      <c r="K580" s="1"/>
    </row>
    <row r="581" spans="3:11">
      <c r="C581" s="1"/>
      <c r="D581" s="1"/>
      <c r="E581" s="1"/>
      <c r="F581" s="1"/>
      <c r="J581" s="1"/>
      <c r="K581" s="1"/>
    </row>
    <row r="582" spans="3:11">
      <c r="C582" s="1"/>
      <c r="D582" s="1"/>
      <c r="E582" s="1"/>
      <c r="F582" s="1"/>
      <c r="J582" s="1"/>
      <c r="K582" s="1"/>
    </row>
    <row r="583" spans="3:11">
      <c r="C583" s="1"/>
      <c r="D583" s="1"/>
      <c r="E583" s="1"/>
      <c r="F583" s="1"/>
      <c r="J583" s="1"/>
      <c r="K583" s="1"/>
    </row>
    <row r="584" spans="3:11">
      <c r="C584" s="1"/>
      <c r="D584" s="1"/>
      <c r="E584" s="1"/>
      <c r="F584" s="1"/>
      <c r="J584" s="1"/>
      <c r="K584" s="1"/>
    </row>
    <row r="585" spans="3:11">
      <c r="C585" s="1"/>
      <c r="D585" s="1"/>
      <c r="E585" s="1"/>
      <c r="F585" s="1"/>
      <c r="J585" s="1"/>
      <c r="K585" s="1"/>
    </row>
    <row r="586" spans="3:11">
      <c r="C586" s="1"/>
      <c r="D586" s="1"/>
      <c r="E586" s="1"/>
      <c r="F586" s="1"/>
      <c r="J586" s="1"/>
      <c r="K586" s="1"/>
    </row>
    <row r="587" spans="3:11">
      <c r="C587" s="1"/>
      <c r="D587" s="1"/>
      <c r="E587" s="1"/>
      <c r="F587" s="1"/>
      <c r="J587" s="1"/>
      <c r="K587" s="1"/>
    </row>
    <row r="588" spans="3:11">
      <c r="C588" s="1"/>
      <c r="D588" s="1"/>
      <c r="E588" s="1"/>
      <c r="F588" s="1"/>
      <c r="J588" s="1"/>
      <c r="K588" s="1"/>
    </row>
    <row r="589" spans="3:11">
      <c r="C589" s="1"/>
      <c r="D589" s="1"/>
      <c r="E589" s="1"/>
      <c r="F589" s="1"/>
      <c r="J589" s="1"/>
      <c r="K589" s="1"/>
    </row>
    <row r="590" spans="3:11">
      <c r="C590" s="1"/>
      <c r="D590" s="1"/>
      <c r="E590" s="1"/>
      <c r="F590" s="1"/>
      <c r="J590" s="1"/>
      <c r="K590" s="1"/>
    </row>
    <row r="591" spans="3:11">
      <c r="C591" s="1"/>
      <c r="D591" s="1"/>
      <c r="E591" s="1"/>
      <c r="F591" s="1"/>
      <c r="J591" s="1"/>
      <c r="K591" s="1"/>
    </row>
    <row r="592" spans="3:11">
      <c r="C592" s="1"/>
      <c r="D592" s="1"/>
      <c r="E592" s="1"/>
      <c r="F592" s="1"/>
      <c r="J592" s="1"/>
      <c r="K592" s="1"/>
    </row>
    <row r="593" spans="3:11">
      <c r="C593" s="1"/>
      <c r="D593" s="1"/>
      <c r="E593" s="1"/>
      <c r="F593" s="1"/>
      <c r="J593" s="1"/>
      <c r="K593" s="1"/>
    </row>
    <row r="594" spans="3:11">
      <c r="C594" s="1"/>
      <c r="D594" s="1"/>
      <c r="E594" s="1"/>
      <c r="F594" s="1"/>
      <c r="J594" s="1"/>
      <c r="K594" s="1"/>
    </row>
    <row r="595" spans="3:11">
      <c r="C595" s="1"/>
      <c r="D595" s="1"/>
      <c r="E595" s="1"/>
      <c r="F595" s="1"/>
      <c r="J595" s="1"/>
      <c r="K595" s="1"/>
    </row>
    <row r="596" spans="3:11">
      <c r="C596" s="1"/>
      <c r="D596" s="1"/>
      <c r="E596" s="1"/>
      <c r="F596" s="1"/>
      <c r="J596" s="1"/>
      <c r="K596" s="1"/>
    </row>
    <row r="597" spans="3:11">
      <c r="C597" s="1"/>
      <c r="D597" s="1"/>
      <c r="E597" s="1"/>
      <c r="F597" s="1"/>
      <c r="J597" s="1"/>
      <c r="K597" s="1"/>
    </row>
    <row r="598" spans="3:11">
      <c r="C598" s="1"/>
      <c r="D598" s="1"/>
      <c r="E598" s="1"/>
      <c r="F598" s="1"/>
      <c r="J598" s="1"/>
      <c r="K598" s="1"/>
    </row>
    <row r="599" spans="3:11">
      <c r="C599" s="1"/>
      <c r="D599" s="1"/>
      <c r="E599" s="1"/>
      <c r="F599" s="1"/>
      <c r="J599" s="1"/>
      <c r="K599" s="1"/>
    </row>
    <row r="600" spans="3:11">
      <c r="C600" s="1"/>
      <c r="D600" s="1"/>
      <c r="E600" s="1"/>
      <c r="F600" s="1"/>
      <c r="J600" s="1"/>
      <c r="K600" s="1"/>
    </row>
    <row r="601" spans="3:11">
      <c r="C601" s="1"/>
      <c r="D601" s="1"/>
      <c r="E601" s="1"/>
      <c r="F601" s="1"/>
      <c r="J601" s="1"/>
      <c r="K601" s="1"/>
    </row>
    <row r="602" spans="3:11">
      <c r="C602" s="1"/>
      <c r="D602" s="1"/>
      <c r="E602" s="1"/>
      <c r="F602" s="1"/>
      <c r="J602" s="1"/>
      <c r="K602" s="1"/>
    </row>
    <row r="603" spans="3:11">
      <c r="C603" s="1"/>
      <c r="D603" s="1"/>
      <c r="E603" s="1"/>
      <c r="F603" s="1"/>
      <c r="J603" s="1"/>
      <c r="K603" s="1"/>
    </row>
    <row r="604" spans="3:11">
      <c r="C604" s="1"/>
      <c r="D604" s="1"/>
      <c r="E604" s="1"/>
      <c r="F604" s="1"/>
      <c r="J604" s="1"/>
      <c r="K604" s="1"/>
    </row>
    <row r="605" spans="3:11">
      <c r="C605" s="1"/>
      <c r="D605" s="1"/>
      <c r="E605" s="1"/>
      <c r="F605" s="1"/>
      <c r="J605" s="1"/>
      <c r="K605" s="1"/>
    </row>
    <row r="606" spans="3:11">
      <c r="C606" s="1"/>
      <c r="D606" s="1"/>
      <c r="E606" s="1"/>
      <c r="F606" s="1"/>
      <c r="J606" s="1"/>
      <c r="K606" s="1"/>
    </row>
    <row r="607" spans="3:11">
      <c r="C607" s="1"/>
      <c r="D607" s="1"/>
      <c r="E607" s="1"/>
      <c r="F607" s="1"/>
      <c r="J607" s="1"/>
      <c r="K607" s="1"/>
    </row>
    <row r="608" spans="3:11">
      <c r="C608" s="1"/>
      <c r="D608" s="1"/>
      <c r="E608" s="1"/>
      <c r="F608" s="1"/>
      <c r="J608" s="1"/>
      <c r="K608" s="1"/>
    </row>
    <row r="609" spans="3:11">
      <c r="C609" s="1"/>
      <c r="D609" s="1"/>
      <c r="E609" s="1"/>
      <c r="F609" s="1"/>
      <c r="J609" s="1"/>
      <c r="K609" s="1"/>
    </row>
    <row r="610" spans="3:11">
      <c r="C610" s="1"/>
      <c r="D610" s="1"/>
      <c r="E610" s="1"/>
      <c r="F610" s="1"/>
      <c r="J610" s="1"/>
      <c r="K610" s="1"/>
    </row>
    <row r="611" spans="3:11">
      <c r="C611" s="1"/>
      <c r="D611" s="1"/>
      <c r="E611" s="1"/>
      <c r="F611" s="1"/>
      <c r="J611" s="1"/>
      <c r="K611" s="1"/>
    </row>
    <row r="612" spans="3:11">
      <c r="C612" s="1"/>
      <c r="D612" s="1"/>
      <c r="E612" s="1"/>
      <c r="F612" s="1"/>
      <c r="J612" s="1"/>
      <c r="K612" s="1"/>
    </row>
    <row r="613" spans="3:11">
      <c r="C613" s="1"/>
      <c r="D613" s="1"/>
      <c r="E613" s="1"/>
      <c r="F613" s="1"/>
      <c r="J613" s="1"/>
      <c r="K613" s="1"/>
    </row>
    <row r="614" spans="3:11">
      <c r="C614" s="1"/>
      <c r="D614" s="1"/>
      <c r="E614" s="1"/>
      <c r="F614" s="1"/>
      <c r="J614" s="1"/>
      <c r="K614" s="1"/>
    </row>
    <row r="615" spans="3:11">
      <c r="C615" s="1"/>
      <c r="D615" s="1"/>
      <c r="E615" s="1"/>
      <c r="F615" s="1"/>
      <c r="J615" s="1"/>
      <c r="K615" s="1"/>
    </row>
    <row r="616" spans="3:11">
      <c r="C616" s="1"/>
      <c r="D616" s="1"/>
      <c r="E616" s="1"/>
      <c r="F616" s="1"/>
      <c r="J616" s="1"/>
      <c r="K616" s="1"/>
    </row>
    <row r="617" spans="3:11">
      <c r="C617" s="1"/>
      <c r="D617" s="1"/>
      <c r="E617" s="1"/>
      <c r="F617" s="1"/>
      <c r="J617" s="1"/>
      <c r="K617" s="1"/>
    </row>
    <row r="618" spans="3:11">
      <c r="C618" s="1"/>
      <c r="D618" s="1"/>
      <c r="E618" s="1"/>
      <c r="F618" s="1"/>
      <c r="J618" s="1"/>
      <c r="K618" s="1"/>
    </row>
    <row r="619" spans="3:11">
      <c r="C619" s="1"/>
      <c r="D619" s="1"/>
      <c r="E619" s="1"/>
      <c r="F619" s="1"/>
      <c r="J619" s="1"/>
      <c r="K619" s="1"/>
    </row>
    <row r="620" spans="3:11">
      <c r="C620" s="1"/>
      <c r="D620" s="1"/>
      <c r="E620" s="1"/>
      <c r="F620" s="1"/>
      <c r="J620" s="1"/>
      <c r="K620" s="1"/>
    </row>
    <row r="621" spans="3:11">
      <c r="C621" s="1"/>
      <c r="D621" s="1"/>
      <c r="E621" s="1"/>
      <c r="F621" s="1"/>
      <c r="J621" s="1"/>
      <c r="K621" s="1"/>
    </row>
    <row r="622" spans="3:11">
      <c r="C622" s="1"/>
      <c r="D622" s="1"/>
      <c r="E622" s="1"/>
      <c r="F622" s="1"/>
      <c r="J622" s="1"/>
      <c r="K622" s="1"/>
    </row>
    <row r="623" spans="3:11">
      <c r="C623" s="1"/>
      <c r="D623" s="1"/>
      <c r="E623" s="1"/>
      <c r="F623" s="1"/>
      <c r="J623" s="1"/>
      <c r="K623" s="1"/>
    </row>
    <row r="624" spans="3:11">
      <c r="C624" s="1"/>
      <c r="D624" s="1"/>
      <c r="E624" s="1"/>
      <c r="F624" s="1"/>
      <c r="J624" s="1"/>
      <c r="K624" s="1"/>
    </row>
    <row r="625" spans="3:11">
      <c r="C625" s="1"/>
      <c r="D625" s="1"/>
      <c r="E625" s="1"/>
      <c r="F625" s="1"/>
      <c r="J625" s="1"/>
      <c r="K625" s="1"/>
    </row>
    <row r="626" spans="3:11">
      <c r="C626" s="1"/>
      <c r="D626" s="1"/>
      <c r="E626" s="1"/>
      <c r="F626" s="1"/>
      <c r="J626" s="1"/>
      <c r="K626" s="1"/>
    </row>
    <row r="627" spans="3:11">
      <c r="C627" s="1"/>
      <c r="D627" s="1"/>
      <c r="E627" s="1"/>
      <c r="F627" s="1"/>
      <c r="J627" s="1"/>
      <c r="K627" s="1"/>
    </row>
    <row r="628" spans="3:11">
      <c r="C628" s="1"/>
      <c r="D628" s="1"/>
      <c r="E628" s="1"/>
      <c r="F628" s="1"/>
      <c r="J628" s="1"/>
      <c r="K628" s="1"/>
    </row>
    <row r="629" spans="3:11">
      <c r="C629" s="1"/>
      <c r="D629" s="1"/>
      <c r="E629" s="1"/>
      <c r="F629" s="1"/>
      <c r="J629" s="1"/>
      <c r="K629" s="1"/>
    </row>
    <row r="630" spans="3:11">
      <c r="C630" s="1"/>
      <c r="D630" s="1"/>
      <c r="E630" s="1"/>
      <c r="F630" s="1"/>
      <c r="J630" s="1"/>
      <c r="K630" s="1"/>
    </row>
    <row r="631" spans="3:11">
      <c r="C631" s="1"/>
      <c r="D631" s="1"/>
      <c r="E631" s="1"/>
      <c r="F631" s="1"/>
      <c r="J631" s="1"/>
      <c r="K631" s="1"/>
    </row>
    <row r="632" spans="3:11">
      <c r="C632" s="1"/>
      <c r="D632" s="1"/>
      <c r="E632" s="1"/>
      <c r="F632" s="1"/>
      <c r="J632" s="1"/>
      <c r="K632" s="1"/>
    </row>
    <row r="633" spans="3:11">
      <c r="C633" s="1"/>
      <c r="D633" s="1"/>
      <c r="E633" s="1"/>
      <c r="F633" s="1"/>
      <c r="J633" s="1"/>
      <c r="K633" s="1"/>
    </row>
    <row r="634" spans="3:11">
      <c r="C634" s="1"/>
      <c r="D634" s="1"/>
      <c r="E634" s="1"/>
      <c r="F634" s="1"/>
      <c r="J634" s="1"/>
      <c r="K634" s="1"/>
    </row>
    <row r="635" spans="3:11">
      <c r="C635" s="1"/>
      <c r="D635" s="1"/>
      <c r="E635" s="1"/>
      <c r="F635" s="1"/>
      <c r="J635" s="1"/>
      <c r="K635" s="1"/>
    </row>
    <row r="636" spans="3:11">
      <c r="C636" s="1"/>
      <c r="D636" s="1"/>
      <c r="E636" s="1"/>
      <c r="F636" s="1"/>
      <c r="J636" s="1"/>
      <c r="K636" s="1"/>
    </row>
    <row r="637" spans="3:11">
      <c r="C637" s="1"/>
      <c r="D637" s="1"/>
      <c r="E637" s="1"/>
      <c r="F637" s="1"/>
      <c r="J637" s="1"/>
      <c r="K637" s="1"/>
    </row>
    <row r="638" spans="3:11">
      <c r="C638" s="1"/>
      <c r="D638" s="1"/>
      <c r="E638" s="1"/>
      <c r="F638" s="1"/>
      <c r="J638" s="1"/>
      <c r="K638" s="1"/>
    </row>
    <row r="639" spans="3:11">
      <c r="C639" s="1"/>
      <c r="D639" s="1"/>
      <c r="E639" s="1"/>
      <c r="F639" s="1"/>
      <c r="J639" s="1"/>
      <c r="K639" s="1"/>
    </row>
    <row r="640" spans="3:11">
      <c r="C640" s="1"/>
      <c r="D640" s="1"/>
      <c r="E640" s="1"/>
      <c r="F640" s="1"/>
      <c r="J640" s="1"/>
      <c r="K640" s="1"/>
    </row>
    <row r="641" spans="3:11">
      <c r="C641" s="1"/>
      <c r="D641" s="1"/>
      <c r="E641" s="1"/>
      <c r="F641" s="1"/>
      <c r="J641" s="1"/>
      <c r="K641" s="1"/>
    </row>
    <row r="642" spans="3:11">
      <c r="C642" s="1"/>
      <c r="D642" s="1"/>
      <c r="E642" s="1"/>
      <c r="F642" s="1"/>
      <c r="J642" s="1"/>
      <c r="K642" s="1"/>
    </row>
    <row r="643" spans="3:11">
      <c r="C643" s="1"/>
      <c r="D643" s="1"/>
      <c r="E643" s="1"/>
      <c r="F643" s="1"/>
      <c r="J643" s="1"/>
      <c r="K643" s="1"/>
    </row>
    <row r="644" spans="3:11">
      <c r="C644" s="1"/>
      <c r="D644" s="1"/>
      <c r="E644" s="1"/>
      <c r="F644" s="1"/>
      <c r="J644" s="1"/>
      <c r="K644" s="1"/>
    </row>
    <row r="645" spans="3:11">
      <c r="C645" s="1"/>
      <c r="D645" s="1"/>
      <c r="E645" s="1"/>
      <c r="F645" s="1"/>
      <c r="J645" s="1"/>
      <c r="K645" s="1"/>
    </row>
    <row r="646" spans="3:11">
      <c r="C646" s="1"/>
      <c r="D646" s="1"/>
      <c r="E646" s="1"/>
      <c r="F646" s="1"/>
      <c r="J646" s="1"/>
      <c r="K646" s="1"/>
    </row>
    <row r="647" spans="3:11">
      <c r="C647" s="1"/>
      <c r="D647" s="1"/>
      <c r="E647" s="1"/>
      <c r="F647" s="1"/>
      <c r="J647" s="1"/>
      <c r="K647" s="1"/>
    </row>
    <row r="648" spans="3:11">
      <c r="C648" s="1"/>
      <c r="D648" s="1"/>
      <c r="E648" s="1"/>
      <c r="F648" s="1"/>
      <c r="J648" s="1"/>
      <c r="K648" s="1"/>
    </row>
    <row r="649" spans="3:11">
      <c r="C649" s="1"/>
      <c r="D649" s="1"/>
      <c r="E649" s="1"/>
      <c r="F649" s="1"/>
      <c r="J649" s="1"/>
      <c r="K649" s="1"/>
    </row>
    <row r="650" spans="3:11">
      <c r="C650" s="1"/>
      <c r="D650" s="1"/>
      <c r="E650" s="1"/>
      <c r="F650" s="1"/>
      <c r="J650" s="1"/>
      <c r="K650" s="1"/>
    </row>
    <row r="651" spans="3:11">
      <c r="C651" s="1"/>
      <c r="D651" s="1"/>
      <c r="E651" s="1"/>
      <c r="F651" s="1"/>
      <c r="J651" s="1"/>
      <c r="K651" s="1"/>
    </row>
    <row r="652" spans="3:11">
      <c r="C652" s="1"/>
      <c r="D652" s="1"/>
      <c r="E652" s="1"/>
      <c r="F652" s="1"/>
      <c r="J652" s="1"/>
      <c r="K652" s="1"/>
    </row>
    <row r="653" spans="3:11">
      <c r="C653" s="1"/>
      <c r="D653" s="1"/>
      <c r="E653" s="1"/>
      <c r="F653" s="1"/>
      <c r="J653" s="1"/>
      <c r="K653" s="1"/>
    </row>
    <row r="654" spans="3:11">
      <c r="C654" s="1"/>
      <c r="D654" s="1"/>
      <c r="E654" s="1"/>
      <c r="F654" s="1"/>
      <c r="J654" s="1"/>
      <c r="K654" s="1"/>
    </row>
    <row r="655" spans="3:11">
      <c r="C655" s="1"/>
      <c r="D655" s="1"/>
      <c r="E655" s="1"/>
      <c r="F655" s="1"/>
      <c r="J655" s="1"/>
      <c r="K655" s="1"/>
    </row>
    <row r="656" spans="3:11">
      <c r="C656" s="1"/>
      <c r="D656" s="1"/>
      <c r="E656" s="1"/>
      <c r="F656" s="1"/>
      <c r="J656" s="1"/>
      <c r="K656" s="1"/>
    </row>
    <row r="657" spans="3:11">
      <c r="C657" s="1"/>
      <c r="D657" s="1"/>
      <c r="E657" s="1"/>
      <c r="F657" s="1"/>
      <c r="J657" s="1"/>
      <c r="K657" s="1"/>
    </row>
    <row r="658" spans="3:11">
      <c r="C658" s="1"/>
      <c r="D658" s="1"/>
      <c r="E658" s="1"/>
      <c r="F658" s="1"/>
      <c r="J658" s="1"/>
      <c r="K658" s="1"/>
    </row>
    <row r="659" spans="3:11">
      <c r="C659" s="1"/>
      <c r="D659" s="1"/>
      <c r="E659" s="1"/>
      <c r="F659" s="1"/>
      <c r="J659" s="1"/>
      <c r="K659" s="1"/>
    </row>
    <row r="660" spans="3:11">
      <c r="C660" s="1"/>
      <c r="D660" s="1"/>
      <c r="E660" s="1"/>
      <c r="F660" s="1"/>
      <c r="J660" s="1"/>
      <c r="K660" s="1"/>
    </row>
    <row r="661" spans="3:11">
      <c r="C661" s="1"/>
      <c r="D661" s="1"/>
      <c r="E661" s="1"/>
      <c r="F661" s="1"/>
      <c r="J661" s="1"/>
      <c r="K661" s="1"/>
    </row>
    <row r="662" spans="3:11">
      <c r="C662" s="1"/>
      <c r="D662" s="1"/>
      <c r="E662" s="1"/>
      <c r="F662" s="1"/>
      <c r="J662" s="1"/>
      <c r="K662" s="1"/>
    </row>
    <row r="663" spans="3:11">
      <c r="C663" s="1"/>
      <c r="D663" s="1"/>
      <c r="E663" s="1"/>
      <c r="F663" s="1"/>
      <c r="J663" s="1"/>
      <c r="K663" s="1"/>
    </row>
    <row r="664" spans="3:11">
      <c r="C664" s="1"/>
      <c r="D664" s="1"/>
      <c r="E664" s="1"/>
      <c r="F664" s="1"/>
      <c r="J664" s="1"/>
      <c r="K664" s="1"/>
    </row>
    <row r="665" spans="3:11">
      <c r="C665" s="1"/>
      <c r="D665" s="1"/>
      <c r="E665" s="1"/>
      <c r="F665" s="1"/>
      <c r="J665" s="1"/>
      <c r="K665" s="1"/>
    </row>
    <row r="666" spans="3:11">
      <c r="C666" s="1"/>
      <c r="D666" s="1"/>
      <c r="E666" s="1"/>
      <c r="F666" s="1"/>
      <c r="J666" s="1"/>
      <c r="K666" s="1"/>
    </row>
    <row r="667" spans="3:11">
      <c r="C667" s="1"/>
      <c r="D667" s="1"/>
      <c r="E667" s="1"/>
      <c r="F667" s="1"/>
      <c r="J667" s="1"/>
      <c r="K667" s="1"/>
    </row>
    <row r="668" spans="3:11">
      <c r="C668" s="1"/>
      <c r="D668" s="1"/>
      <c r="E668" s="1"/>
      <c r="F668" s="1"/>
      <c r="J668" s="1"/>
      <c r="K668" s="1"/>
    </row>
    <row r="669" spans="3:11">
      <c r="C669" s="1"/>
      <c r="D669" s="1"/>
      <c r="E669" s="1"/>
      <c r="F669" s="1"/>
      <c r="J669" s="1"/>
      <c r="K669" s="1"/>
    </row>
    <row r="670" spans="3:11">
      <c r="C670" s="1"/>
      <c r="D670" s="1"/>
      <c r="E670" s="1"/>
      <c r="F670" s="1"/>
      <c r="J670" s="1"/>
      <c r="K670" s="1"/>
    </row>
    <row r="671" spans="3:11">
      <c r="C671" s="1"/>
      <c r="D671" s="1"/>
      <c r="E671" s="1"/>
      <c r="F671" s="1"/>
      <c r="J671" s="1"/>
      <c r="K671" s="1"/>
    </row>
    <row r="672" spans="3:11">
      <c r="C672" s="1"/>
      <c r="D672" s="1"/>
      <c r="E672" s="1"/>
      <c r="F672" s="1"/>
      <c r="J672" s="1"/>
      <c r="K672" s="1"/>
    </row>
    <row r="673" spans="3:11">
      <c r="C673" s="1"/>
      <c r="D673" s="1"/>
      <c r="E673" s="1"/>
      <c r="F673" s="1"/>
      <c r="J673" s="1"/>
      <c r="K673" s="1"/>
    </row>
    <row r="674" spans="3:11">
      <c r="C674" s="1"/>
      <c r="D674" s="1"/>
      <c r="E674" s="1"/>
      <c r="F674" s="1"/>
      <c r="J674" s="1"/>
      <c r="K674" s="1"/>
    </row>
    <row r="675" spans="3:11">
      <c r="C675" s="1"/>
      <c r="D675" s="1"/>
      <c r="E675" s="1"/>
      <c r="F675" s="1"/>
      <c r="J675" s="1"/>
      <c r="K675" s="1"/>
    </row>
    <row r="676" spans="3:11">
      <c r="C676" s="1"/>
      <c r="D676" s="1"/>
      <c r="E676" s="1"/>
      <c r="F676" s="1"/>
      <c r="J676" s="1"/>
      <c r="K676" s="1"/>
    </row>
    <row r="677" spans="3:11">
      <c r="C677" s="1"/>
      <c r="D677" s="1"/>
      <c r="E677" s="1"/>
      <c r="F677" s="1"/>
      <c r="J677" s="1"/>
      <c r="K677" s="1"/>
    </row>
    <row r="678" spans="3:11">
      <c r="C678" s="1"/>
      <c r="D678" s="1"/>
      <c r="E678" s="1"/>
      <c r="F678" s="1"/>
      <c r="J678" s="1"/>
      <c r="K678" s="1"/>
    </row>
    <row r="679" spans="3:11">
      <c r="C679" s="1"/>
      <c r="D679" s="1"/>
      <c r="E679" s="1"/>
      <c r="F679" s="1"/>
      <c r="J679" s="1"/>
      <c r="K679" s="1"/>
    </row>
    <row r="680" spans="3:11">
      <c r="C680" s="1"/>
      <c r="D680" s="1"/>
      <c r="E680" s="1"/>
      <c r="F680" s="1"/>
      <c r="J680" s="1"/>
      <c r="K680" s="1"/>
    </row>
    <row r="681" spans="3:11">
      <c r="C681" s="1"/>
      <c r="D681" s="1"/>
      <c r="E681" s="1"/>
      <c r="F681" s="1"/>
      <c r="J681" s="1"/>
      <c r="K681" s="1"/>
    </row>
    <row r="682" spans="3:11">
      <c r="C682" s="1"/>
      <c r="D682" s="1"/>
      <c r="E682" s="1"/>
      <c r="F682" s="1"/>
      <c r="J682" s="1"/>
      <c r="K682" s="1"/>
    </row>
    <row r="683" spans="3:11">
      <c r="C683" s="1"/>
      <c r="D683" s="1"/>
      <c r="E683" s="1"/>
      <c r="F683" s="1"/>
      <c r="J683" s="1"/>
      <c r="K683" s="1"/>
    </row>
    <row r="684" spans="3:11">
      <c r="C684" s="1"/>
      <c r="D684" s="1"/>
      <c r="E684" s="1"/>
      <c r="F684" s="1"/>
      <c r="J684" s="1"/>
      <c r="K684" s="1"/>
    </row>
    <row r="685" spans="3:11">
      <c r="C685" s="1"/>
      <c r="D685" s="1"/>
      <c r="E685" s="1"/>
      <c r="F685" s="1"/>
      <c r="J685" s="1"/>
      <c r="K685" s="1"/>
    </row>
    <row r="686" spans="3:11">
      <c r="C686" s="1"/>
      <c r="D686" s="1"/>
      <c r="E686" s="1"/>
      <c r="F686" s="1"/>
      <c r="J686" s="1"/>
      <c r="K686" s="1"/>
    </row>
    <row r="687" spans="3:11">
      <c r="C687" s="1"/>
      <c r="D687" s="1"/>
      <c r="E687" s="1"/>
      <c r="F687" s="1"/>
      <c r="J687" s="1"/>
      <c r="K687" s="1"/>
    </row>
    <row r="688" spans="3:11">
      <c r="C688" s="1"/>
      <c r="D688" s="1"/>
      <c r="E688" s="1"/>
      <c r="F688" s="1"/>
      <c r="J688" s="1"/>
      <c r="K688" s="1"/>
    </row>
    <row r="689" spans="3:11">
      <c r="C689" s="1"/>
      <c r="D689" s="1"/>
      <c r="E689" s="1"/>
      <c r="F689" s="1"/>
      <c r="J689" s="1"/>
      <c r="K689" s="1"/>
    </row>
    <row r="690" spans="3:11">
      <c r="C690" s="1"/>
      <c r="D690" s="1"/>
      <c r="E690" s="1"/>
      <c r="F690" s="1"/>
      <c r="J690" s="1"/>
      <c r="K690" s="1"/>
    </row>
    <row r="691" spans="3:11">
      <c r="C691" s="1"/>
      <c r="D691" s="1"/>
      <c r="E691" s="1"/>
      <c r="F691" s="1"/>
      <c r="J691" s="1"/>
      <c r="K691" s="1"/>
    </row>
    <row r="692" spans="3:11">
      <c r="C692" s="1"/>
      <c r="D692" s="1"/>
      <c r="E692" s="1"/>
      <c r="F692" s="1"/>
      <c r="J692" s="1"/>
      <c r="K692" s="1"/>
    </row>
    <row r="693" spans="3:11">
      <c r="C693" s="1"/>
      <c r="D693" s="1"/>
      <c r="E693" s="1"/>
      <c r="F693" s="1"/>
      <c r="J693" s="1"/>
      <c r="K693" s="1"/>
    </row>
    <row r="694" spans="3:11">
      <c r="C694" s="1"/>
      <c r="D694" s="1"/>
      <c r="E694" s="1"/>
      <c r="F694" s="1"/>
      <c r="J694" s="1"/>
      <c r="K694" s="1"/>
    </row>
    <row r="695" spans="3:11">
      <c r="C695" s="1"/>
      <c r="D695" s="1"/>
      <c r="E695" s="1"/>
      <c r="F695" s="1"/>
      <c r="J695" s="1"/>
      <c r="K695" s="1"/>
    </row>
    <row r="696" spans="3:11">
      <c r="C696" s="1"/>
      <c r="D696" s="1"/>
      <c r="E696" s="1"/>
      <c r="F696" s="1"/>
      <c r="J696" s="1"/>
      <c r="K696" s="1"/>
    </row>
    <row r="697" spans="3:11">
      <c r="C697" s="1"/>
      <c r="D697" s="1"/>
      <c r="E697" s="1"/>
      <c r="F697" s="1"/>
      <c r="J697" s="1"/>
      <c r="K697" s="1"/>
    </row>
    <row r="698" spans="3:11">
      <c r="C698" s="1"/>
      <c r="D698" s="1"/>
      <c r="E698" s="1"/>
      <c r="F698" s="1"/>
      <c r="J698" s="1"/>
      <c r="K698" s="1"/>
    </row>
    <row r="699" spans="3:11">
      <c r="C699" s="1"/>
      <c r="D699" s="1"/>
      <c r="E699" s="1"/>
      <c r="F699" s="1"/>
      <c r="J699" s="1"/>
      <c r="K699" s="1"/>
    </row>
    <row r="700" spans="3:11">
      <c r="C700" s="1"/>
      <c r="D700" s="1"/>
      <c r="E700" s="1"/>
      <c r="F700" s="1"/>
      <c r="J700" s="1"/>
      <c r="K700" s="1"/>
    </row>
    <row r="701" spans="3:11">
      <c r="C701" s="1"/>
      <c r="D701" s="1"/>
      <c r="E701" s="1"/>
      <c r="F701" s="1"/>
      <c r="J701" s="1"/>
      <c r="K701" s="1"/>
    </row>
    <row r="702" spans="3:11">
      <c r="C702" s="1"/>
      <c r="D702" s="1"/>
      <c r="E702" s="1"/>
      <c r="F702" s="1"/>
      <c r="J702" s="1"/>
      <c r="K702" s="1"/>
    </row>
    <row r="703" spans="3:11">
      <c r="C703" s="1"/>
      <c r="D703" s="1"/>
      <c r="E703" s="1"/>
      <c r="F703" s="1"/>
      <c r="J703" s="1"/>
      <c r="K703" s="1"/>
    </row>
    <row r="704" spans="3:11">
      <c r="C704" s="1"/>
      <c r="D704" s="1"/>
      <c r="E704" s="1"/>
      <c r="F704" s="1"/>
      <c r="J704" s="1"/>
      <c r="K704" s="1"/>
    </row>
    <row r="705" spans="3:11">
      <c r="C705" s="1"/>
      <c r="D705" s="1"/>
      <c r="E705" s="1"/>
      <c r="F705" s="1"/>
      <c r="J705" s="1"/>
      <c r="K705" s="1"/>
    </row>
    <row r="706" spans="3:11">
      <c r="C706" s="1"/>
      <c r="D706" s="1"/>
      <c r="E706" s="1"/>
      <c r="F706" s="1"/>
      <c r="J706" s="1"/>
      <c r="K706" s="1"/>
    </row>
    <row r="707" spans="3:11">
      <c r="C707" s="1"/>
      <c r="D707" s="1"/>
      <c r="E707" s="1"/>
      <c r="F707" s="1"/>
      <c r="J707" s="1"/>
      <c r="K707" s="1"/>
    </row>
    <row r="708" spans="3:11">
      <c r="C708" s="1"/>
      <c r="D708" s="1"/>
      <c r="E708" s="1"/>
      <c r="F708" s="1"/>
      <c r="J708" s="1"/>
      <c r="K708" s="1"/>
    </row>
    <row r="709" spans="3:11">
      <c r="C709" s="1"/>
      <c r="D709" s="1"/>
      <c r="E709" s="1"/>
      <c r="F709" s="1"/>
      <c r="J709" s="1"/>
      <c r="K709" s="1"/>
    </row>
    <row r="710" spans="3:11">
      <c r="C710" s="1"/>
      <c r="D710" s="1"/>
      <c r="E710" s="1"/>
      <c r="F710" s="1"/>
      <c r="J710" s="1"/>
      <c r="K710" s="1"/>
    </row>
    <row r="711" spans="3:11">
      <c r="C711" s="1"/>
      <c r="D711" s="1"/>
      <c r="E711" s="1"/>
      <c r="F711" s="1"/>
      <c r="J711" s="1"/>
      <c r="K711" s="1"/>
    </row>
    <row r="712" spans="3:11">
      <c r="C712" s="1"/>
      <c r="D712" s="1"/>
      <c r="E712" s="1"/>
      <c r="F712" s="1"/>
      <c r="J712" s="1"/>
      <c r="K712" s="1"/>
    </row>
    <row r="713" spans="3:11">
      <c r="C713" s="1"/>
      <c r="D713" s="1"/>
      <c r="E713" s="1"/>
      <c r="F713" s="1"/>
      <c r="J713" s="1"/>
      <c r="K713" s="1"/>
    </row>
    <row r="714" spans="3:11">
      <c r="C714" s="1"/>
      <c r="D714" s="1"/>
      <c r="E714" s="1"/>
      <c r="F714" s="1"/>
      <c r="J714" s="1"/>
      <c r="K714" s="1"/>
    </row>
    <row r="715" spans="3:11">
      <c r="C715" s="1"/>
      <c r="D715" s="1"/>
      <c r="E715" s="1"/>
      <c r="F715" s="1"/>
      <c r="J715" s="1"/>
      <c r="K715" s="1"/>
    </row>
    <row r="716" spans="3:11">
      <c r="C716" s="1"/>
      <c r="D716" s="1"/>
      <c r="E716" s="1"/>
      <c r="F716" s="1"/>
      <c r="J716" s="1"/>
      <c r="K716" s="1"/>
    </row>
    <row r="717" spans="3:11">
      <c r="C717" s="1"/>
      <c r="D717" s="1"/>
      <c r="E717" s="1"/>
      <c r="F717" s="1"/>
      <c r="J717" s="1"/>
      <c r="K717" s="1"/>
    </row>
    <row r="718" spans="3:11">
      <c r="C718" s="1"/>
      <c r="D718" s="1"/>
      <c r="E718" s="1"/>
      <c r="F718" s="1"/>
      <c r="J718" s="1"/>
      <c r="K718" s="1"/>
    </row>
    <row r="719" spans="3:11">
      <c r="C719" s="1"/>
      <c r="D719" s="1"/>
      <c r="E719" s="1"/>
      <c r="F719" s="1"/>
      <c r="J719" s="1"/>
      <c r="K719" s="1"/>
    </row>
    <row r="720" spans="3:11">
      <c r="C720" s="1"/>
      <c r="D720" s="1"/>
      <c r="E720" s="1"/>
      <c r="F720" s="1"/>
      <c r="J720" s="1"/>
      <c r="K720" s="1"/>
    </row>
    <row r="721" spans="3:11">
      <c r="C721" s="1"/>
      <c r="D721" s="1"/>
      <c r="E721" s="1"/>
      <c r="F721" s="1"/>
      <c r="J721" s="1"/>
      <c r="K721" s="1"/>
    </row>
    <row r="722" spans="3:11">
      <c r="C722" s="1"/>
      <c r="D722" s="1"/>
      <c r="E722" s="1"/>
      <c r="F722" s="1"/>
      <c r="J722" s="1"/>
      <c r="K722" s="1"/>
    </row>
    <row r="723" spans="3:11">
      <c r="C723" s="1"/>
      <c r="D723" s="1"/>
      <c r="E723" s="1"/>
      <c r="F723" s="1"/>
      <c r="J723" s="1"/>
      <c r="K723" s="1"/>
    </row>
    <row r="724" spans="3:11">
      <c r="C724" s="1"/>
      <c r="D724" s="1"/>
      <c r="E724" s="1"/>
      <c r="F724" s="1"/>
      <c r="J724" s="1"/>
      <c r="K724" s="1"/>
    </row>
    <row r="725" spans="3:11">
      <c r="C725" s="1"/>
      <c r="D725" s="1"/>
      <c r="E725" s="1"/>
      <c r="F725" s="1"/>
      <c r="J725" s="1"/>
      <c r="K725" s="1"/>
    </row>
    <row r="726" spans="3:11">
      <c r="C726" s="1"/>
      <c r="D726" s="1"/>
      <c r="E726" s="1"/>
      <c r="F726" s="1"/>
      <c r="J726" s="1"/>
      <c r="K726" s="1"/>
    </row>
    <row r="727" spans="3:11">
      <c r="C727" s="1"/>
      <c r="D727" s="1"/>
      <c r="E727" s="1"/>
      <c r="F727" s="1"/>
      <c r="J727" s="1"/>
      <c r="K727" s="1"/>
    </row>
    <row r="728" spans="3:11">
      <c r="C728" s="1"/>
      <c r="D728" s="1"/>
      <c r="E728" s="1"/>
      <c r="F728" s="1"/>
      <c r="J728" s="1"/>
      <c r="K728" s="1"/>
    </row>
    <row r="729" spans="3:11">
      <c r="C729" s="1"/>
      <c r="D729" s="1"/>
      <c r="E729" s="1"/>
      <c r="F729" s="1"/>
      <c r="J729" s="1"/>
      <c r="K729" s="1"/>
    </row>
    <row r="730" spans="3:11">
      <c r="C730" s="1"/>
      <c r="D730" s="1"/>
      <c r="E730" s="1"/>
      <c r="F730" s="1"/>
      <c r="J730" s="1"/>
      <c r="K730" s="1"/>
    </row>
    <row r="731" spans="3:11">
      <c r="C731" s="1"/>
      <c r="D731" s="1"/>
      <c r="E731" s="1"/>
      <c r="F731" s="1"/>
      <c r="J731" s="1"/>
      <c r="K731" s="1"/>
    </row>
    <row r="732" spans="3:11">
      <c r="C732" s="1"/>
      <c r="D732" s="1"/>
      <c r="E732" s="1"/>
      <c r="F732" s="1"/>
      <c r="J732" s="1"/>
      <c r="K732" s="1"/>
    </row>
    <row r="733" spans="3:11">
      <c r="C733" s="1"/>
      <c r="D733" s="1"/>
      <c r="E733" s="1"/>
      <c r="F733" s="1"/>
      <c r="J733" s="1"/>
      <c r="K733" s="1"/>
    </row>
    <row r="734" spans="3:11">
      <c r="C734" s="1"/>
      <c r="D734" s="1"/>
      <c r="E734" s="1"/>
      <c r="F734" s="1"/>
      <c r="J734" s="1"/>
      <c r="K734" s="1"/>
    </row>
    <row r="735" spans="3:11">
      <c r="C735" s="1"/>
      <c r="D735" s="1"/>
      <c r="E735" s="1"/>
      <c r="F735" s="1"/>
      <c r="J735" s="1"/>
      <c r="K735" s="1"/>
    </row>
    <row r="736" spans="3:11">
      <c r="C736" s="1"/>
      <c r="D736" s="1"/>
      <c r="E736" s="1"/>
      <c r="F736" s="1"/>
      <c r="J736" s="1"/>
      <c r="K736" s="1"/>
    </row>
    <row r="737" spans="3:11">
      <c r="C737" s="1"/>
      <c r="D737" s="1"/>
      <c r="E737" s="1"/>
      <c r="F737" s="1"/>
      <c r="J737" s="1"/>
      <c r="K737" s="1"/>
    </row>
    <row r="738" spans="3:11">
      <c r="C738" s="1"/>
      <c r="D738" s="1"/>
      <c r="E738" s="1"/>
      <c r="F738" s="1"/>
      <c r="J738" s="1"/>
      <c r="K738" s="1"/>
    </row>
    <row r="739" spans="3:11">
      <c r="C739" s="1"/>
      <c r="D739" s="1"/>
      <c r="E739" s="1"/>
      <c r="F739" s="1"/>
      <c r="J739" s="1"/>
      <c r="K739" s="1"/>
    </row>
    <row r="740" spans="3:11">
      <c r="C740" s="1"/>
      <c r="D740" s="1"/>
      <c r="E740" s="1"/>
      <c r="F740" s="1"/>
      <c r="J740" s="1"/>
      <c r="K740" s="1"/>
    </row>
    <row r="741" spans="3:11">
      <c r="C741" s="1"/>
      <c r="D741" s="1"/>
      <c r="E741" s="1"/>
      <c r="F741" s="1"/>
      <c r="J741" s="1"/>
      <c r="K741" s="1"/>
    </row>
    <row r="742" spans="3:11">
      <c r="C742" s="1"/>
      <c r="D742" s="1"/>
      <c r="E742" s="1"/>
      <c r="F742" s="1"/>
      <c r="J742" s="1"/>
      <c r="K742" s="1"/>
    </row>
    <row r="743" spans="3:11">
      <c r="C743" s="1"/>
      <c r="D743" s="1"/>
      <c r="E743" s="1"/>
      <c r="F743" s="1"/>
      <c r="J743" s="1"/>
      <c r="K743" s="1"/>
    </row>
    <row r="744" spans="3:11">
      <c r="C744" s="1"/>
      <c r="D744" s="1"/>
      <c r="E744" s="1"/>
      <c r="F744" s="1"/>
      <c r="J744" s="1"/>
      <c r="K744" s="1"/>
    </row>
    <row r="745" spans="3:11">
      <c r="C745" s="1"/>
      <c r="D745" s="1"/>
      <c r="E745" s="1"/>
      <c r="F745" s="1"/>
      <c r="J745" s="1"/>
      <c r="K745" s="1"/>
    </row>
    <row r="746" spans="3:11">
      <c r="C746" s="1"/>
      <c r="D746" s="1"/>
      <c r="E746" s="1"/>
      <c r="F746" s="1"/>
      <c r="J746" s="1"/>
      <c r="K746" s="1"/>
    </row>
    <row r="747" spans="3:11">
      <c r="C747" s="1"/>
      <c r="D747" s="1"/>
      <c r="E747" s="1"/>
      <c r="F747" s="1"/>
      <c r="J747" s="1"/>
      <c r="K747" s="1"/>
    </row>
    <row r="748" spans="3:11">
      <c r="C748" s="1"/>
      <c r="D748" s="1"/>
      <c r="E748" s="1"/>
      <c r="F748" s="1"/>
      <c r="J748" s="1"/>
      <c r="K748" s="1"/>
    </row>
    <row r="749" spans="3:11">
      <c r="C749" s="1"/>
      <c r="D749" s="1"/>
      <c r="E749" s="1"/>
      <c r="F749" s="1"/>
      <c r="J749" s="1"/>
      <c r="K749" s="1"/>
    </row>
    <row r="750" spans="3:11">
      <c r="C750" s="1"/>
      <c r="D750" s="1"/>
      <c r="E750" s="1"/>
      <c r="F750" s="1"/>
      <c r="J750" s="1"/>
      <c r="K750" s="1"/>
    </row>
    <row r="751" spans="3:11">
      <c r="C751" s="1"/>
      <c r="D751" s="1"/>
      <c r="E751" s="1"/>
      <c r="F751" s="1"/>
      <c r="J751" s="1"/>
      <c r="K751" s="1"/>
    </row>
    <row r="752" spans="3:11">
      <c r="C752" s="1"/>
      <c r="D752" s="1"/>
      <c r="E752" s="1"/>
      <c r="F752" s="1"/>
      <c r="J752" s="1"/>
      <c r="K752" s="1"/>
    </row>
    <row r="753" spans="3:11">
      <c r="C753" s="1"/>
      <c r="D753" s="1"/>
      <c r="E753" s="1"/>
      <c r="F753" s="1"/>
      <c r="J753" s="1"/>
      <c r="K753" s="1"/>
    </row>
    <row r="754" spans="3:11">
      <c r="C754" s="1"/>
      <c r="D754" s="1"/>
      <c r="E754" s="1"/>
      <c r="F754" s="1"/>
      <c r="J754" s="1"/>
      <c r="K754" s="1"/>
    </row>
    <row r="755" spans="3:11">
      <c r="C755" s="1"/>
      <c r="D755" s="1"/>
      <c r="E755" s="1"/>
      <c r="F755" s="1"/>
      <c r="J755" s="1"/>
      <c r="K755" s="1"/>
    </row>
    <row r="756" spans="3:11">
      <c r="C756" s="1"/>
      <c r="D756" s="1"/>
      <c r="E756" s="1"/>
      <c r="F756" s="1"/>
      <c r="J756" s="1"/>
      <c r="K756" s="1"/>
    </row>
    <row r="757" spans="3:11">
      <c r="C757" s="1"/>
      <c r="D757" s="1"/>
      <c r="E757" s="1"/>
      <c r="F757" s="1"/>
      <c r="J757" s="1"/>
      <c r="K757" s="1"/>
    </row>
    <row r="758" spans="3:11">
      <c r="C758" s="1"/>
      <c r="D758" s="1"/>
      <c r="E758" s="1"/>
      <c r="F758" s="1"/>
      <c r="J758" s="1"/>
      <c r="K758" s="1"/>
    </row>
    <row r="759" spans="3:11">
      <c r="C759" s="1"/>
      <c r="D759" s="1"/>
      <c r="E759" s="1"/>
      <c r="F759" s="1"/>
      <c r="J759" s="1"/>
      <c r="K759" s="1"/>
    </row>
    <row r="760" spans="3:11">
      <c r="C760" s="1"/>
      <c r="D760" s="1"/>
      <c r="E760" s="1"/>
      <c r="F760" s="1"/>
      <c r="J760" s="1"/>
      <c r="K760" s="1"/>
    </row>
    <row r="761" spans="3:11">
      <c r="C761" s="1"/>
      <c r="D761" s="1"/>
      <c r="E761" s="1"/>
      <c r="F761" s="1"/>
      <c r="J761" s="1"/>
      <c r="K761" s="1"/>
    </row>
    <row r="762" spans="3:11">
      <c r="C762" s="1"/>
      <c r="D762" s="1"/>
      <c r="E762" s="1"/>
      <c r="F762" s="1"/>
      <c r="J762" s="1"/>
      <c r="K762" s="1"/>
    </row>
    <row r="763" spans="3:11">
      <c r="C763" s="1"/>
      <c r="D763" s="1"/>
      <c r="E763" s="1"/>
      <c r="F763" s="1"/>
      <c r="J763" s="1"/>
      <c r="K763" s="1"/>
    </row>
    <row r="764" spans="3:11">
      <c r="C764" s="1"/>
      <c r="D764" s="1"/>
      <c r="E764" s="1"/>
      <c r="F764" s="1"/>
      <c r="J764" s="1"/>
      <c r="K764" s="1"/>
    </row>
    <row r="765" spans="3:11">
      <c r="C765" s="1"/>
      <c r="D765" s="1"/>
      <c r="E765" s="1"/>
      <c r="F765" s="1"/>
      <c r="J765" s="1"/>
      <c r="K765" s="1"/>
    </row>
    <row r="766" spans="3:11">
      <c r="C766" s="1"/>
      <c r="D766" s="1"/>
      <c r="E766" s="1"/>
      <c r="F766" s="1"/>
      <c r="J766" s="1"/>
      <c r="K766" s="1"/>
    </row>
    <row r="767" spans="3:11">
      <c r="C767" s="1"/>
      <c r="D767" s="1"/>
      <c r="E767" s="1"/>
      <c r="F767" s="1"/>
      <c r="J767" s="1"/>
      <c r="K767" s="1"/>
    </row>
    <row r="768" spans="3:11">
      <c r="C768" s="1"/>
      <c r="D768" s="1"/>
      <c r="E768" s="1"/>
      <c r="F768" s="1"/>
      <c r="J768" s="1"/>
      <c r="K768" s="1"/>
    </row>
    <row r="769" spans="3:11">
      <c r="C769" s="1"/>
      <c r="D769" s="1"/>
      <c r="E769" s="1"/>
      <c r="F769" s="1"/>
      <c r="J769" s="1"/>
      <c r="K769" s="1"/>
    </row>
    <row r="770" spans="3:11">
      <c r="C770" s="1"/>
      <c r="D770" s="1"/>
      <c r="E770" s="1"/>
      <c r="F770" s="1"/>
      <c r="J770" s="1"/>
      <c r="K770" s="1"/>
    </row>
    <row r="771" spans="3:11">
      <c r="C771" s="1"/>
      <c r="D771" s="1"/>
      <c r="E771" s="1"/>
      <c r="F771" s="1"/>
      <c r="J771" s="1"/>
      <c r="K771" s="1"/>
    </row>
    <row r="772" spans="3:11">
      <c r="C772" s="1"/>
      <c r="D772" s="1"/>
      <c r="E772" s="1"/>
      <c r="F772" s="1"/>
      <c r="J772" s="1"/>
      <c r="K772" s="1"/>
    </row>
    <row r="773" spans="3:11">
      <c r="C773" s="1"/>
      <c r="D773" s="1"/>
      <c r="E773" s="1"/>
      <c r="F773" s="1"/>
      <c r="J773" s="1"/>
      <c r="K773" s="1"/>
    </row>
    <row r="774" spans="3:11">
      <c r="C774" s="1"/>
      <c r="D774" s="1"/>
      <c r="E774" s="1"/>
      <c r="F774" s="1"/>
      <c r="J774" s="1"/>
      <c r="K774" s="1"/>
    </row>
    <row r="775" spans="3:11">
      <c r="C775" s="1"/>
      <c r="D775" s="1"/>
      <c r="E775" s="1"/>
      <c r="F775" s="1"/>
      <c r="J775" s="1"/>
      <c r="K775" s="1"/>
    </row>
    <row r="776" spans="3:11">
      <c r="C776" s="1"/>
      <c r="D776" s="1"/>
      <c r="E776" s="1"/>
      <c r="F776" s="1"/>
      <c r="J776" s="1"/>
      <c r="K776" s="1"/>
    </row>
    <row r="777" spans="3:11">
      <c r="C777" s="1"/>
      <c r="D777" s="1"/>
      <c r="E777" s="1"/>
      <c r="F777" s="1"/>
      <c r="J777" s="1"/>
      <c r="K777" s="1"/>
    </row>
    <row r="778" spans="3:11">
      <c r="C778" s="1"/>
      <c r="D778" s="1"/>
      <c r="E778" s="1"/>
      <c r="F778" s="1"/>
      <c r="J778" s="1"/>
      <c r="K778" s="1"/>
    </row>
    <row r="779" spans="3:11">
      <c r="C779" s="1"/>
      <c r="D779" s="1"/>
      <c r="E779" s="1"/>
      <c r="F779" s="1"/>
      <c r="J779" s="1"/>
      <c r="K779" s="1"/>
    </row>
    <row r="780" spans="3:11">
      <c r="C780" s="1"/>
      <c r="D780" s="1"/>
      <c r="E780" s="1"/>
      <c r="F780" s="1"/>
      <c r="J780" s="1"/>
      <c r="K780" s="1"/>
    </row>
    <row r="781" spans="3:11">
      <c r="C781" s="1"/>
      <c r="D781" s="1"/>
      <c r="E781" s="1"/>
      <c r="F781" s="1"/>
      <c r="J781" s="1"/>
      <c r="K781" s="1"/>
    </row>
    <row r="782" spans="3:11">
      <c r="C782" s="1"/>
      <c r="D782" s="1"/>
      <c r="E782" s="1"/>
      <c r="F782" s="1"/>
      <c r="J782" s="1"/>
      <c r="K782" s="1"/>
    </row>
    <row r="783" spans="3:11">
      <c r="C783" s="1"/>
      <c r="D783" s="1"/>
      <c r="E783" s="1"/>
      <c r="F783" s="1"/>
      <c r="J783" s="1"/>
      <c r="K783" s="1"/>
    </row>
    <row r="784" spans="3:11">
      <c r="C784" s="1"/>
      <c r="D784" s="1"/>
      <c r="E784" s="1"/>
      <c r="F784" s="1"/>
      <c r="J784" s="1"/>
      <c r="K784" s="1"/>
    </row>
    <row r="785" spans="3:11">
      <c r="C785" s="1"/>
      <c r="D785" s="1"/>
      <c r="E785" s="1"/>
      <c r="F785" s="1"/>
      <c r="J785" s="1"/>
      <c r="K785" s="1"/>
    </row>
    <row r="786" spans="3:11">
      <c r="C786" s="1"/>
      <c r="D786" s="1"/>
      <c r="E786" s="1"/>
      <c r="F786" s="1"/>
      <c r="J786" s="1"/>
      <c r="K786" s="1"/>
    </row>
    <row r="787" spans="3:11">
      <c r="C787" s="1"/>
      <c r="D787" s="1"/>
      <c r="E787" s="1"/>
      <c r="F787" s="1"/>
      <c r="J787" s="1"/>
      <c r="K787" s="1"/>
    </row>
    <row r="788" spans="3:11">
      <c r="C788" s="1"/>
      <c r="D788" s="1"/>
      <c r="E788" s="1"/>
      <c r="F788" s="1"/>
      <c r="J788" s="1"/>
      <c r="K788" s="1"/>
    </row>
    <row r="789" spans="3:11">
      <c r="C789" s="1"/>
      <c r="D789" s="1"/>
      <c r="E789" s="1"/>
      <c r="F789" s="1"/>
      <c r="J789" s="1"/>
      <c r="K789" s="1"/>
    </row>
    <row r="790" spans="3:11">
      <c r="C790" s="1"/>
      <c r="D790" s="1"/>
      <c r="E790" s="1"/>
      <c r="F790" s="1"/>
      <c r="J790" s="1"/>
      <c r="K790" s="1"/>
    </row>
    <row r="791" spans="3:11">
      <c r="C791" s="1"/>
      <c r="D791" s="1"/>
      <c r="E791" s="1"/>
      <c r="F791" s="1"/>
      <c r="J791" s="1"/>
      <c r="K791" s="1"/>
    </row>
    <row r="792" spans="3:11">
      <c r="C792" s="1"/>
      <c r="D792" s="1"/>
      <c r="E792" s="1"/>
      <c r="F792" s="1"/>
      <c r="J792" s="1"/>
      <c r="K792" s="1"/>
    </row>
    <row r="793" spans="3:11">
      <c r="C793" s="1"/>
      <c r="D793" s="1"/>
      <c r="E793" s="1"/>
      <c r="F793" s="1"/>
      <c r="J793" s="1"/>
      <c r="K793" s="1"/>
    </row>
    <row r="794" spans="3:11">
      <c r="C794" s="1"/>
      <c r="D794" s="1"/>
      <c r="E794" s="1"/>
      <c r="F794" s="1"/>
      <c r="J794" s="1"/>
      <c r="K794" s="1"/>
    </row>
    <row r="795" spans="3:11">
      <c r="C795" s="1"/>
      <c r="D795" s="1"/>
      <c r="E795" s="1"/>
      <c r="F795" s="1"/>
      <c r="J795" s="1"/>
      <c r="K795" s="1"/>
    </row>
    <row r="796" spans="3:11">
      <c r="C796" s="1"/>
      <c r="D796" s="1"/>
      <c r="E796" s="1"/>
      <c r="F796" s="1"/>
      <c r="J796" s="1"/>
      <c r="K796" s="1"/>
    </row>
    <row r="797" spans="3:11">
      <c r="C797" s="1"/>
      <c r="D797" s="1"/>
      <c r="E797" s="1"/>
      <c r="F797" s="1"/>
      <c r="J797" s="1"/>
      <c r="K797" s="1"/>
    </row>
    <row r="798" spans="3:11">
      <c r="C798" s="1"/>
      <c r="D798" s="1"/>
      <c r="E798" s="1"/>
      <c r="F798" s="1"/>
      <c r="J798" s="1"/>
      <c r="K798" s="1"/>
    </row>
    <row r="799" spans="3:11">
      <c r="C799" s="1"/>
      <c r="D799" s="1"/>
      <c r="E799" s="1"/>
      <c r="F799" s="1"/>
      <c r="J799" s="1"/>
      <c r="K799" s="1"/>
    </row>
    <row r="800" spans="3:11">
      <c r="C800" s="1"/>
      <c r="D800" s="1"/>
      <c r="E800" s="1"/>
      <c r="F800" s="1"/>
      <c r="J800" s="1"/>
      <c r="K800" s="1"/>
    </row>
    <row r="801" spans="3:11">
      <c r="C801" s="1"/>
      <c r="D801" s="1"/>
      <c r="E801" s="1"/>
      <c r="F801" s="1"/>
      <c r="J801" s="1"/>
      <c r="K801" s="1"/>
    </row>
    <row r="802" spans="3:11">
      <c r="C802" s="1"/>
      <c r="D802" s="1"/>
      <c r="E802" s="1"/>
      <c r="F802" s="1"/>
      <c r="J802" s="1"/>
      <c r="K802" s="1"/>
    </row>
    <row r="803" spans="3:11">
      <c r="C803" s="1"/>
      <c r="D803" s="1"/>
      <c r="E803" s="1"/>
      <c r="F803" s="1"/>
      <c r="J803" s="1"/>
      <c r="K803" s="1"/>
    </row>
    <row r="804" spans="3:11">
      <c r="C804" s="1"/>
      <c r="D804" s="1"/>
      <c r="E804" s="1"/>
      <c r="F804" s="1"/>
      <c r="J804" s="1"/>
      <c r="K804" s="1"/>
    </row>
    <row r="805" spans="3:11">
      <c r="C805" s="1"/>
      <c r="D805" s="1"/>
      <c r="E805" s="1"/>
      <c r="F805" s="1"/>
      <c r="J805" s="1"/>
      <c r="K805" s="1"/>
    </row>
    <row r="806" spans="3:11">
      <c r="C806" s="1"/>
      <c r="D806" s="1"/>
      <c r="E806" s="1"/>
      <c r="F806" s="1"/>
      <c r="J806" s="1"/>
      <c r="K806" s="1"/>
    </row>
    <row r="807" spans="3:11">
      <c r="C807" s="1"/>
      <c r="D807" s="1"/>
      <c r="E807" s="1"/>
      <c r="F807" s="1"/>
      <c r="J807" s="1"/>
      <c r="K807" s="1"/>
    </row>
    <row r="808" spans="3:11">
      <c r="C808" s="1"/>
      <c r="D808" s="1"/>
      <c r="E808" s="1"/>
      <c r="F808" s="1"/>
      <c r="J808" s="1"/>
      <c r="K808" s="1"/>
    </row>
    <row r="809" spans="3:11">
      <c r="C809" s="1"/>
      <c r="D809" s="1"/>
      <c r="E809" s="1"/>
      <c r="F809" s="1"/>
      <c r="J809" s="1"/>
      <c r="K809" s="1"/>
    </row>
    <row r="810" spans="3:11">
      <c r="C810" s="1"/>
      <c r="D810" s="1"/>
      <c r="E810" s="1"/>
      <c r="F810" s="1"/>
      <c r="J810" s="1"/>
      <c r="K810" s="1"/>
    </row>
    <row r="811" spans="3:11">
      <c r="C811" s="1"/>
      <c r="D811" s="1"/>
      <c r="E811" s="1"/>
      <c r="F811" s="1"/>
      <c r="J811" s="1"/>
      <c r="K811" s="1"/>
    </row>
    <row r="812" spans="3:11">
      <c r="C812" s="1"/>
      <c r="D812" s="1"/>
      <c r="E812" s="1"/>
      <c r="F812" s="1"/>
      <c r="J812" s="1"/>
      <c r="K812" s="1"/>
    </row>
    <row r="813" spans="3:11">
      <c r="C813" s="1"/>
      <c r="D813" s="1"/>
      <c r="E813" s="1"/>
      <c r="F813" s="1"/>
      <c r="J813" s="1"/>
      <c r="K813" s="1"/>
    </row>
    <row r="814" spans="3:11">
      <c r="C814" s="1"/>
      <c r="D814" s="1"/>
      <c r="E814" s="1"/>
      <c r="F814" s="1"/>
      <c r="J814" s="1"/>
      <c r="K814" s="1"/>
    </row>
    <row r="815" spans="3:11">
      <c r="C815" s="1"/>
      <c r="D815" s="1"/>
      <c r="E815" s="1"/>
      <c r="F815" s="1"/>
      <c r="J815" s="1"/>
      <c r="K815" s="1"/>
    </row>
    <row r="816" spans="3:11">
      <c r="C816" s="1"/>
      <c r="D816" s="1"/>
      <c r="E816" s="1"/>
      <c r="F816" s="1"/>
      <c r="J816" s="1"/>
      <c r="K816" s="1"/>
    </row>
    <row r="817" spans="3:11">
      <c r="C817" s="1"/>
      <c r="D817" s="1"/>
      <c r="E817" s="1"/>
      <c r="F817" s="1"/>
      <c r="J817" s="1"/>
      <c r="K817" s="1"/>
    </row>
    <row r="818" spans="3:11">
      <c r="C818" s="1"/>
      <c r="D818" s="1"/>
      <c r="E818" s="1"/>
      <c r="F818" s="1"/>
      <c r="J818" s="1"/>
      <c r="K818" s="1"/>
    </row>
    <row r="819" spans="3:11">
      <c r="C819" s="1"/>
      <c r="D819" s="1"/>
      <c r="E819" s="1"/>
      <c r="F819" s="1"/>
      <c r="J819" s="1"/>
      <c r="K819" s="1"/>
    </row>
    <row r="820" spans="3:11">
      <c r="C820" s="1"/>
      <c r="D820" s="1"/>
      <c r="E820" s="1"/>
      <c r="F820" s="1"/>
      <c r="J820" s="1"/>
      <c r="K820" s="1"/>
    </row>
    <row r="821" spans="3:11">
      <c r="C821" s="1"/>
      <c r="D821" s="1"/>
      <c r="E821" s="1"/>
      <c r="F821" s="1"/>
      <c r="J821" s="1"/>
      <c r="K821" s="1"/>
    </row>
    <row r="822" spans="3:11">
      <c r="C822" s="1"/>
      <c r="D822" s="1"/>
      <c r="E822" s="1"/>
      <c r="F822" s="1"/>
      <c r="J822" s="1"/>
      <c r="K822" s="1"/>
    </row>
    <row r="823" spans="3:11">
      <c r="C823" s="1"/>
      <c r="D823" s="1"/>
      <c r="E823" s="1"/>
      <c r="F823" s="1"/>
      <c r="J823" s="1"/>
      <c r="K823" s="1"/>
    </row>
    <row r="824" spans="3:11">
      <c r="C824" s="1"/>
      <c r="D824" s="1"/>
      <c r="E824" s="1"/>
      <c r="F824" s="1"/>
      <c r="J824" s="1"/>
      <c r="K824" s="1"/>
    </row>
    <row r="825" spans="3:11">
      <c r="C825" s="1"/>
      <c r="D825" s="1"/>
      <c r="E825" s="1"/>
      <c r="F825" s="1"/>
      <c r="J825" s="1"/>
      <c r="K825" s="1"/>
    </row>
    <row r="826" spans="3:11">
      <c r="C826" s="1"/>
      <c r="D826" s="1"/>
      <c r="E826" s="1"/>
      <c r="F826" s="1"/>
      <c r="J826" s="1"/>
      <c r="K826" s="1"/>
    </row>
    <row r="827" spans="3:11">
      <c r="C827" s="1"/>
      <c r="D827" s="1"/>
      <c r="E827" s="1"/>
      <c r="F827" s="1"/>
      <c r="J827" s="1"/>
      <c r="K827" s="1"/>
    </row>
    <row r="828" spans="3:11">
      <c r="C828" s="1"/>
      <c r="D828" s="1"/>
      <c r="E828" s="1"/>
      <c r="F828" s="1"/>
      <c r="J828" s="1"/>
      <c r="K828" s="1"/>
    </row>
    <row r="829" spans="3:11">
      <c r="C829" s="1"/>
      <c r="D829" s="1"/>
      <c r="E829" s="1"/>
      <c r="F829" s="1"/>
      <c r="J829" s="1"/>
      <c r="K829" s="1"/>
    </row>
    <row r="830" spans="3:11">
      <c r="C830" s="1"/>
      <c r="D830" s="1"/>
      <c r="E830" s="1"/>
      <c r="F830" s="1"/>
      <c r="J830" s="1"/>
      <c r="K830" s="1"/>
    </row>
    <row r="831" spans="3:11">
      <c r="C831" s="1"/>
      <c r="D831" s="1"/>
      <c r="E831" s="1"/>
      <c r="F831" s="1"/>
      <c r="J831" s="1"/>
      <c r="K831" s="1"/>
    </row>
    <row r="832" spans="3:11">
      <c r="C832" s="1"/>
      <c r="D832" s="1"/>
      <c r="E832" s="1"/>
      <c r="F832" s="1"/>
      <c r="J832" s="1"/>
      <c r="K832" s="1"/>
    </row>
    <row r="833" spans="3:11">
      <c r="C833" s="1"/>
      <c r="D833" s="1"/>
      <c r="E833" s="1"/>
      <c r="F833" s="1"/>
      <c r="J833" s="1"/>
      <c r="K833" s="1"/>
    </row>
    <row r="834" spans="3:11">
      <c r="C834" s="1"/>
      <c r="D834" s="1"/>
      <c r="E834" s="1"/>
      <c r="F834" s="1"/>
      <c r="J834" s="1"/>
      <c r="K834" s="1"/>
    </row>
    <row r="835" spans="3:11">
      <c r="C835" s="1"/>
      <c r="D835" s="1"/>
      <c r="E835" s="1"/>
      <c r="F835" s="1"/>
      <c r="J835" s="1"/>
      <c r="K835" s="1"/>
    </row>
    <row r="836" spans="3:11">
      <c r="C836" s="1"/>
      <c r="D836" s="1"/>
      <c r="E836" s="1"/>
      <c r="F836" s="1"/>
      <c r="J836" s="1"/>
      <c r="K836" s="1"/>
    </row>
    <row r="837" spans="3:11">
      <c r="C837" s="1"/>
      <c r="D837" s="1"/>
      <c r="E837" s="1"/>
      <c r="F837" s="1"/>
      <c r="J837" s="1"/>
      <c r="K837" s="1"/>
    </row>
    <row r="838" spans="3:11">
      <c r="C838" s="1"/>
      <c r="D838" s="1"/>
      <c r="E838" s="1"/>
      <c r="F838" s="1"/>
      <c r="J838" s="1"/>
      <c r="K838" s="1"/>
    </row>
    <row r="839" spans="3:11">
      <c r="C839" s="1"/>
      <c r="D839" s="1"/>
      <c r="E839" s="1"/>
      <c r="F839" s="1"/>
      <c r="J839" s="1"/>
      <c r="K839" s="1"/>
    </row>
    <row r="840" spans="3:11">
      <c r="C840" s="1"/>
      <c r="D840" s="1"/>
      <c r="E840" s="1"/>
      <c r="F840" s="1"/>
      <c r="J840" s="1"/>
      <c r="K840" s="1"/>
    </row>
    <row r="841" spans="3:11">
      <c r="C841" s="1"/>
      <c r="D841" s="1"/>
      <c r="E841" s="1"/>
      <c r="F841" s="1"/>
      <c r="J841" s="1"/>
      <c r="K841" s="1"/>
    </row>
    <row r="842" spans="3:11">
      <c r="C842" s="1"/>
      <c r="D842" s="1"/>
      <c r="E842" s="1"/>
      <c r="F842" s="1"/>
      <c r="J842" s="1"/>
      <c r="K842" s="1"/>
    </row>
    <row r="843" spans="3:11">
      <c r="C843" s="1"/>
      <c r="D843" s="1"/>
      <c r="E843" s="1"/>
      <c r="F843" s="1"/>
      <c r="J843" s="1"/>
      <c r="K843" s="1"/>
    </row>
    <row r="844" spans="3:11">
      <c r="C844" s="1"/>
      <c r="D844" s="1"/>
      <c r="E844" s="1"/>
      <c r="F844" s="1"/>
      <c r="J844" s="1"/>
      <c r="K844" s="1"/>
    </row>
    <row r="845" spans="3:11">
      <c r="C845" s="1"/>
      <c r="D845" s="1"/>
      <c r="E845" s="1"/>
      <c r="F845" s="1"/>
      <c r="J845" s="1"/>
      <c r="K845" s="1"/>
    </row>
    <row r="846" spans="3:11">
      <c r="C846" s="1"/>
      <c r="D846" s="1"/>
      <c r="E846" s="1"/>
      <c r="F846" s="1"/>
      <c r="J846" s="1"/>
      <c r="K846" s="1"/>
    </row>
    <row r="847" spans="3:11">
      <c r="C847" s="1"/>
      <c r="D847" s="1"/>
      <c r="E847" s="1"/>
      <c r="F847" s="1"/>
      <c r="J847" s="1"/>
      <c r="K847" s="1"/>
    </row>
    <row r="848" spans="3:11">
      <c r="C848" s="1"/>
      <c r="D848" s="1"/>
      <c r="E848" s="1"/>
      <c r="F848" s="1"/>
      <c r="J848" s="1"/>
      <c r="K848" s="1"/>
    </row>
    <row r="849" spans="3:11">
      <c r="C849" s="1"/>
      <c r="D849" s="1"/>
      <c r="E849" s="1"/>
      <c r="F849" s="1"/>
      <c r="J849" s="1"/>
      <c r="K849" s="1"/>
    </row>
    <row r="850" spans="3:11">
      <c r="C850" s="1"/>
      <c r="D850" s="1"/>
      <c r="E850" s="1"/>
      <c r="F850" s="1"/>
      <c r="J850" s="1"/>
      <c r="K850" s="1"/>
    </row>
    <row r="851" spans="3:11">
      <c r="C851" s="1"/>
      <c r="D851" s="1"/>
      <c r="E851" s="1"/>
      <c r="F851" s="1"/>
      <c r="J851" s="1"/>
      <c r="K851" s="1"/>
    </row>
    <row r="852" spans="3:11">
      <c r="C852" s="1"/>
      <c r="D852" s="1"/>
      <c r="E852" s="1"/>
      <c r="F852" s="1"/>
      <c r="J852" s="1"/>
      <c r="K852" s="1"/>
    </row>
    <row r="853" spans="3:11">
      <c r="C853" s="1"/>
      <c r="D853" s="1"/>
      <c r="E853" s="1"/>
      <c r="F853" s="1"/>
      <c r="J853" s="1"/>
      <c r="K853" s="1"/>
    </row>
    <row r="854" spans="3:11">
      <c r="C854" s="1"/>
      <c r="D854" s="1"/>
      <c r="E854" s="1"/>
      <c r="F854" s="1"/>
      <c r="J854" s="1"/>
      <c r="K854" s="1"/>
    </row>
    <row r="855" spans="3:11">
      <c r="C855" s="1"/>
      <c r="D855" s="1"/>
      <c r="E855" s="1"/>
      <c r="F855" s="1"/>
      <c r="J855" s="1"/>
      <c r="K855" s="1"/>
    </row>
    <row r="856" spans="3:11">
      <c r="C856" s="1"/>
      <c r="D856" s="1"/>
      <c r="E856" s="1"/>
      <c r="F856" s="1"/>
      <c r="J856" s="1"/>
      <c r="K856" s="1"/>
    </row>
    <row r="857" spans="3:11">
      <c r="J857" s="1"/>
      <c r="K857" s="1"/>
    </row>
  </sheetData>
  <mergeCells count="11">
    <mergeCell ref="C16:D16"/>
    <mergeCell ref="C15:F15"/>
    <mergeCell ref="E16:F16"/>
    <mergeCell ref="L6:M6"/>
    <mergeCell ref="L11:M11"/>
    <mergeCell ref="C6:D6"/>
    <mergeCell ref="E6:F6"/>
    <mergeCell ref="C5:F5"/>
    <mergeCell ref="J5:K5"/>
    <mergeCell ref="J6:K6"/>
    <mergeCell ref="J9:K9"/>
  </mergeCells>
  <pageMargins left="0.7" right="0.7" top="0.75" bottom="0.75" header="0.3" footer="0.3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Y322"/>
  <sheetViews>
    <sheetView topLeftCell="A16" workbookViewId="0">
      <selection activeCell="W9" sqref="W9"/>
    </sheetView>
  </sheetViews>
  <sheetFormatPr baseColWidth="10" defaultColWidth="8.83203125" defaultRowHeight="14" x14ac:dyDescent="0"/>
  <cols>
    <col min="1" max="1" width="35.83203125" style="1" bestFit="1" customWidth="1"/>
    <col min="2" max="3" width="35.83203125" bestFit="1" customWidth="1"/>
    <col min="4" max="5" width="8.83203125" style="1"/>
    <col min="6" max="6" width="23" bestFit="1" customWidth="1"/>
    <col min="8" max="9" width="8.83203125" style="1"/>
    <col min="10" max="10" width="23" style="1" bestFit="1" customWidth="1"/>
    <col min="11" max="13" width="8.83203125" style="1"/>
    <col min="20" max="25" width="8.83203125" style="1"/>
  </cols>
  <sheetData>
    <row r="1" spans="2:7" s="1" customFormat="1"/>
    <row r="2" spans="2:7" s="1" customFormat="1">
      <c r="F2" s="23"/>
    </row>
    <row r="3" spans="2:7" s="1" customFormat="1" ht="15" thickBot="1"/>
    <row r="4" spans="2:7" ht="18">
      <c r="B4" s="105" t="s">
        <v>0</v>
      </c>
      <c r="C4" s="106"/>
      <c r="F4" s="105" t="s">
        <v>5</v>
      </c>
      <c r="G4" s="106"/>
    </row>
    <row r="5" spans="2:7" ht="16">
      <c r="B5" s="31" t="s">
        <v>31</v>
      </c>
      <c r="C5" s="32">
        <v>39.18</v>
      </c>
      <c r="F5" s="9" t="s">
        <v>33</v>
      </c>
      <c r="G5" s="36">
        <f>(LN(C5/C10)+((C7-C6+((C8^2)*0.5))*C9))/(C8*SQRT(C9))</f>
        <v>-5.5598565972212174E-2</v>
      </c>
    </row>
    <row r="6" spans="2:7" ht="16">
      <c r="B6" s="31" t="s">
        <v>1</v>
      </c>
      <c r="C6" s="33">
        <v>4.9500000000000002E-2</v>
      </c>
      <c r="F6" s="9" t="s">
        <v>34</v>
      </c>
      <c r="G6" s="36">
        <f>(LN(C5/C10)+(C7-C6-((C8^2)/2))*C9)/(C8*SQRT(C9))</f>
        <v>-0.14085594741934016</v>
      </c>
    </row>
    <row r="7" spans="2:7">
      <c r="B7" s="31" t="s">
        <v>2</v>
      </c>
      <c r="C7" s="33">
        <v>5.3E-3</v>
      </c>
      <c r="F7" s="9" t="s">
        <v>24</v>
      </c>
      <c r="G7" s="44">
        <f>C8</f>
        <v>0.15733175977840291</v>
      </c>
    </row>
    <row r="8" spans="2:7" ht="15" thickBot="1">
      <c r="B8" s="67" t="s">
        <v>25</v>
      </c>
      <c r="C8" s="90">
        <v>0.15733175977840291</v>
      </c>
      <c r="F8" s="66" t="s">
        <v>42</v>
      </c>
      <c r="G8" s="18">
        <f>((C5*EXP(-C6*C9))*_xlfn.NORM.S.DIST($G$5,TRUE))-(C10*EXP(-C7*C8)*_xlfn.NORM.S.DIST($G$6,TRUE))</f>
        <v>1.1499998483243985</v>
      </c>
    </row>
    <row r="9" spans="2:7" ht="15" thickBot="1">
      <c r="B9" s="31" t="s">
        <v>4</v>
      </c>
      <c r="C9" s="34">
        <f>74/252</f>
        <v>0.29365079365079366</v>
      </c>
      <c r="F9" s="1"/>
      <c r="G9" s="1"/>
    </row>
    <row r="10" spans="2:7" ht="18">
      <c r="B10" s="31" t="s">
        <v>8</v>
      </c>
      <c r="C10" s="32">
        <v>39</v>
      </c>
      <c r="F10" s="105" t="s">
        <v>41</v>
      </c>
      <c r="G10" s="106"/>
    </row>
    <row r="11" spans="2:7" ht="15" thickBot="1">
      <c r="B11" s="35" t="s">
        <v>26</v>
      </c>
      <c r="C11" s="18">
        <v>1.0900000000000001</v>
      </c>
      <c r="F11" s="35" t="s">
        <v>7</v>
      </c>
      <c r="G11" s="65">
        <f>((C5*EXP(-C6*C9))*_xlfn.NORM.S.DIST($G$5,TRUE))-(C10*EXP(-C7*C8)*_xlfn.NORM.S.DIST($G$6,TRUE))</f>
        <v>1.1499998483243985</v>
      </c>
    </row>
    <row r="12" spans="2:7" s="1" customFormat="1"/>
    <row r="13" spans="2:7" s="1" customFormat="1"/>
    <row r="14" spans="2:7" s="1" customFormat="1"/>
    <row r="15" spans="2:7" s="1" customFormat="1" ht="15" thickBot="1"/>
    <row r="16" spans="2:7" s="1" customFormat="1" ht="19" thickBot="1">
      <c r="C16" s="74" t="s">
        <v>45</v>
      </c>
    </row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</sheetData>
  <mergeCells count="3">
    <mergeCell ref="F10:G10"/>
    <mergeCell ref="B4:C4"/>
    <mergeCell ref="F4:G4"/>
  </mergeCells>
  <pageMargins left="0.7" right="0.7" top="0.75" bottom="0.75" header="0.3" footer="0.3"/>
  <pageSetup orientation="portrait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H1441"/>
  <sheetViews>
    <sheetView topLeftCell="H16" zoomScale="80" zoomScaleNormal="80" zoomScalePageLayoutView="80" workbookViewId="0">
      <selection activeCell="L12" sqref="L12"/>
    </sheetView>
  </sheetViews>
  <sheetFormatPr baseColWidth="10" defaultColWidth="8.83203125" defaultRowHeight="14" x14ac:dyDescent="0"/>
  <cols>
    <col min="1" max="6" width="8.83203125" style="1"/>
    <col min="7" max="7" width="25.5" bestFit="1" customWidth="1"/>
    <col min="8" max="8" width="11.1640625" bestFit="1" customWidth="1"/>
    <col min="9" max="10" width="8.83203125" style="1"/>
    <col min="11" max="11" width="37.83203125" bestFit="1" customWidth="1"/>
    <col min="12" max="12" width="11" bestFit="1" customWidth="1"/>
    <col min="13" max="14" width="8.83203125" style="1"/>
    <col min="15" max="15" width="10.83203125" bestFit="1" customWidth="1"/>
    <col min="17" max="19" width="9.6640625" bestFit="1" customWidth="1"/>
    <col min="20" max="20" width="10.5" bestFit="1" customWidth="1"/>
    <col min="21" max="21" width="12" bestFit="1" customWidth="1"/>
    <col min="23" max="34" width="8.83203125" style="1"/>
  </cols>
  <sheetData>
    <row r="1" spans="7:22" s="1" customFormat="1"/>
    <row r="2" spans="7:22" s="1" customFormat="1"/>
    <row r="3" spans="7:22" s="1" customFormat="1"/>
    <row r="4" spans="7:22" s="1" customFormat="1" ht="15" thickBot="1"/>
    <row r="5" spans="7:22" ht="33" thickBot="1">
      <c r="G5" s="118" t="s">
        <v>0</v>
      </c>
      <c r="H5" s="119"/>
      <c r="K5" s="118" t="s">
        <v>40</v>
      </c>
      <c r="L5" s="119"/>
      <c r="O5" s="55" t="s">
        <v>14</v>
      </c>
      <c r="P5" s="56">
        <v>0</v>
      </c>
      <c r="Q5" s="57">
        <v>1</v>
      </c>
      <c r="R5" s="58">
        <v>2</v>
      </c>
      <c r="S5" s="59">
        <v>3</v>
      </c>
      <c r="T5" s="60">
        <v>4</v>
      </c>
      <c r="U5" s="61">
        <v>5</v>
      </c>
      <c r="V5" s="62"/>
    </row>
    <row r="6" spans="7:22" ht="33" thickBot="1">
      <c r="G6" s="45" t="s">
        <v>20</v>
      </c>
      <c r="H6" s="68">
        <v>39</v>
      </c>
      <c r="K6" s="64" t="s">
        <v>7</v>
      </c>
      <c r="L6" s="47">
        <f>(((H11^5)*U8)+(5*(H11^4)*(1-H11)*U10)+(10*(H11^3)*((1-H11)^2)*U14))*EXP(-'(Q1 and Q2) Black-Scholes Model'!D9*'(Q1 and Q2) Black-Scholes Model'!D11)</f>
        <v>1.8856613821143782</v>
      </c>
      <c r="O6" s="48"/>
      <c r="P6" s="49"/>
      <c r="Q6" s="49"/>
      <c r="R6" s="49"/>
      <c r="S6" s="49"/>
      <c r="T6" s="49"/>
      <c r="U6" s="49"/>
      <c r="V6" s="54"/>
    </row>
    <row r="7" spans="7:22" ht="24" thickBot="1">
      <c r="G7" s="45" t="s">
        <v>15</v>
      </c>
      <c r="H7" s="69">
        <f>'(Q1 and Q2) Black-Scholes Model'!D10</f>
        <v>0.21507123554374735</v>
      </c>
      <c r="K7" s="1"/>
      <c r="L7" s="1"/>
      <c r="O7" s="11"/>
      <c r="P7" s="50"/>
      <c r="Q7" s="50"/>
      <c r="R7" s="50"/>
      <c r="S7" s="50"/>
      <c r="T7" s="50"/>
      <c r="U7" s="17">
        <f>H9*T8</f>
        <v>50.494094744671337</v>
      </c>
      <c r="V7" s="51"/>
    </row>
    <row r="8" spans="7:22" ht="25" thickBot="1">
      <c r="G8" s="45" t="s">
        <v>43</v>
      </c>
      <c r="H8" s="70">
        <f>'(Q1 and Q2) Black-Scholes Model'!D11/5</f>
        <v>5.873015873015873E-2</v>
      </c>
      <c r="K8" s="1"/>
      <c r="L8" s="1"/>
      <c r="O8" s="11"/>
      <c r="P8" s="50"/>
      <c r="Q8" s="50"/>
      <c r="R8" s="50"/>
      <c r="S8" s="50"/>
      <c r="T8" s="18">
        <f>S10*H9</f>
        <v>47.929700878599668</v>
      </c>
      <c r="U8" s="20">
        <f>MAX(0,U7-$H$6)</f>
        <v>11.494094744671337</v>
      </c>
      <c r="V8" s="117">
        <f>(U8-U10)/(U7-U9)</f>
        <v>1</v>
      </c>
    </row>
    <row r="9" spans="7:22" ht="25" thickBot="1">
      <c r="G9" s="45" t="s">
        <v>16</v>
      </c>
      <c r="H9" s="69">
        <f>EXP(H7*SQRT(H8))</f>
        <v>1.0535032311711474</v>
      </c>
      <c r="K9" s="1"/>
      <c r="L9" s="1"/>
      <c r="O9" s="11"/>
      <c r="P9" s="50"/>
      <c r="Q9" s="50"/>
      <c r="R9" s="50"/>
      <c r="S9" s="50"/>
      <c r="T9" s="20">
        <f>MAX(0,T8-H6)</f>
        <v>8.9297008785996681</v>
      </c>
      <c r="U9" s="12">
        <f>T8*H10</f>
        <v>45.49554235853428</v>
      </c>
      <c r="V9" s="117"/>
    </row>
    <row r="10" spans="7:22" ht="25" thickBot="1">
      <c r="G10" s="45" t="s">
        <v>17</v>
      </c>
      <c r="H10" s="69">
        <f>EXP(-SQRT(H8)*H7)</f>
        <v>0.94921398474338847</v>
      </c>
      <c r="J10" s="2"/>
      <c r="K10" s="1"/>
      <c r="L10" s="1"/>
      <c r="O10" s="11"/>
      <c r="P10" s="50"/>
      <c r="Q10" s="50"/>
      <c r="R10" s="50"/>
      <c r="S10" s="18">
        <f>R14*H9</f>
        <v>45.49554235853428</v>
      </c>
      <c r="T10" s="21">
        <f>(T9-T13)/(T8-T12)</f>
        <v>1</v>
      </c>
      <c r="U10" s="52">
        <f>MAX(0,U9-$H$6)</f>
        <v>6.49554235853428</v>
      </c>
      <c r="V10" s="51"/>
    </row>
    <row r="11" spans="7:22" ht="25" thickBot="1">
      <c r="G11" s="46" t="s">
        <v>21</v>
      </c>
      <c r="H11" s="71">
        <f>(EXP(H8*'(Q1 and Q2) Black-Scholes Model'!D9)-H10)/(H9-H10)</f>
        <v>0.48995783647511831</v>
      </c>
      <c r="K11" s="1"/>
      <c r="L11" s="1"/>
      <c r="O11" s="11"/>
      <c r="P11" s="50"/>
      <c r="Q11" s="50"/>
      <c r="R11" s="50"/>
      <c r="S11" s="20">
        <f>MAX(0,S10-H6)</f>
        <v>6.49554235853428</v>
      </c>
      <c r="T11" s="11"/>
      <c r="U11" s="17">
        <f>T12*H9</f>
        <v>45.49554235853428</v>
      </c>
      <c r="V11" s="51"/>
    </row>
    <row r="12" spans="7:22" ht="18" thickBot="1">
      <c r="G12" s="1"/>
      <c r="H12" s="1"/>
      <c r="K12" s="1"/>
      <c r="L12" s="1"/>
      <c r="O12" s="11"/>
      <c r="P12" s="50"/>
      <c r="Q12" s="50"/>
      <c r="R12" s="50"/>
      <c r="S12" s="11"/>
      <c r="T12" s="19">
        <f>S10*H10</f>
        <v>43.185005050205945</v>
      </c>
      <c r="U12" s="20">
        <f>MAX(0,U11-H6)</f>
        <v>6.49554235853428</v>
      </c>
      <c r="V12" s="117">
        <f>(U12-U14)/(U11-U13)</f>
        <v>1</v>
      </c>
    </row>
    <row r="13" spans="7:22" ht="18" thickBot="1">
      <c r="G13" s="1"/>
      <c r="H13" s="1"/>
      <c r="K13" s="1"/>
      <c r="L13" s="1"/>
      <c r="O13" s="11"/>
      <c r="P13" s="50"/>
      <c r="Q13" s="50"/>
      <c r="R13" s="50"/>
      <c r="S13" s="11"/>
      <c r="T13" s="52">
        <f>MAX(0,T12-H6)</f>
        <v>4.1850050502059446</v>
      </c>
      <c r="U13" s="12">
        <f>T12*H10</f>
        <v>40.991810724869339</v>
      </c>
      <c r="V13" s="117"/>
    </row>
    <row r="14" spans="7:22" ht="18" thickBot="1">
      <c r="G14" s="1"/>
      <c r="H14" s="1"/>
      <c r="K14" s="1"/>
      <c r="L14" s="1"/>
      <c r="O14" s="11"/>
      <c r="P14" s="50"/>
      <c r="Q14" s="50"/>
      <c r="R14" s="18">
        <f>Q22*H9</f>
        <v>43.185005050205945</v>
      </c>
      <c r="S14" s="21">
        <f>(S11-S19)/(S10-S18)</f>
        <v>1</v>
      </c>
      <c r="T14" s="50"/>
      <c r="U14" s="52">
        <f>MAX(0,U13-H6)</f>
        <v>1.9918107248693389</v>
      </c>
      <c r="V14" s="51"/>
    </row>
    <row r="15" spans="7:22" ht="18" thickBot="1">
      <c r="G15" s="1"/>
      <c r="H15" s="1"/>
      <c r="K15" s="1"/>
      <c r="L15" s="1"/>
      <c r="O15" s="11"/>
      <c r="P15" s="50"/>
      <c r="Q15" s="50"/>
      <c r="R15" s="20">
        <f>MAX(0,R14-H6)</f>
        <v>4.1850050502059446</v>
      </c>
      <c r="S15" s="11"/>
      <c r="T15" s="50"/>
      <c r="U15" s="17">
        <f>T16*H9</f>
        <v>45.49554235853428</v>
      </c>
      <c r="V15" s="51"/>
    </row>
    <row r="16" spans="7:22" ht="18" thickBot="1">
      <c r="G16" s="1"/>
      <c r="H16" s="1"/>
      <c r="K16" s="1"/>
      <c r="L16" s="1"/>
      <c r="O16" s="11"/>
      <c r="P16" s="50"/>
      <c r="Q16" s="50"/>
      <c r="R16" s="11"/>
      <c r="S16" s="11"/>
      <c r="T16" s="18">
        <f>S18*H9</f>
        <v>43.185005050205945</v>
      </c>
      <c r="U16" s="20">
        <f>MAX(0,U15-H6)</f>
        <v>6.49554235853428</v>
      </c>
      <c r="V16" s="117">
        <f>V12</f>
        <v>1</v>
      </c>
    </row>
    <row r="17" spans="7:22" ht="18" thickBot="1">
      <c r="G17" s="1"/>
      <c r="H17" s="1"/>
      <c r="K17" s="1"/>
      <c r="L17" s="1"/>
      <c r="O17" s="11"/>
      <c r="P17" s="50"/>
      <c r="Q17" s="50"/>
      <c r="R17" s="11"/>
      <c r="S17" s="11"/>
      <c r="T17" s="20">
        <f>T13</f>
        <v>4.1850050502059446</v>
      </c>
      <c r="U17" s="12">
        <f>T16*H10</f>
        <v>40.991810724869339</v>
      </c>
      <c r="V17" s="117"/>
    </row>
    <row r="18" spans="7:22" ht="18" thickBot="1">
      <c r="G18" s="1"/>
      <c r="H18" s="1"/>
      <c r="K18" s="1"/>
      <c r="L18" s="1"/>
      <c r="O18" s="11"/>
      <c r="P18" s="50"/>
      <c r="Q18" s="50"/>
      <c r="R18" s="11"/>
      <c r="S18" s="19">
        <f>R14*H10</f>
        <v>40.991810724869339</v>
      </c>
      <c r="T18" s="21">
        <f>(T17-T21)/(T16-T20)</f>
        <v>0.9789473932912256</v>
      </c>
      <c r="U18" s="52">
        <f>MAX(0,U17-H6)</f>
        <v>1.9918107248693389</v>
      </c>
      <c r="V18" s="51"/>
    </row>
    <row r="19" spans="7:22" ht="18" thickBot="1">
      <c r="G19" s="1"/>
      <c r="H19" s="1"/>
      <c r="K19" s="1"/>
      <c r="L19" s="1"/>
      <c r="O19" s="11"/>
      <c r="P19" s="50"/>
      <c r="Q19" s="50"/>
      <c r="R19" s="11"/>
      <c r="S19" s="52">
        <f>MAX(0,S18-H6)</f>
        <v>1.9918107248693389</v>
      </c>
      <c r="T19" s="11"/>
      <c r="U19" s="17">
        <f>H9*T20</f>
        <v>40.991810724869332</v>
      </c>
      <c r="V19" s="51"/>
    </row>
    <row r="20" spans="7:22" ht="18" thickBot="1">
      <c r="G20" s="1"/>
      <c r="H20" s="1"/>
      <c r="K20" s="1"/>
      <c r="L20" s="1"/>
      <c r="O20" s="11"/>
      <c r="P20" s="50"/>
      <c r="Q20" s="50"/>
      <c r="R20" s="11"/>
      <c r="S20" s="50"/>
      <c r="T20" s="19">
        <f>S18*H10</f>
        <v>38.909999999999989</v>
      </c>
      <c r="U20" s="20">
        <f>MAX(0,U19-H6)</f>
        <v>1.9918107248693318</v>
      </c>
      <c r="V20" s="117">
        <f>(U20-U22)/(U19-U21)</f>
        <v>0.49084831711019783</v>
      </c>
    </row>
    <row r="21" spans="7:22" ht="18" thickBot="1">
      <c r="G21" s="1"/>
      <c r="H21" s="1"/>
      <c r="K21" s="1"/>
      <c r="L21" s="1"/>
      <c r="O21" s="11"/>
      <c r="P21" s="50"/>
      <c r="Q21" s="50"/>
      <c r="R21" s="11"/>
      <c r="S21" s="50"/>
      <c r="T21" s="52">
        <f>MAX(0)</f>
        <v>0</v>
      </c>
      <c r="U21" s="12">
        <f>H10*T20</f>
        <v>36.933916146365235</v>
      </c>
      <c r="V21" s="117"/>
    </row>
    <row r="22" spans="7:22" ht="18" thickBot="1">
      <c r="G22" s="1"/>
      <c r="H22" s="1"/>
      <c r="K22" s="1"/>
      <c r="L22" s="1"/>
      <c r="O22" s="11"/>
      <c r="P22" s="50"/>
      <c r="Q22" s="18">
        <f>P38*H9</f>
        <v>40.991810724869339</v>
      </c>
      <c r="R22" s="21">
        <f>T26</f>
        <v>0.9789473932912256</v>
      </c>
      <c r="S22" s="50"/>
      <c r="T22" s="50"/>
      <c r="U22" s="52">
        <f>MAX(0,U21-H6)</f>
        <v>0</v>
      </c>
      <c r="V22" s="51"/>
    </row>
    <row r="23" spans="7:22" ht="18" thickBot="1">
      <c r="G23" s="1"/>
      <c r="H23" s="1"/>
      <c r="K23" s="1"/>
      <c r="L23" s="1"/>
      <c r="O23" s="11"/>
      <c r="P23" s="50"/>
      <c r="Q23" s="20">
        <f>MAX(0,Q22-H6)</f>
        <v>1.9918107248693389</v>
      </c>
      <c r="R23" s="11"/>
      <c r="S23" s="50"/>
      <c r="T23" s="50"/>
      <c r="U23" s="17">
        <f>T24*H9</f>
        <v>45.495542358534273</v>
      </c>
      <c r="V23" s="51"/>
    </row>
    <row r="24" spans="7:22" ht="18" thickBot="1">
      <c r="G24" s="1"/>
      <c r="H24" s="1"/>
      <c r="K24" s="1"/>
      <c r="L24" s="1"/>
      <c r="O24" s="11"/>
      <c r="P24" s="50"/>
      <c r="Q24" s="11"/>
      <c r="R24" s="11"/>
      <c r="S24" s="50"/>
      <c r="T24" s="18">
        <f>S26*H9</f>
        <v>43.185005050205937</v>
      </c>
      <c r="U24" s="20">
        <f>MAX(0,U23-39)</f>
        <v>6.4955423585342729</v>
      </c>
      <c r="V24" s="117">
        <f>V16</f>
        <v>1</v>
      </c>
    </row>
    <row r="25" spans="7:22" ht="18" thickBot="1">
      <c r="G25" s="1"/>
      <c r="H25" s="1"/>
      <c r="K25" s="1"/>
      <c r="L25" s="1"/>
      <c r="O25" s="11"/>
      <c r="P25" s="50"/>
      <c r="Q25" s="11"/>
      <c r="R25" s="11"/>
      <c r="S25" s="50"/>
      <c r="T25" s="20">
        <f>T17</f>
        <v>4.1850050502059446</v>
      </c>
      <c r="U25" s="12">
        <f>T24*H10</f>
        <v>40.991810724869332</v>
      </c>
      <c r="V25" s="117"/>
    </row>
    <row r="26" spans="7:22" ht="18" thickBot="1">
      <c r="G26" s="1"/>
      <c r="H26" s="1"/>
      <c r="K26" s="1"/>
      <c r="L26" s="1"/>
      <c r="O26" s="11"/>
      <c r="P26" s="50"/>
      <c r="Q26" s="11"/>
      <c r="R26" s="11"/>
      <c r="S26" s="18">
        <f>R30*H9</f>
        <v>40.991810724869332</v>
      </c>
      <c r="T26" s="21">
        <f>T18</f>
        <v>0.9789473932912256</v>
      </c>
      <c r="U26" s="52">
        <f>MAX(0,U25-39)</f>
        <v>1.9918107248693318</v>
      </c>
      <c r="V26" s="51"/>
    </row>
    <row r="27" spans="7:22" ht="18" thickBot="1">
      <c r="G27" s="1"/>
      <c r="H27" s="1"/>
      <c r="K27" s="1"/>
      <c r="L27" s="1"/>
      <c r="O27" s="11"/>
      <c r="P27" s="50"/>
      <c r="Q27" s="11"/>
      <c r="R27" s="11"/>
      <c r="S27" s="20">
        <f>S19</f>
        <v>1.9918107248693389</v>
      </c>
      <c r="T27" s="11"/>
      <c r="U27" s="17">
        <f>T28*H9</f>
        <v>40.991810724869325</v>
      </c>
      <c r="V27" s="51"/>
    </row>
    <row r="28" spans="7:22" ht="18" thickBot="1">
      <c r="G28" s="1"/>
      <c r="H28" s="1"/>
      <c r="K28" s="1"/>
      <c r="L28" s="1"/>
      <c r="O28" s="11"/>
      <c r="P28" s="50"/>
      <c r="Q28" s="11"/>
      <c r="R28" s="11"/>
      <c r="S28" s="11"/>
      <c r="T28" s="19">
        <f>S26*H10</f>
        <v>38.909999999999982</v>
      </c>
      <c r="U28" s="20">
        <f>U26</f>
        <v>1.9918107248693318</v>
      </c>
      <c r="V28" s="117">
        <f>V20</f>
        <v>0.49084831711019783</v>
      </c>
    </row>
    <row r="29" spans="7:22" ht="18" thickBot="1">
      <c r="G29" s="1"/>
      <c r="H29" s="1"/>
      <c r="K29" s="1"/>
      <c r="L29" s="1"/>
      <c r="O29" s="11"/>
      <c r="P29" s="50"/>
      <c r="Q29" s="11"/>
      <c r="R29" s="11"/>
      <c r="S29" s="11"/>
      <c r="T29" s="52">
        <f>T21</f>
        <v>0</v>
      </c>
      <c r="U29" s="12">
        <f>T28*H10</f>
        <v>36.933916146365227</v>
      </c>
      <c r="V29" s="117"/>
    </row>
    <row r="30" spans="7:22" ht="18" thickBot="1">
      <c r="G30" s="1"/>
      <c r="H30" s="1"/>
      <c r="K30" s="1"/>
      <c r="L30" s="1"/>
      <c r="O30" s="11"/>
      <c r="P30" s="50"/>
      <c r="Q30" s="11"/>
      <c r="R30" s="19">
        <f>Q22*H10</f>
        <v>38.909999999999989</v>
      </c>
      <c r="S30" s="22">
        <f>V28</f>
        <v>0.49084831711019783</v>
      </c>
      <c r="T30" s="50"/>
      <c r="U30" s="52">
        <f>U22</f>
        <v>0</v>
      </c>
      <c r="V30" s="51"/>
    </row>
    <row r="31" spans="7:22" ht="18" thickBot="1">
      <c r="G31" s="1"/>
      <c r="H31" s="1"/>
      <c r="K31" s="1"/>
      <c r="L31" s="1"/>
      <c r="O31" s="11"/>
      <c r="P31" s="50"/>
      <c r="Q31" s="11"/>
      <c r="R31" s="52">
        <f>MAX(0,R30-H6)</f>
        <v>0</v>
      </c>
      <c r="S31" s="11"/>
      <c r="T31" s="50"/>
      <c r="U31" s="17">
        <f>T32*H9</f>
        <v>40.991810724869332</v>
      </c>
      <c r="V31" s="51"/>
    </row>
    <row r="32" spans="7:22" ht="18" thickBot="1">
      <c r="G32" s="1"/>
      <c r="H32" s="1"/>
      <c r="K32" s="1"/>
      <c r="L32" s="1"/>
      <c r="O32" s="11"/>
      <c r="P32" s="50"/>
      <c r="Q32" s="11"/>
      <c r="R32" s="50"/>
      <c r="S32" s="11"/>
      <c r="T32" s="18">
        <f>S34*H9</f>
        <v>38.909999999999989</v>
      </c>
      <c r="U32" s="20">
        <f>U28</f>
        <v>1.9918107248693318</v>
      </c>
      <c r="V32" s="117">
        <f>V20</f>
        <v>0.49084831711019783</v>
      </c>
    </row>
    <row r="33" spans="7:22" ht="18" thickBot="1">
      <c r="G33" s="1"/>
      <c r="H33" s="1"/>
      <c r="K33" s="1"/>
      <c r="L33" s="1"/>
      <c r="O33" s="11"/>
      <c r="P33" s="50"/>
      <c r="Q33" s="11"/>
      <c r="R33" s="50"/>
      <c r="S33" s="11"/>
      <c r="T33" s="20">
        <f>T29</f>
        <v>0</v>
      </c>
      <c r="U33" s="12">
        <f>T32*H10</f>
        <v>36.933916146365235</v>
      </c>
      <c r="V33" s="117"/>
    </row>
    <row r="34" spans="7:22" ht="18" thickBot="1">
      <c r="G34" s="1"/>
      <c r="H34" s="1"/>
      <c r="K34" s="1"/>
      <c r="L34" s="1"/>
      <c r="O34" s="11"/>
      <c r="P34" s="50"/>
      <c r="Q34" s="11"/>
      <c r="R34" s="50"/>
      <c r="S34" s="19">
        <f>R30*H10</f>
        <v>36.933916146365235</v>
      </c>
      <c r="T34" s="21">
        <f>0</f>
        <v>0</v>
      </c>
      <c r="U34" s="52">
        <f>U30</f>
        <v>0</v>
      </c>
      <c r="V34" s="51"/>
    </row>
    <row r="35" spans="7:22" ht="18" thickBot="1">
      <c r="G35" s="1"/>
      <c r="H35" s="1"/>
      <c r="K35" s="1"/>
      <c r="L35" s="1"/>
      <c r="O35" s="11"/>
      <c r="P35" s="50"/>
      <c r="Q35" s="11"/>
      <c r="R35" s="50"/>
      <c r="S35" s="52">
        <f>MAX(0,S34-H6)</f>
        <v>0</v>
      </c>
      <c r="T35" s="11"/>
      <c r="U35" s="17">
        <f>T36*H9</f>
        <v>36.933916146365235</v>
      </c>
      <c r="V35" s="51"/>
    </row>
    <row r="36" spans="7:22" ht="18" thickBot="1">
      <c r="G36" s="1"/>
      <c r="H36" s="1"/>
      <c r="K36" s="1"/>
      <c r="L36" s="1"/>
      <c r="O36" s="11"/>
      <c r="P36" s="50"/>
      <c r="Q36" s="11"/>
      <c r="R36" s="50"/>
      <c r="S36" s="50"/>
      <c r="T36" s="19">
        <f>S34*H10</f>
        <v>35.058189717469517</v>
      </c>
      <c r="U36" s="20">
        <f>U34</f>
        <v>0</v>
      </c>
      <c r="V36" s="117">
        <v>0</v>
      </c>
    </row>
    <row r="37" spans="7:22" ht="18" thickBot="1">
      <c r="G37" s="1"/>
      <c r="H37" s="1"/>
      <c r="K37" s="1"/>
      <c r="L37" s="1"/>
      <c r="O37" s="11"/>
      <c r="P37" s="50"/>
      <c r="Q37" s="11"/>
      <c r="R37" s="50"/>
      <c r="S37" s="50"/>
      <c r="T37" s="52">
        <f>T33</f>
        <v>0</v>
      </c>
      <c r="U37" s="12">
        <f>T36*H10</f>
        <v>33.277723959608927</v>
      </c>
      <c r="V37" s="117"/>
    </row>
    <row r="38" spans="7:22" ht="18" thickBot="1">
      <c r="G38" s="1"/>
      <c r="H38" s="1"/>
      <c r="K38" s="1"/>
      <c r="L38" s="1"/>
      <c r="O38" s="11"/>
      <c r="P38" s="16">
        <v>38.909999999999997</v>
      </c>
      <c r="Q38" s="21">
        <f>V32</f>
        <v>0.49084831711019783</v>
      </c>
      <c r="R38" s="50"/>
      <c r="S38" s="50"/>
      <c r="T38" s="50"/>
      <c r="U38" s="52">
        <f>0</f>
        <v>0</v>
      </c>
      <c r="V38" s="51"/>
    </row>
    <row r="39" spans="7:22" ht="18" thickBot="1">
      <c r="G39" s="1"/>
      <c r="H39" s="1"/>
      <c r="K39" s="1"/>
      <c r="L39" s="1"/>
      <c r="O39" s="11"/>
      <c r="P39" s="52">
        <f>MAX(0,P38-H6)</f>
        <v>0</v>
      </c>
      <c r="Q39" s="11"/>
      <c r="R39" s="50"/>
      <c r="S39" s="50"/>
      <c r="T39" s="50"/>
      <c r="U39" s="17">
        <f>T40*H9</f>
        <v>45.49554235853428</v>
      </c>
      <c r="V39" s="51"/>
    </row>
    <row r="40" spans="7:22" ht="18" thickBot="1">
      <c r="G40" s="1"/>
      <c r="H40" s="1"/>
      <c r="K40" s="1"/>
      <c r="L40" s="1"/>
      <c r="O40" s="11"/>
      <c r="P40" s="50"/>
      <c r="Q40" s="11"/>
      <c r="R40" s="50"/>
      <c r="S40" s="50"/>
      <c r="T40" s="18">
        <f>S42*H9</f>
        <v>43.185005050205945</v>
      </c>
      <c r="U40" s="20">
        <f>MAX(0,U39-39)</f>
        <v>6.49554235853428</v>
      </c>
      <c r="V40" s="117">
        <f>V24</f>
        <v>1</v>
      </c>
    </row>
    <row r="41" spans="7:22" ht="18" thickBot="1">
      <c r="G41" s="1"/>
      <c r="H41" s="1"/>
      <c r="K41" s="1"/>
      <c r="L41" s="1"/>
      <c r="O41" s="11"/>
      <c r="P41" s="50"/>
      <c r="Q41" s="11"/>
      <c r="R41" s="50"/>
      <c r="S41" s="50"/>
      <c r="T41" s="20">
        <f>T25</f>
        <v>4.1850050502059446</v>
      </c>
      <c r="U41" s="12">
        <f>T40*H10</f>
        <v>40.991810724869339</v>
      </c>
      <c r="V41" s="117"/>
    </row>
    <row r="42" spans="7:22" ht="18" thickBot="1">
      <c r="G42" s="1"/>
      <c r="H42" s="1"/>
      <c r="K42" s="1"/>
      <c r="L42" s="1"/>
      <c r="O42" s="11"/>
      <c r="P42" s="50"/>
      <c r="Q42" s="11"/>
      <c r="R42" s="50"/>
      <c r="S42" s="18">
        <f>R46*H9</f>
        <v>40.991810724869339</v>
      </c>
      <c r="T42" s="21">
        <f>T26</f>
        <v>0.9789473932912256</v>
      </c>
      <c r="U42" s="52">
        <f>U28</f>
        <v>1.9918107248693318</v>
      </c>
      <c r="V42" s="51"/>
    </row>
    <row r="43" spans="7:22" ht="18" thickBot="1">
      <c r="G43" s="1"/>
      <c r="H43" s="1"/>
      <c r="K43" s="1"/>
      <c r="L43" s="1"/>
      <c r="O43" s="11"/>
      <c r="P43" s="50"/>
      <c r="Q43" s="11"/>
      <c r="R43" s="50"/>
      <c r="S43" s="20">
        <f>S27</f>
        <v>1.9918107248693389</v>
      </c>
      <c r="T43" s="11"/>
      <c r="U43" s="17">
        <f>T44*H9</f>
        <v>40.991810724869332</v>
      </c>
      <c r="V43" s="51"/>
    </row>
    <row r="44" spans="7:22" ht="18" thickBot="1">
      <c r="G44" s="1"/>
      <c r="H44" s="1"/>
      <c r="K44" s="1"/>
      <c r="L44" s="1"/>
      <c r="O44" s="11"/>
      <c r="P44" s="50"/>
      <c r="Q44" s="11"/>
      <c r="R44" s="50"/>
      <c r="S44" s="11"/>
      <c r="T44" s="19">
        <f>S42*H10</f>
        <v>38.909999999999989</v>
      </c>
      <c r="U44" s="20">
        <f>U42</f>
        <v>1.9918107248693318</v>
      </c>
      <c r="V44" s="117">
        <f>V32</f>
        <v>0.49084831711019783</v>
      </c>
    </row>
    <row r="45" spans="7:22" ht="18" thickBot="1">
      <c r="G45" s="1"/>
      <c r="H45" s="1"/>
      <c r="K45" s="1"/>
      <c r="L45" s="1"/>
      <c r="O45" s="11"/>
      <c r="P45" s="50"/>
      <c r="Q45" s="11"/>
      <c r="R45" s="50"/>
      <c r="S45" s="11"/>
      <c r="T45" s="52">
        <f>T37</f>
        <v>0</v>
      </c>
      <c r="U45" s="12">
        <f>T44*H10</f>
        <v>36.933916146365235</v>
      </c>
      <c r="V45" s="117"/>
    </row>
    <row r="46" spans="7:22" ht="18" thickBot="1">
      <c r="G46" s="1"/>
      <c r="H46" s="1"/>
      <c r="K46" s="1"/>
      <c r="L46" s="1"/>
      <c r="O46" s="11"/>
      <c r="P46" s="50"/>
      <c r="Q46" s="11"/>
      <c r="R46" s="18">
        <f>Q54*H9</f>
        <v>38.909999999999997</v>
      </c>
      <c r="S46" s="21">
        <f>S30</f>
        <v>0.49084831711019783</v>
      </c>
      <c r="T46" s="50"/>
      <c r="U46" s="52">
        <f>0</f>
        <v>0</v>
      </c>
      <c r="V46" s="51"/>
    </row>
    <row r="47" spans="7:22" ht="18" thickBot="1">
      <c r="G47" s="1"/>
      <c r="H47" s="1"/>
      <c r="K47" s="1"/>
      <c r="L47" s="1"/>
      <c r="O47" s="11"/>
      <c r="P47" s="50"/>
      <c r="Q47" s="11"/>
      <c r="R47" s="20">
        <f>R31</f>
        <v>0</v>
      </c>
      <c r="S47" s="11"/>
      <c r="T47" s="50"/>
      <c r="U47" s="17">
        <f>T48*H9</f>
        <v>40.991810724869339</v>
      </c>
      <c r="V47" s="51"/>
    </row>
    <row r="48" spans="7:22" ht="18" thickBot="1">
      <c r="G48" s="1"/>
      <c r="H48" s="1"/>
      <c r="K48" s="1"/>
      <c r="L48" s="1"/>
      <c r="O48" s="11"/>
      <c r="P48" s="50"/>
      <c r="Q48" s="11"/>
      <c r="R48" s="11"/>
      <c r="S48" s="11"/>
      <c r="T48" s="18">
        <f>S50*H9</f>
        <v>38.909999999999997</v>
      </c>
      <c r="U48" s="20">
        <f>U44</f>
        <v>1.9918107248693318</v>
      </c>
      <c r="V48" s="117">
        <f>V44</f>
        <v>0.49084831711019783</v>
      </c>
    </row>
    <row r="49" spans="7:22" ht="18" thickBot="1">
      <c r="G49" s="1"/>
      <c r="H49" s="1"/>
      <c r="K49" s="1"/>
      <c r="L49" s="1"/>
      <c r="O49" s="11"/>
      <c r="P49" s="50"/>
      <c r="Q49" s="11"/>
      <c r="R49" s="11"/>
      <c r="S49" s="11"/>
      <c r="T49" s="20">
        <f>T45</f>
        <v>0</v>
      </c>
      <c r="U49" s="12">
        <f>T48*H10</f>
        <v>36.933916146365242</v>
      </c>
      <c r="V49" s="117"/>
    </row>
    <row r="50" spans="7:22" ht="18" thickBot="1">
      <c r="G50" s="1"/>
      <c r="H50" s="1"/>
      <c r="K50" s="1"/>
      <c r="L50" s="1"/>
      <c r="O50" s="11"/>
      <c r="P50" s="50"/>
      <c r="Q50" s="11"/>
      <c r="R50" s="11"/>
      <c r="S50" s="19">
        <f>R46*H10</f>
        <v>36.933916146365242</v>
      </c>
      <c r="T50" s="21">
        <f>T34</f>
        <v>0</v>
      </c>
      <c r="U50" s="52">
        <f>0</f>
        <v>0</v>
      </c>
      <c r="V50" s="51"/>
    </row>
    <row r="51" spans="7:22" ht="18" thickBot="1">
      <c r="G51" s="1"/>
      <c r="H51" s="1"/>
      <c r="K51" s="1"/>
      <c r="L51" s="1"/>
      <c r="O51" s="11"/>
      <c r="P51" s="50"/>
      <c r="Q51" s="11"/>
      <c r="R51" s="11"/>
      <c r="S51" s="52">
        <f>S35</f>
        <v>0</v>
      </c>
      <c r="T51" s="11"/>
      <c r="U51" s="17">
        <f>T52*H9</f>
        <v>36.933916146365242</v>
      </c>
      <c r="V51" s="51"/>
    </row>
    <row r="52" spans="7:22" ht="18" thickBot="1">
      <c r="G52" s="1"/>
      <c r="H52" s="1"/>
      <c r="K52" s="1"/>
      <c r="L52" s="1"/>
      <c r="O52" s="11"/>
      <c r="P52" s="50"/>
      <c r="Q52" s="11"/>
      <c r="R52" s="11"/>
      <c r="S52" s="50"/>
      <c r="T52" s="19">
        <f>S50*H10</f>
        <v>35.058189717469524</v>
      </c>
      <c r="U52" s="20">
        <f>U50</f>
        <v>0</v>
      </c>
      <c r="V52" s="117">
        <f>0</f>
        <v>0</v>
      </c>
    </row>
    <row r="53" spans="7:22" ht="18" thickBot="1">
      <c r="G53" s="1"/>
      <c r="H53" s="1"/>
      <c r="K53" s="1"/>
      <c r="L53" s="1"/>
      <c r="O53" s="11"/>
      <c r="P53" s="50"/>
      <c r="Q53" s="11"/>
      <c r="R53" s="11"/>
      <c r="S53" s="50"/>
      <c r="T53" s="52">
        <f>T49</f>
        <v>0</v>
      </c>
      <c r="U53" s="12">
        <f>T52*H10</f>
        <v>33.277723959608934</v>
      </c>
      <c r="V53" s="117"/>
    </row>
    <row r="54" spans="7:22" ht="18" thickBot="1">
      <c r="G54" s="1"/>
      <c r="H54" s="1"/>
      <c r="K54" s="1"/>
      <c r="L54" s="1"/>
      <c r="O54" s="11"/>
      <c r="P54" s="50"/>
      <c r="Q54" s="19">
        <f>P38*H10</f>
        <v>36.933916146365242</v>
      </c>
      <c r="R54" s="21">
        <f>0</f>
        <v>0</v>
      </c>
      <c r="S54" s="50"/>
      <c r="T54" s="50"/>
      <c r="U54" s="52">
        <f>0</f>
        <v>0</v>
      </c>
      <c r="V54" s="51"/>
    </row>
    <row r="55" spans="7:22" ht="18" thickBot="1">
      <c r="G55" s="1"/>
      <c r="H55" s="1"/>
      <c r="K55" s="1"/>
      <c r="L55" s="1"/>
      <c r="O55" s="11"/>
      <c r="P55" s="50"/>
      <c r="Q55" s="52">
        <f>MAX(0,Q54-H6)</f>
        <v>0</v>
      </c>
      <c r="R55" s="11"/>
      <c r="S55" s="50"/>
      <c r="T55" s="50"/>
      <c r="U55" s="17">
        <f>T56*H9</f>
        <v>40.991810724869339</v>
      </c>
      <c r="V55" s="51"/>
    </row>
    <row r="56" spans="7:22" ht="18" thickBot="1">
      <c r="G56" s="1"/>
      <c r="H56" s="1"/>
      <c r="K56" s="1"/>
      <c r="L56" s="1"/>
      <c r="O56" s="11"/>
      <c r="P56" s="50"/>
      <c r="Q56" s="50"/>
      <c r="R56" s="11"/>
      <c r="S56" s="50"/>
      <c r="T56" s="18">
        <f>S58*H9</f>
        <v>38.909999999999997</v>
      </c>
      <c r="U56" s="20">
        <f>U44</f>
        <v>1.9918107248693318</v>
      </c>
      <c r="V56" s="117">
        <f>V48</f>
        <v>0.49084831711019783</v>
      </c>
    </row>
    <row r="57" spans="7:22" ht="18" thickBot="1">
      <c r="G57" s="1"/>
      <c r="H57" s="1"/>
      <c r="K57" s="1"/>
      <c r="L57" s="1"/>
      <c r="O57" s="11"/>
      <c r="P57" s="50"/>
      <c r="Q57" s="50"/>
      <c r="R57" s="11"/>
      <c r="S57" s="50"/>
      <c r="T57" s="20">
        <f>T49</f>
        <v>0</v>
      </c>
      <c r="U57" s="12">
        <f>T56*H10</f>
        <v>36.933916146365242</v>
      </c>
      <c r="V57" s="117"/>
    </row>
    <row r="58" spans="7:22" ht="18" thickBot="1">
      <c r="G58" s="1"/>
      <c r="H58" s="1"/>
      <c r="K58" s="1"/>
      <c r="L58" s="1"/>
      <c r="O58" s="11"/>
      <c r="P58" s="50"/>
      <c r="Q58" s="50"/>
      <c r="R58" s="11"/>
      <c r="S58" s="18">
        <f>R62*H9</f>
        <v>36.933916146365242</v>
      </c>
      <c r="T58" s="21">
        <f>T50</f>
        <v>0</v>
      </c>
      <c r="U58" s="52">
        <f>0</f>
        <v>0</v>
      </c>
      <c r="V58" s="51"/>
    </row>
    <row r="59" spans="7:22" ht="18" thickBot="1">
      <c r="G59" s="1"/>
      <c r="H59" s="1"/>
      <c r="K59" s="1"/>
      <c r="L59" s="1"/>
      <c r="O59" s="11"/>
      <c r="P59" s="50"/>
      <c r="Q59" s="50"/>
      <c r="R59" s="11"/>
      <c r="S59" s="20">
        <f>S51</f>
        <v>0</v>
      </c>
      <c r="T59" s="11"/>
      <c r="U59" s="17">
        <f>T60*H9</f>
        <v>36.933916146365242</v>
      </c>
      <c r="V59" s="51"/>
    </row>
    <row r="60" spans="7:22" ht="18" thickBot="1">
      <c r="G60" s="1"/>
      <c r="H60" s="1"/>
      <c r="K60" s="1"/>
      <c r="L60" s="1"/>
      <c r="O60" s="11"/>
      <c r="P60" s="50"/>
      <c r="Q60" s="50"/>
      <c r="R60" s="11"/>
      <c r="S60" s="11"/>
      <c r="T60" s="19">
        <f>S58*H10</f>
        <v>35.058189717469524</v>
      </c>
      <c r="U60" s="20">
        <f>0</f>
        <v>0</v>
      </c>
      <c r="V60" s="117">
        <f>0</f>
        <v>0</v>
      </c>
    </row>
    <row r="61" spans="7:22" ht="18" thickBot="1">
      <c r="G61" s="1"/>
      <c r="H61" s="1"/>
      <c r="K61" s="1"/>
      <c r="L61" s="1"/>
      <c r="O61" s="11"/>
      <c r="P61" s="50"/>
      <c r="Q61" s="50"/>
      <c r="R61" s="11"/>
      <c r="S61" s="11"/>
      <c r="T61" s="52">
        <f>T53</f>
        <v>0</v>
      </c>
      <c r="U61" s="12">
        <f>T60*H10</f>
        <v>33.277723959608934</v>
      </c>
      <c r="V61" s="117"/>
    </row>
    <row r="62" spans="7:22" ht="18" thickBot="1">
      <c r="G62" s="1"/>
      <c r="H62" s="1"/>
      <c r="K62" s="1"/>
      <c r="L62" s="1"/>
      <c r="O62" s="11"/>
      <c r="P62" s="50"/>
      <c r="Q62" s="50"/>
      <c r="R62" s="19">
        <f>Q54*H10</f>
        <v>35.058189717469524</v>
      </c>
      <c r="S62" s="21">
        <f>0</f>
        <v>0</v>
      </c>
      <c r="T62" s="50"/>
      <c r="U62" s="52">
        <f>0</f>
        <v>0</v>
      </c>
      <c r="V62" s="51"/>
    </row>
    <row r="63" spans="7:22" ht="18" thickBot="1">
      <c r="G63" s="1"/>
      <c r="H63" s="1"/>
      <c r="K63" s="1"/>
      <c r="L63" s="1"/>
      <c r="O63" s="11"/>
      <c r="P63" s="50"/>
      <c r="Q63" s="50"/>
      <c r="R63" s="52">
        <f>0</f>
        <v>0</v>
      </c>
      <c r="S63" s="11"/>
      <c r="T63" s="50"/>
      <c r="U63" s="17">
        <f>T64*H9</f>
        <v>36.933916146365242</v>
      </c>
      <c r="V63" s="51"/>
    </row>
    <row r="64" spans="7:22" ht="18" thickBot="1">
      <c r="G64" s="1"/>
      <c r="H64" s="1"/>
      <c r="K64" s="1"/>
      <c r="L64" s="1"/>
      <c r="O64" s="11"/>
      <c r="P64" s="50"/>
      <c r="Q64" s="50"/>
      <c r="R64" s="50"/>
      <c r="S64" s="11"/>
      <c r="T64" s="18">
        <f>S66*H9</f>
        <v>35.058189717469524</v>
      </c>
      <c r="U64" s="20">
        <f>0</f>
        <v>0</v>
      </c>
      <c r="V64" s="117">
        <f>0</f>
        <v>0</v>
      </c>
    </row>
    <row r="65" spans="7:22" ht="18" thickBot="1">
      <c r="G65" s="1"/>
      <c r="H65" s="1"/>
      <c r="K65" s="1"/>
      <c r="L65" s="1"/>
      <c r="O65" s="11"/>
      <c r="P65" s="50"/>
      <c r="Q65" s="50"/>
      <c r="R65" s="50"/>
      <c r="S65" s="11"/>
      <c r="T65" s="20">
        <f>T61</f>
        <v>0</v>
      </c>
      <c r="U65" s="12">
        <f>T64*H10</f>
        <v>33.277723959608934</v>
      </c>
      <c r="V65" s="117"/>
    </row>
    <row r="66" spans="7:22" ht="18" thickBot="1">
      <c r="G66" s="1"/>
      <c r="H66" s="1"/>
      <c r="K66" s="1"/>
      <c r="L66" s="1"/>
      <c r="O66" s="11"/>
      <c r="P66" s="50"/>
      <c r="Q66" s="50"/>
      <c r="R66" s="50"/>
      <c r="S66" s="19">
        <f>R62*H10</f>
        <v>33.277723959608934</v>
      </c>
      <c r="T66" s="21">
        <f>T58</f>
        <v>0</v>
      </c>
      <c r="U66" s="52">
        <f>0</f>
        <v>0</v>
      </c>
      <c r="V66" s="51"/>
    </row>
    <row r="67" spans="7:22" ht="18" thickBot="1">
      <c r="G67" s="1"/>
      <c r="H67" s="1"/>
      <c r="K67" s="1"/>
      <c r="L67" s="1"/>
      <c r="O67" s="11"/>
      <c r="P67" s="50"/>
      <c r="Q67" s="50"/>
      <c r="R67" s="50"/>
      <c r="S67" s="52">
        <f>0</f>
        <v>0</v>
      </c>
      <c r="T67" s="11"/>
      <c r="U67" s="17">
        <f>T68*H9</f>
        <v>33.277723959608934</v>
      </c>
      <c r="V67" s="51"/>
    </row>
    <row r="68" spans="7:22" ht="18" thickBot="1">
      <c r="G68" s="1"/>
      <c r="H68" s="1"/>
      <c r="K68" s="1"/>
      <c r="L68" s="1"/>
      <c r="O68" s="11"/>
      <c r="P68" s="50"/>
      <c r="Q68" s="50"/>
      <c r="R68" s="50"/>
      <c r="S68" s="50"/>
      <c r="T68" s="19">
        <f>S66*H10</f>
        <v>31.587680962890929</v>
      </c>
      <c r="U68" s="20">
        <f>0</f>
        <v>0</v>
      </c>
      <c r="V68" s="117">
        <f>0</f>
        <v>0</v>
      </c>
    </row>
    <row r="69" spans="7:22" ht="18" thickBot="1">
      <c r="G69" s="1"/>
      <c r="H69" s="1"/>
      <c r="K69" s="1"/>
      <c r="L69" s="1"/>
      <c r="O69" s="11"/>
      <c r="P69" s="50"/>
      <c r="Q69" s="50"/>
      <c r="R69" s="50"/>
      <c r="S69" s="50"/>
      <c r="T69" s="52">
        <f>0</f>
        <v>0</v>
      </c>
      <c r="U69" s="12">
        <f>T68*H10</f>
        <v>29.983468515588573</v>
      </c>
      <c r="V69" s="117"/>
    </row>
    <row r="70" spans="7:22" ht="17">
      <c r="G70" s="1"/>
      <c r="H70" s="1"/>
      <c r="K70" s="1"/>
      <c r="L70" s="1"/>
      <c r="O70" s="11"/>
      <c r="P70" s="50"/>
      <c r="Q70" s="50"/>
      <c r="R70" s="50"/>
      <c r="S70" s="50"/>
      <c r="T70" s="50"/>
      <c r="U70" s="52">
        <f>0</f>
        <v>0</v>
      </c>
      <c r="V70" s="53"/>
    </row>
    <row r="71" spans="7:22" ht="15" thickBot="1">
      <c r="G71" s="1"/>
      <c r="H71" s="1"/>
      <c r="K71" s="1"/>
      <c r="L71" s="1"/>
      <c r="O71" s="12"/>
      <c r="P71" s="17"/>
      <c r="Q71" s="17"/>
      <c r="R71" s="17"/>
      <c r="S71" s="17"/>
      <c r="T71" s="17"/>
      <c r="U71" s="17"/>
      <c r="V71" s="18"/>
    </row>
    <row r="72" spans="7:22">
      <c r="G72" s="1"/>
      <c r="H72" s="1"/>
      <c r="K72" s="1"/>
      <c r="L72" s="1"/>
      <c r="O72" s="63"/>
      <c r="P72" s="63"/>
      <c r="Q72" s="63"/>
      <c r="R72" s="63"/>
      <c r="S72" s="63"/>
      <c r="T72" s="63"/>
      <c r="U72" s="63"/>
      <c r="V72" s="63"/>
    </row>
    <row r="73" spans="7:22">
      <c r="G73" s="1"/>
      <c r="H73" s="1"/>
      <c r="K73" s="1"/>
      <c r="L73" s="1"/>
      <c r="O73" s="1"/>
      <c r="P73" s="1"/>
      <c r="Q73" s="1"/>
      <c r="R73" s="1"/>
      <c r="S73" s="1"/>
      <c r="T73" s="1"/>
      <c r="U73" s="1"/>
      <c r="V73" s="1"/>
    </row>
    <row r="74" spans="7:22">
      <c r="G74" s="1"/>
      <c r="H74" s="1"/>
      <c r="K74" s="1"/>
      <c r="L74" s="1"/>
      <c r="O74" s="1"/>
      <c r="P74" s="1"/>
      <c r="Q74" s="1"/>
      <c r="R74" s="1"/>
      <c r="S74" s="1"/>
      <c r="T74" s="1"/>
      <c r="U74" s="1"/>
      <c r="V74" s="1"/>
    </row>
    <row r="75" spans="7:22">
      <c r="G75" s="1"/>
      <c r="H75" s="1"/>
      <c r="K75" s="1"/>
      <c r="L75" s="1"/>
      <c r="O75" s="1"/>
      <c r="P75" s="1"/>
      <c r="Q75" s="1"/>
      <c r="R75" s="1"/>
      <c r="S75" s="1"/>
      <c r="T75" s="1"/>
      <c r="U75" s="1"/>
      <c r="V75" s="1"/>
    </row>
    <row r="76" spans="7:22">
      <c r="G76" s="1"/>
      <c r="H76" s="1"/>
      <c r="K76" s="1"/>
      <c r="L76" s="1"/>
      <c r="O76" s="1"/>
      <c r="P76" s="1"/>
      <c r="Q76" s="1"/>
      <c r="R76" s="1"/>
      <c r="S76" s="1"/>
      <c r="T76" s="1"/>
      <c r="U76" s="1"/>
      <c r="V76" s="1"/>
    </row>
    <row r="77" spans="7:22">
      <c r="G77" s="1"/>
      <c r="H77" s="1"/>
      <c r="K77" s="1"/>
      <c r="L77" s="1"/>
      <c r="O77" s="1"/>
      <c r="P77" s="1"/>
      <c r="Q77" s="1"/>
      <c r="R77" s="1"/>
      <c r="S77" s="1"/>
      <c r="T77" s="1"/>
      <c r="U77" s="1"/>
      <c r="V77" s="1"/>
    </row>
    <row r="78" spans="7:22">
      <c r="G78" s="1"/>
      <c r="H78" s="1"/>
      <c r="K78" s="1"/>
      <c r="L78" s="1"/>
      <c r="O78" s="1"/>
      <c r="P78" s="1"/>
      <c r="Q78" s="1"/>
      <c r="R78" s="1"/>
      <c r="S78" s="1"/>
      <c r="T78" s="1"/>
      <c r="U78" s="1"/>
      <c r="V78" s="1"/>
    </row>
    <row r="79" spans="7:22">
      <c r="G79" s="1"/>
      <c r="H79" s="1"/>
      <c r="K79" s="1"/>
      <c r="L79" s="1"/>
      <c r="O79" s="1"/>
      <c r="P79" s="1"/>
      <c r="Q79" s="1"/>
      <c r="R79" s="1"/>
      <c r="S79" s="1"/>
      <c r="T79" s="1"/>
      <c r="U79" s="1"/>
      <c r="V79" s="1"/>
    </row>
    <row r="80" spans="7:22">
      <c r="G80" s="1"/>
      <c r="H80" s="1"/>
      <c r="K80" s="1"/>
      <c r="L80" s="1"/>
      <c r="O80" s="1"/>
      <c r="P80" s="1"/>
      <c r="Q80" s="1"/>
      <c r="R80" s="1"/>
      <c r="S80" s="1"/>
      <c r="T80" s="1"/>
      <c r="U80" s="1"/>
      <c r="V80" s="1"/>
    </row>
    <row r="81" spans="7:22">
      <c r="G81" s="1"/>
      <c r="H81" s="1"/>
      <c r="K81" s="1"/>
      <c r="L81" s="1"/>
      <c r="O81" s="1"/>
      <c r="P81" s="1"/>
      <c r="Q81" s="1"/>
      <c r="R81" s="1"/>
      <c r="S81" s="1"/>
      <c r="T81" s="1"/>
      <c r="U81" s="1"/>
      <c r="V81" s="1"/>
    </row>
    <row r="82" spans="7:22">
      <c r="G82" s="1"/>
      <c r="H82" s="1"/>
      <c r="K82" s="1"/>
      <c r="L82" s="1"/>
      <c r="O82" s="1"/>
      <c r="P82" s="1"/>
      <c r="Q82" s="1"/>
      <c r="R82" s="1"/>
      <c r="S82" s="1"/>
      <c r="T82" s="1"/>
      <c r="U82" s="1"/>
      <c r="V82" s="1"/>
    </row>
    <row r="83" spans="7:22">
      <c r="G83" s="1"/>
      <c r="H83" s="1"/>
      <c r="K83" s="1"/>
      <c r="L83" s="1"/>
      <c r="O83" s="1"/>
      <c r="P83" s="1"/>
      <c r="Q83" s="1"/>
      <c r="R83" s="1"/>
      <c r="S83" s="1"/>
      <c r="T83" s="1"/>
      <c r="U83" s="1"/>
      <c r="V83" s="1"/>
    </row>
    <row r="84" spans="7:22">
      <c r="G84" s="1"/>
      <c r="H84" s="1"/>
      <c r="K84" s="1"/>
      <c r="L84" s="1"/>
      <c r="O84" s="1"/>
      <c r="P84" s="1"/>
      <c r="Q84" s="1"/>
      <c r="R84" s="1"/>
      <c r="S84" s="1"/>
      <c r="T84" s="1"/>
      <c r="U84" s="1"/>
      <c r="V84" s="1"/>
    </row>
    <row r="85" spans="7:22">
      <c r="G85" s="1"/>
      <c r="H85" s="1"/>
      <c r="K85" s="1"/>
      <c r="L85" s="1"/>
      <c r="O85" s="1"/>
      <c r="P85" s="1"/>
      <c r="Q85" s="1"/>
      <c r="R85" s="1"/>
      <c r="S85" s="1"/>
      <c r="T85" s="1"/>
      <c r="U85" s="1"/>
      <c r="V85" s="1"/>
    </row>
    <row r="86" spans="7:22">
      <c r="G86" s="1"/>
      <c r="H86" s="1"/>
      <c r="K86" s="1"/>
      <c r="L86" s="1"/>
      <c r="O86" s="1"/>
      <c r="P86" s="1"/>
      <c r="Q86" s="1"/>
      <c r="R86" s="1"/>
      <c r="S86" s="1"/>
      <c r="T86" s="1"/>
      <c r="U86" s="1"/>
      <c r="V86" s="1"/>
    </row>
    <row r="87" spans="7:22">
      <c r="G87" s="1"/>
      <c r="H87" s="1"/>
      <c r="K87" s="1"/>
      <c r="L87" s="1"/>
      <c r="O87" s="1"/>
      <c r="P87" s="1"/>
      <c r="Q87" s="1"/>
      <c r="R87" s="1"/>
      <c r="S87" s="1"/>
      <c r="T87" s="1"/>
      <c r="U87" s="1"/>
      <c r="V87" s="1"/>
    </row>
    <row r="88" spans="7:22">
      <c r="G88" s="1"/>
      <c r="H88" s="1"/>
      <c r="K88" s="1"/>
      <c r="L88" s="1"/>
      <c r="O88" s="1"/>
      <c r="P88" s="1"/>
      <c r="Q88" s="1"/>
      <c r="R88" s="1"/>
      <c r="S88" s="1"/>
      <c r="T88" s="1"/>
      <c r="U88" s="1"/>
      <c r="V88" s="1"/>
    </row>
    <row r="89" spans="7:22">
      <c r="G89" s="1"/>
      <c r="H89" s="1"/>
      <c r="K89" s="1"/>
      <c r="L89" s="1"/>
      <c r="O89" s="1"/>
      <c r="P89" s="1"/>
      <c r="Q89" s="1"/>
      <c r="R89" s="1"/>
      <c r="S89" s="1"/>
      <c r="T89" s="1"/>
      <c r="U89" s="1"/>
      <c r="V89" s="1"/>
    </row>
    <row r="90" spans="7:22">
      <c r="G90" s="1"/>
      <c r="H90" s="1"/>
      <c r="K90" s="1"/>
      <c r="L90" s="1"/>
      <c r="O90" s="1"/>
      <c r="P90" s="1"/>
      <c r="Q90" s="1"/>
      <c r="R90" s="1"/>
      <c r="S90" s="1"/>
      <c r="T90" s="1"/>
      <c r="U90" s="1"/>
      <c r="V90" s="1"/>
    </row>
    <row r="91" spans="7:22">
      <c r="G91" s="1"/>
      <c r="H91" s="1"/>
      <c r="K91" s="1"/>
      <c r="L91" s="1"/>
      <c r="O91" s="1"/>
      <c r="P91" s="1"/>
      <c r="Q91" s="1"/>
      <c r="R91" s="1"/>
      <c r="S91" s="1"/>
      <c r="T91" s="1"/>
      <c r="U91" s="1"/>
      <c r="V91" s="1"/>
    </row>
    <row r="92" spans="7:22">
      <c r="G92" s="1"/>
      <c r="H92" s="1"/>
      <c r="K92" s="1"/>
      <c r="L92" s="1"/>
      <c r="O92" s="1"/>
      <c r="P92" s="1"/>
      <c r="Q92" s="1"/>
      <c r="R92" s="1"/>
      <c r="S92" s="1"/>
      <c r="T92" s="1"/>
      <c r="U92" s="1"/>
      <c r="V92" s="1"/>
    </row>
    <row r="93" spans="7:22">
      <c r="G93" s="1"/>
      <c r="H93" s="1"/>
      <c r="K93" s="1"/>
      <c r="L93" s="1"/>
      <c r="O93" s="1"/>
      <c r="P93" s="1"/>
      <c r="Q93" s="1"/>
      <c r="R93" s="1"/>
      <c r="S93" s="1"/>
      <c r="T93" s="1"/>
      <c r="U93" s="1"/>
      <c r="V93" s="1"/>
    </row>
    <row r="94" spans="7:22">
      <c r="G94" s="1"/>
      <c r="H94" s="1"/>
      <c r="K94" s="1"/>
      <c r="L94" s="1"/>
      <c r="O94" s="1"/>
      <c r="P94" s="1"/>
      <c r="Q94" s="1"/>
      <c r="R94" s="1"/>
      <c r="S94" s="1"/>
      <c r="T94" s="1"/>
      <c r="U94" s="1"/>
      <c r="V94" s="1"/>
    </row>
    <row r="95" spans="7:22">
      <c r="G95" s="1"/>
      <c r="H95" s="1"/>
      <c r="K95" s="1"/>
      <c r="L95" s="1"/>
      <c r="O95" s="1"/>
      <c r="P95" s="1"/>
      <c r="Q95" s="1"/>
      <c r="R95" s="1"/>
      <c r="S95" s="1"/>
      <c r="T95" s="1"/>
      <c r="U95" s="1"/>
      <c r="V95" s="1"/>
    </row>
    <row r="96" spans="7:22">
      <c r="G96" s="1"/>
      <c r="H96" s="1"/>
      <c r="K96" s="1"/>
      <c r="L96" s="1"/>
      <c r="O96" s="1"/>
      <c r="P96" s="1"/>
      <c r="Q96" s="1"/>
      <c r="R96" s="1"/>
      <c r="S96" s="1"/>
      <c r="T96" s="1"/>
      <c r="U96" s="1"/>
      <c r="V96" s="1"/>
    </row>
    <row r="97" spans="7:22">
      <c r="G97" s="1"/>
      <c r="H97" s="1"/>
      <c r="K97" s="1"/>
      <c r="L97" s="1"/>
      <c r="O97" s="1"/>
      <c r="P97" s="1"/>
      <c r="Q97" s="1"/>
      <c r="R97" s="1"/>
      <c r="S97" s="1"/>
      <c r="T97" s="1"/>
      <c r="U97" s="1"/>
      <c r="V97" s="1"/>
    </row>
    <row r="98" spans="7:22">
      <c r="G98" s="1"/>
      <c r="H98" s="1"/>
      <c r="K98" s="1"/>
      <c r="L98" s="1"/>
      <c r="O98" s="1"/>
      <c r="P98" s="1"/>
      <c r="Q98" s="1"/>
      <c r="R98" s="1"/>
      <c r="S98" s="1"/>
      <c r="T98" s="1"/>
      <c r="U98" s="1"/>
      <c r="V98" s="1"/>
    </row>
    <row r="99" spans="7:22">
      <c r="G99" s="1"/>
      <c r="H99" s="1"/>
      <c r="K99" s="1"/>
      <c r="L99" s="1"/>
      <c r="O99" s="1"/>
      <c r="P99" s="1"/>
      <c r="Q99" s="1"/>
      <c r="R99" s="1"/>
      <c r="S99" s="1"/>
      <c r="T99" s="1"/>
      <c r="U99" s="1"/>
      <c r="V99" s="1"/>
    </row>
    <row r="100" spans="7:22">
      <c r="G100" s="1"/>
      <c r="H100" s="1"/>
      <c r="K100" s="1"/>
      <c r="L100" s="1"/>
      <c r="O100" s="1"/>
      <c r="P100" s="1"/>
      <c r="Q100" s="1"/>
      <c r="R100" s="1"/>
      <c r="S100" s="1"/>
      <c r="T100" s="1"/>
      <c r="U100" s="1"/>
      <c r="V100" s="1"/>
    </row>
    <row r="101" spans="7:22">
      <c r="G101" s="1"/>
      <c r="H101" s="1"/>
      <c r="K101" s="1"/>
      <c r="L101" s="1"/>
      <c r="O101" s="1"/>
      <c r="P101" s="1"/>
      <c r="Q101" s="1"/>
      <c r="R101" s="1"/>
      <c r="S101" s="1"/>
      <c r="T101" s="1"/>
      <c r="U101" s="1"/>
      <c r="V101" s="1"/>
    </row>
    <row r="102" spans="7:22">
      <c r="G102" s="1"/>
      <c r="H102" s="1"/>
      <c r="K102" s="1"/>
      <c r="L102" s="1"/>
      <c r="O102" s="1"/>
      <c r="P102" s="1"/>
      <c r="Q102" s="1"/>
      <c r="R102" s="1"/>
      <c r="S102" s="1"/>
      <c r="T102" s="1"/>
      <c r="U102" s="1"/>
      <c r="V102" s="1"/>
    </row>
    <row r="103" spans="7:22">
      <c r="G103" s="1"/>
      <c r="H103" s="1"/>
      <c r="K103" s="1"/>
      <c r="L103" s="1"/>
      <c r="O103" s="1"/>
      <c r="P103" s="1"/>
      <c r="Q103" s="1"/>
      <c r="R103" s="1"/>
      <c r="S103" s="1"/>
      <c r="T103" s="1"/>
      <c r="U103" s="1"/>
      <c r="V103" s="1"/>
    </row>
    <row r="104" spans="7:22">
      <c r="G104" s="1"/>
      <c r="H104" s="1"/>
      <c r="K104" s="1"/>
      <c r="L104" s="1"/>
      <c r="O104" s="1"/>
      <c r="P104" s="1"/>
      <c r="Q104" s="1"/>
      <c r="R104" s="1"/>
      <c r="S104" s="1"/>
      <c r="T104" s="1"/>
      <c r="U104" s="1"/>
      <c r="V104" s="1"/>
    </row>
    <row r="105" spans="7:22">
      <c r="G105" s="1"/>
      <c r="H105" s="1"/>
      <c r="K105" s="1"/>
      <c r="L105" s="1"/>
      <c r="O105" s="1"/>
      <c r="P105" s="1"/>
      <c r="Q105" s="1"/>
      <c r="R105" s="1"/>
      <c r="S105" s="1"/>
      <c r="T105" s="1"/>
      <c r="U105" s="1"/>
      <c r="V105" s="1"/>
    </row>
    <row r="106" spans="7:22">
      <c r="G106" s="1"/>
      <c r="H106" s="1"/>
      <c r="K106" s="1"/>
      <c r="L106" s="1"/>
      <c r="O106" s="1"/>
      <c r="P106" s="1"/>
      <c r="Q106" s="1"/>
      <c r="R106" s="1"/>
      <c r="S106" s="1"/>
      <c r="T106" s="1"/>
      <c r="U106" s="1"/>
      <c r="V106" s="1"/>
    </row>
    <row r="107" spans="7:22">
      <c r="G107" s="1"/>
      <c r="H107" s="1"/>
      <c r="K107" s="1"/>
      <c r="L107" s="1"/>
      <c r="O107" s="1"/>
      <c r="P107" s="1"/>
      <c r="Q107" s="1"/>
      <c r="R107" s="1"/>
      <c r="S107" s="1"/>
      <c r="T107" s="1"/>
      <c r="U107" s="1"/>
      <c r="V107" s="1"/>
    </row>
    <row r="108" spans="7:22">
      <c r="G108" s="1"/>
      <c r="H108" s="1"/>
      <c r="K108" s="1"/>
      <c r="L108" s="1"/>
      <c r="O108" s="1"/>
      <c r="P108" s="1"/>
      <c r="Q108" s="1"/>
      <c r="R108" s="1"/>
      <c r="S108" s="1"/>
      <c r="T108" s="1"/>
      <c r="U108" s="1"/>
      <c r="V108" s="1"/>
    </row>
    <row r="109" spans="7:22">
      <c r="G109" s="1"/>
      <c r="H109" s="1"/>
      <c r="K109" s="1"/>
      <c r="L109" s="1"/>
      <c r="O109" s="1"/>
      <c r="P109" s="1"/>
      <c r="Q109" s="1"/>
      <c r="R109" s="1"/>
      <c r="S109" s="1"/>
      <c r="T109" s="1"/>
      <c r="U109" s="1"/>
      <c r="V109" s="1"/>
    </row>
    <row r="110" spans="7:22">
      <c r="G110" s="1"/>
      <c r="H110" s="1"/>
      <c r="K110" s="1"/>
      <c r="L110" s="1"/>
      <c r="O110" s="1"/>
      <c r="P110" s="1"/>
      <c r="Q110" s="1"/>
      <c r="R110" s="1"/>
      <c r="S110" s="1"/>
      <c r="T110" s="1"/>
      <c r="U110" s="1"/>
      <c r="V110" s="1"/>
    </row>
    <row r="111" spans="7:22">
      <c r="G111" s="1"/>
      <c r="H111" s="1"/>
      <c r="K111" s="1"/>
      <c r="L111" s="1"/>
      <c r="O111" s="1"/>
      <c r="P111" s="1"/>
      <c r="Q111" s="1"/>
      <c r="R111" s="1"/>
      <c r="S111" s="1"/>
      <c r="T111" s="1"/>
      <c r="U111" s="1"/>
      <c r="V111" s="1"/>
    </row>
    <row r="112" spans="7:22">
      <c r="G112" s="1"/>
      <c r="H112" s="1"/>
      <c r="K112" s="1"/>
      <c r="L112" s="1"/>
      <c r="O112" s="1"/>
      <c r="P112" s="1"/>
      <c r="Q112" s="1"/>
      <c r="R112" s="1"/>
      <c r="S112" s="1"/>
      <c r="T112" s="1"/>
      <c r="U112" s="1"/>
      <c r="V112" s="1"/>
    </row>
    <row r="113" spans="7:22">
      <c r="G113" s="1"/>
      <c r="H113" s="1"/>
      <c r="K113" s="1"/>
      <c r="L113" s="1"/>
      <c r="O113" s="1"/>
      <c r="P113" s="1"/>
      <c r="Q113" s="1"/>
      <c r="R113" s="1"/>
      <c r="S113" s="1"/>
      <c r="T113" s="1"/>
      <c r="U113" s="1"/>
      <c r="V113" s="1"/>
    </row>
    <row r="114" spans="7:22">
      <c r="G114" s="1"/>
      <c r="H114" s="1"/>
      <c r="K114" s="1"/>
      <c r="L114" s="1"/>
      <c r="O114" s="1"/>
      <c r="P114" s="1"/>
      <c r="Q114" s="1"/>
      <c r="R114" s="1"/>
      <c r="S114" s="1"/>
      <c r="T114" s="1"/>
      <c r="U114" s="1"/>
      <c r="V114" s="1"/>
    </row>
    <row r="115" spans="7:22">
      <c r="G115" s="1"/>
      <c r="H115" s="1"/>
      <c r="K115" s="1"/>
      <c r="L115" s="1"/>
      <c r="O115" s="1"/>
      <c r="P115" s="1"/>
      <c r="Q115" s="1"/>
      <c r="R115" s="1"/>
      <c r="S115" s="1"/>
      <c r="T115" s="1"/>
      <c r="U115" s="1"/>
      <c r="V115" s="1"/>
    </row>
    <row r="116" spans="7:22">
      <c r="G116" s="1"/>
      <c r="H116" s="1"/>
      <c r="K116" s="1"/>
      <c r="L116" s="1"/>
      <c r="O116" s="1"/>
      <c r="P116" s="1"/>
      <c r="Q116" s="1"/>
      <c r="R116" s="1"/>
      <c r="S116" s="1"/>
      <c r="T116" s="1"/>
      <c r="U116" s="1"/>
      <c r="V116" s="1"/>
    </row>
    <row r="117" spans="7:22">
      <c r="G117" s="1"/>
      <c r="H117" s="1"/>
      <c r="K117" s="1"/>
      <c r="L117" s="1"/>
      <c r="O117" s="1"/>
      <c r="P117" s="1"/>
      <c r="Q117" s="1"/>
      <c r="R117" s="1"/>
      <c r="S117" s="1"/>
      <c r="T117" s="1"/>
      <c r="U117" s="1"/>
      <c r="V117" s="1"/>
    </row>
    <row r="118" spans="7:22">
      <c r="G118" s="1"/>
      <c r="H118" s="1"/>
      <c r="K118" s="1"/>
      <c r="L118" s="1"/>
      <c r="O118" s="1"/>
      <c r="P118" s="1"/>
      <c r="Q118" s="1"/>
      <c r="R118" s="1"/>
      <c r="S118" s="1"/>
      <c r="T118" s="1"/>
      <c r="U118" s="1"/>
      <c r="V118" s="1"/>
    </row>
    <row r="119" spans="7:22">
      <c r="G119" s="1"/>
      <c r="H119" s="1"/>
      <c r="K119" s="1"/>
      <c r="L119" s="1"/>
      <c r="O119" s="1"/>
      <c r="P119" s="1"/>
      <c r="Q119" s="1"/>
      <c r="R119" s="1"/>
      <c r="S119" s="1"/>
      <c r="T119" s="1"/>
      <c r="U119" s="1"/>
      <c r="V119" s="1"/>
    </row>
    <row r="120" spans="7:22">
      <c r="G120" s="1"/>
      <c r="H120" s="1"/>
      <c r="K120" s="1"/>
      <c r="L120" s="1"/>
      <c r="O120" s="1"/>
      <c r="P120" s="1"/>
      <c r="Q120" s="1"/>
      <c r="R120" s="1"/>
      <c r="S120" s="1"/>
      <c r="T120" s="1"/>
      <c r="U120" s="1"/>
      <c r="V120" s="1"/>
    </row>
    <row r="121" spans="7:22">
      <c r="G121" s="1"/>
      <c r="H121" s="1"/>
      <c r="K121" s="1"/>
      <c r="L121" s="1"/>
      <c r="O121" s="1"/>
      <c r="P121" s="1"/>
      <c r="Q121" s="1"/>
      <c r="R121" s="1"/>
      <c r="S121" s="1"/>
      <c r="T121" s="1"/>
      <c r="U121" s="1"/>
      <c r="V121" s="1"/>
    </row>
    <row r="122" spans="7:22">
      <c r="G122" s="1"/>
      <c r="H122" s="1"/>
      <c r="K122" s="1"/>
      <c r="L122" s="1"/>
      <c r="O122" s="1"/>
      <c r="P122" s="1"/>
      <c r="Q122" s="1"/>
      <c r="R122" s="1"/>
      <c r="S122" s="1"/>
      <c r="T122" s="1"/>
      <c r="U122" s="1"/>
      <c r="V122" s="1"/>
    </row>
    <row r="123" spans="7:22">
      <c r="G123" s="1"/>
      <c r="H123" s="1"/>
      <c r="K123" s="1"/>
      <c r="L123" s="1"/>
      <c r="O123" s="1"/>
      <c r="P123" s="1"/>
      <c r="Q123" s="1"/>
      <c r="R123" s="1"/>
      <c r="S123" s="1"/>
      <c r="T123" s="1"/>
      <c r="U123" s="1"/>
      <c r="V123" s="1"/>
    </row>
    <row r="124" spans="7:22">
      <c r="G124" s="1"/>
      <c r="H124" s="1"/>
      <c r="K124" s="1"/>
      <c r="L124" s="1"/>
      <c r="O124" s="1"/>
      <c r="P124" s="1"/>
      <c r="Q124" s="1"/>
      <c r="R124" s="1"/>
      <c r="S124" s="1"/>
      <c r="T124" s="1"/>
      <c r="U124" s="1"/>
      <c r="V124" s="1"/>
    </row>
    <row r="125" spans="7:22">
      <c r="G125" s="1"/>
      <c r="H125" s="1"/>
      <c r="K125" s="1"/>
      <c r="L125" s="1"/>
      <c r="O125" s="1"/>
      <c r="P125" s="1"/>
      <c r="Q125" s="1"/>
      <c r="R125" s="1"/>
      <c r="S125" s="1"/>
      <c r="T125" s="1"/>
      <c r="U125" s="1"/>
      <c r="V125" s="1"/>
    </row>
    <row r="126" spans="7:22">
      <c r="G126" s="1"/>
      <c r="H126" s="1"/>
      <c r="K126" s="1"/>
      <c r="L126" s="1"/>
      <c r="O126" s="1"/>
      <c r="P126" s="1"/>
      <c r="Q126" s="1"/>
      <c r="R126" s="1"/>
      <c r="S126" s="1"/>
      <c r="T126" s="1"/>
      <c r="U126" s="1"/>
      <c r="V126" s="1"/>
    </row>
    <row r="127" spans="7:22">
      <c r="G127" s="1"/>
      <c r="H127" s="1"/>
      <c r="K127" s="1"/>
      <c r="L127" s="1"/>
      <c r="O127" s="1"/>
      <c r="P127" s="1"/>
      <c r="Q127" s="1"/>
      <c r="R127" s="1"/>
      <c r="S127" s="1"/>
      <c r="T127" s="1"/>
      <c r="U127" s="1"/>
      <c r="V127" s="1"/>
    </row>
    <row r="128" spans="7:22">
      <c r="G128" s="1"/>
      <c r="H128" s="1"/>
      <c r="K128" s="1"/>
      <c r="L128" s="1"/>
      <c r="O128" s="1"/>
      <c r="P128" s="1"/>
      <c r="Q128" s="1"/>
      <c r="R128" s="1"/>
      <c r="S128" s="1"/>
      <c r="T128" s="1"/>
      <c r="U128" s="1"/>
      <c r="V128" s="1"/>
    </row>
    <row r="129" spans="7:22">
      <c r="G129" s="1"/>
      <c r="H129" s="1"/>
      <c r="K129" s="1"/>
      <c r="L129" s="1"/>
      <c r="O129" s="1"/>
      <c r="P129" s="1"/>
      <c r="Q129" s="1"/>
      <c r="R129" s="1"/>
      <c r="S129" s="1"/>
      <c r="T129" s="1"/>
      <c r="U129" s="1"/>
      <c r="V129" s="1"/>
    </row>
    <row r="130" spans="7:22">
      <c r="G130" s="1"/>
      <c r="H130" s="1"/>
      <c r="K130" s="1"/>
      <c r="L130" s="1"/>
      <c r="O130" s="1"/>
      <c r="P130" s="1"/>
      <c r="Q130" s="1"/>
      <c r="R130" s="1"/>
      <c r="S130" s="1"/>
      <c r="T130" s="1"/>
      <c r="U130" s="1"/>
      <c r="V130" s="1"/>
    </row>
    <row r="131" spans="7:22">
      <c r="G131" s="1"/>
      <c r="H131" s="1"/>
      <c r="K131" s="1"/>
      <c r="L131" s="1"/>
      <c r="O131" s="1"/>
      <c r="P131" s="1"/>
      <c r="Q131" s="1"/>
      <c r="R131" s="1"/>
      <c r="S131" s="1"/>
      <c r="T131" s="1"/>
      <c r="U131" s="1"/>
      <c r="V131" s="1"/>
    </row>
    <row r="132" spans="7:22">
      <c r="G132" s="1"/>
      <c r="H132" s="1"/>
      <c r="K132" s="1"/>
      <c r="L132" s="1"/>
      <c r="O132" s="1"/>
      <c r="P132" s="1"/>
      <c r="Q132" s="1"/>
      <c r="R132" s="1"/>
      <c r="S132" s="1"/>
      <c r="T132" s="1"/>
      <c r="U132" s="1"/>
      <c r="V132" s="1"/>
    </row>
    <row r="133" spans="7:22">
      <c r="G133" s="1"/>
      <c r="H133" s="1"/>
      <c r="K133" s="1"/>
      <c r="L133" s="1"/>
      <c r="O133" s="1"/>
      <c r="P133" s="1"/>
      <c r="Q133" s="1"/>
      <c r="R133" s="1"/>
      <c r="S133" s="1"/>
      <c r="T133" s="1"/>
      <c r="U133" s="1"/>
      <c r="V133" s="1"/>
    </row>
    <row r="134" spans="7:22">
      <c r="G134" s="1"/>
      <c r="H134" s="1"/>
      <c r="K134" s="1"/>
      <c r="L134" s="1"/>
      <c r="O134" s="1"/>
      <c r="P134" s="1"/>
      <c r="Q134" s="1"/>
      <c r="R134" s="1"/>
      <c r="S134" s="1"/>
      <c r="T134" s="1"/>
      <c r="U134" s="1"/>
      <c r="V134" s="1"/>
    </row>
    <row r="135" spans="7:22">
      <c r="G135" s="1"/>
      <c r="H135" s="1"/>
      <c r="K135" s="1"/>
      <c r="L135" s="1"/>
      <c r="O135" s="1"/>
      <c r="P135" s="1"/>
      <c r="Q135" s="1"/>
      <c r="R135" s="1"/>
      <c r="S135" s="1"/>
      <c r="T135" s="1"/>
      <c r="U135" s="1"/>
      <c r="V135" s="1"/>
    </row>
    <row r="136" spans="7:22">
      <c r="G136" s="1"/>
      <c r="H136" s="1"/>
      <c r="K136" s="1"/>
      <c r="L136" s="1"/>
      <c r="O136" s="1"/>
      <c r="P136" s="1"/>
      <c r="Q136" s="1"/>
      <c r="R136" s="1"/>
      <c r="S136" s="1"/>
      <c r="T136" s="1"/>
      <c r="U136" s="1"/>
      <c r="V136" s="1"/>
    </row>
    <row r="137" spans="7:22">
      <c r="G137" s="1"/>
      <c r="H137" s="1"/>
      <c r="K137" s="1"/>
      <c r="L137" s="1"/>
      <c r="O137" s="1"/>
      <c r="P137" s="1"/>
      <c r="Q137" s="1"/>
      <c r="R137" s="1"/>
      <c r="S137" s="1"/>
      <c r="T137" s="1"/>
      <c r="U137" s="1"/>
      <c r="V137" s="1"/>
    </row>
    <row r="138" spans="7:22">
      <c r="G138" s="1"/>
      <c r="H138" s="1"/>
      <c r="K138" s="1"/>
      <c r="L138" s="1"/>
      <c r="O138" s="1"/>
      <c r="P138" s="1"/>
      <c r="Q138" s="1"/>
      <c r="R138" s="1"/>
      <c r="S138" s="1"/>
      <c r="T138" s="1"/>
      <c r="U138" s="1"/>
      <c r="V138" s="1"/>
    </row>
    <row r="139" spans="7:22">
      <c r="G139" s="1"/>
      <c r="H139" s="1"/>
      <c r="K139" s="1"/>
      <c r="L139" s="1"/>
      <c r="O139" s="1"/>
      <c r="P139" s="1"/>
      <c r="Q139" s="1"/>
      <c r="R139" s="1"/>
      <c r="S139" s="1"/>
      <c r="T139" s="1"/>
      <c r="U139" s="1"/>
      <c r="V139" s="1"/>
    </row>
    <row r="140" spans="7:22">
      <c r="G140" s="1"/>
      <c r="H140" s="1"/>
      <c r="K140" s="1"/>
      <c r="L140" s="1"/>
      <c r="O140" s="1"/>
      <c r="P140" s="1"/>
      <c r="Q140" s="1"/>
      <c r="R140" s="1"/>
      <c r="S140" s="1"/>
      <c r="T140" s="1"/>
      <c r="U140" s="1"/>
      <c r="V140" s="1"/>
    </row>
    <row r="141" spans="7:22">
      <c r="G141" s="1"/>
      <c r="H141" s="1"/>
      <c r="K141" s="1"/>
      <c r="L141" s="1"/>
      <c r="O141" s="1"/>
      <c r="P141" s="1"/>
      <c r="Q141" s="1"/>
      <c r="R141" s="1"/>
      <c r="S141" s="1"/>
      <c r="T141" s="1"/>
      <c r="U141" s="1"/>
      <c r="V141" s="1"/>
    </row>
    <row r="142" spans="7:22">
      <c r="G142" s="1"/>
      <c r="H142" s="1"/>
      <c r="K142" s="1"/>
      <c r="L142" s="1"/>
      <c r="O142" s="1"/>
      <c r="P142" s="1"/>
      <c r="Q142" s="1"/>
      <c r="R142" s="1"/>
      <c r="S142" s="1"/>
      <c r="T142" s="1"/>
      <c r="U142" s="1"/>
      <c r="V142" s="1"/>
    </row>
    <row r="143" spans="7:22">
      <c r="G143" s="1"/>
      <c r="H143" s="1"/>
      <c r="K143" s="1"/>
      <c r="L143" s="1"/>
      <c r="O143" s="1"/>
      <c r="P143" s="1"/>
      <c r="Q143" s="1"/>
      <c r="R143" s="1"/>
      <c r="S143" s="1"/>
      <c r="T143" s="1"/>
      <c r="U143" s="1"/>
      <c r="V143" s="1"/>
    </row>
    <row r="144" spans="7:22">
      <c r="G144" s="1"/>
      <c r="H144" s="1"/>
      <c r="K144" s="1"/>
      <c r="L144" s="1"/>
      <c r="O144" s="1"/>
      <c r="P144" s="1"/>
      <c r="Q144" s="1"/>
      <c r="R144" s="1"/>
      <c r="S144" s="1"/>
      <c r="T144" s="1"/>
      <c r="U144" s="1"/>
      <c r="V144" s="1"/>
    </row>
    <row r="145" spans="7:22">
      <c r="G145" s="1"/>
      <c r="H145" s="1"/>
      <c r="K145" s="1"/>
      <c r="L145" s="1"/>
      <c r="O145" s="1"/>
      <c r="P145" s="1"/>
      <c r="Q145" s="1"/>
      <c r="R145" s="1"/>
      <c r="S145" s="1"/>
      <c r="T145" s="1"/>
      <c r="U145" s="1"/>
      <c r="V145" s="1"/>
    </row>
    <row r="146" spans="7:22">
      <c r="G146" s="1"/>
      <c r="H146" s="1"/>
      <c r="K146" s="1"/>
      <c r="L146" s="1"/>
      <c r="O146" s="1"/>
      <c r="P146" s="1"/>
      <c r="Q146" s="1"/>
      <c r="R146" s="1"/>
      <c r="S146" s="1"/>
      <c r="T146" s="1"/>
      <c r="U146" s="1"/>
      <c r="V146" s="1"/>
    </row>
    <row r="147" spans="7:22">
      <c r="G147" s="1"/>
      <c r="H147" s="1"/>
      <c r="K147" s="1"/>
      <c r="L147" s="1"/>
      <c r="O147" s="1"/>
      <c r="P147" s="1"/>
      <c r="Q147" s="1"/>
      <c r="R147" s="1"/>
      <c r="S147" s="1"/>
      <c r="T147" s="1"/>
      <c r="U147" s="1"/>
      <c r="V147" s="1"/>
    </row>
    <row r="148" spans="7:22">
      <c r="G148" s="1"/>
      <c r="H148" s="1"/>
      <c r="K148" s="1"/>
      <c r="L148" s="1"/>
      <c r="O148" s="1"/>
      <c r="P148" s="1"/>
      <c r="Q148" s="1"/>
      <c r="R148" s="1"/>
      <c r="S148" s="1"/>
      <c r="T148" s="1"/>
      <c r="U148" s="1"/>
      <c r="V148" s="1"/>
    </row>
    <row r="149" spans="7:22">
      <c r="G149" s="1"/>
      <c r="H149" s="1"/>
      <c r="K149" s="1"/>
      <c r="L149" s="1"/>
      <c r="O149" s="1"/>
      <c r="P149" s="1"/>
      <c r="Q149" s="1"/>
      <c r="R149" s="1"/>
      <c r="S149" s="1"/>
      <c r="T149" s="1"/>
      <c r="U149" s="1"/>
      <c r="V149" s="1"/>
    </row>
    <row r="150" spans="7:22">
      <c r="G150" s="1"/>
      <c r="H150" s="1"/>
      <c r="K150" s="1"/>
      <c r="L150" s="1"/>
      <c r="O150" s="1"/>
      <c r="P150" s="1"/>
      <c r="Q150" s="1"/>
      <c r="R150" s="1"/>
      <c r="S150" s="1"/>
      <c r="T150" s="1"/>
      <c r="U150" s="1"/>
      <c r="V150" s="1"/>
    </row>
    <row r="151" spans="7:22">
      <c r="G151" s="1"/>
      <c r="H151" s="1"/>
      <c r="K151" s="1"/>
      <c r="L151" s="1"/>
      <c r="O151" s="1"/>
      <c r="P151" s="1"/>
      <c r="Q151" s="1"/>
      <c r="R151" s="1"/>
      <c r="S151" s="1"/>
      <c r="T151" s="1"/>
      <c r="U151" s="1"/>
      <c r="V151" s="1"/>
    </row>
    <row r="152" spans="7:22">
      <c r="G152" s="1"/>
      <c r="H152" s="1"/>
      <c r="K152" s="1"/>
      <c r="L152" s="1"/>
      <c r="O152" s="1"/>
      <c r="P152" s="1"/>
      <c r="Q152" s="1"/>
      <c r="R152" s="1"/>
      <c r="S152" s="1"/>
      <c r="T152" s="1"/>
      <c r="U152" s="1"/>
      <c r="V152" s="1"/>
    </row>
    <row r="153" spans="7:22">
      <c r="G153" s="1"/>
      <c r="H153" s="1"/>
      <c r="K153" s="1"/>
      <c r="L153" s="1"/>
      <c r="O153" s="1"/>
      <c r="P153" s="1"/>
      <c r="Q153" s="1"/>
      <c r="R153" s="1"/>
      <c r="S153" s="1"/>
      <c r="T153" s="1"/>
      <c r="U153" s="1"/>
      <c r="V153" s="1"/>
    </row>
    <row r="154" spans="7:22">
      <c r="G154" s="1"/>
      <c r="H154" s="1"/>
      <c r="K154" s="1"/>
      <c r="L154" s="1"/>
      <c r="O154" s="1"/>
      <c r="P154" s="1"/>
      <c r="Q154" s="1"/>
      <c r="R154" s="1"/>
      <c r="S154" s="1"/>
      <c r="T154" s="1"/>
      <c r="U154" s="1"/>
      <c r="V154" s="1"/>
    </row>
    <row r="155" spans="7:22">
      <c r="G155" s="1"/>
      <c r="H155" s="1"/>
      <c r="K155" s="1"/>
      <c r="L155" s="1"/>
      <c r="O155" s="1"/>
      <c r="P155" s="1"/>
      <c r="Q155" s="1"/>
      <c r="R155" s="1"/>
      <c r="S155" s="1"/>
      <c r="T155" s="1"/>
      <c r="U155" s="1"/>
      <c r="V155" s="1"/>
    </row>
    <row r="156" spans="7:22">
      <c r="G156" s="1"/>
      <c r="H156" s="1"/>
      <c r="K156" s="1"/>
      <c r="L156" s="1"/>
      <c r="O156" s="1"/>
      <c r="P156" s="1"/>
      <c r="Q156" s="1"/>
      <c r="R156" s="1"/>
      <c r="S156" s="1"/>
      <c r="T156" s="1"/>
      <c r="U156" s="1"/>
      <c r="V156" s="1"/>
    </row>
    <row r="157" spans="7:22">
      <c r="G157" s="1"/>
      <c r="H157" s="1"/>
      <c r="K157" s="1"/>
      <c r="L157" s="1"/>
      <c r="O157" s="1"/>
      <c r="P157" s="1"/>
      <c r="Q157" s="1"/>
      <c r="R157" s="1"/>
      <c r="S157" s="1"/>
      <c r="T157" s="1"/>
      <c r="U157" s="1"/>
      <c r="V157" s="1"/>
    </row>
    <row r="158" spans="7:22">
      <c r="G158" s="1"/>
      <c r="H158" s="1"/>
      <c r="K158" s="1"/>
      <c r="L158" s="1"/>
      <c r="O158" s="1"/>
      <c r="P158" s="1"/>
      <c r="Q158" s="1"/>
      <c r="R158" s="1"/>
      <c r="S158" s="1"/>
      <c r="T158" s="1"/>
      <c r="U158" s="1"/>
      <c r="V158" s="1"/>
    </row>
    <row r="159" spans="7:22">
      <c r="G159" s="1"/>
      <c r="H159" s="1"/>
      <c r="K159" s="1"/>
      <c r="L159" s="1"/>
      <c r="O159" s="1"/>
      <c r="P159" s="1"/>
      <c r="Q159" s="1"/>
      <c r="R159" s="1"/>
      <c r="S159" s="1"/>
      <c r="T159" s="1"/>
      <c r="U159" s="1"/>
      <c r="V159" s="1"/>
    </row>
    <row r="160" spans="7:22">
      <c r="G160" s="1"/>
      <c r="H160" s="1"/>
      <c r="K160" s="1"/>
      <c r="L160" s="1"/>
      <c r="O160" s="1"/>
      <c r="P160" s="1"/>
      <c r="Q160" s="1"/>
      <c r="R160" s="1"/>
      <c r="S160" s="1"/>
      <c r="T160" s="1"/>
      <c r="U160" s="1"/>
      <c r="V160" s="1"/>
    </row>
    <row r="161" spans="7:22">
      <c r="G161" s="1"/>
      <c r="H161" s="1"/>
      <c r="K161" s="1"/>
      <c r="L161" s="1"/>
      <c r="O161" s="1"/>
      <c r="P161" s="1"/>
      <c r="Q161" s="1"/>
      <c r="R161" s="1"/>
      <c r="S161" s="1"/>
      <c r="T161" s="1"/>
      <c r="U161" s="1"/>
      <c r="V161" s="1"/>
    </row>
    <row r="162" spans="7:22">
      <c r="G162" s="1"/>
      <c r="H162" s="1"/>
      <c r="K162" s="1"/>
      <c r="L162" s="1"/>
      <c r="O162" s="1"/>
      <c r="P162" s="1"/>
      <c r="Q162" s="1"/>
      <c r="R162" s="1"/>
      <c r="S162" s="1"/>
      <c r="T162" s="1"/>
      <c r="U162" s="1"/>
      <c r="V162" s="1"/>
    </row>
    <row r="163" spans="7:22">
      <c r="G163" s="1"/>
      <c r="H163" s="1"/>
      <c r="K163" s="1"/>
      <c r="L163" s="1"/>
      <c r="O163" s="1"/>
      <c r="P163" s="1"/>
      <c r="Q163" s="1"/>
      <c r="R163" s="1"/>
      <c r="S163" s="1"/>
      <c r="T163" s="1"/>
      <c r="U163" s="1"/>
      <c r="V163" s="1"/>
    </row>
    <row r="164" spans="7:22">
      <c r="G164" s="1"/>
      <c r="H164" s="1"/>
      <c r="K164" s="1"/>
      <c r="L164" s="1"/>
      <c r="O164" s="1"/>
      <c r="P164" s="1"/>
      <c r="Q164" s="1"/>
      <c r="R164" s="1"/>
      <c r="S164" s="1"/>
      <c r="T164" s="1"/>
      <c r="U164" s="1"/>
      <c r="V164" s="1"/>
    </row>
    <row r="165" spans="7:22">
      <c r="G165" s="1"/>
      <c r="H165" s="1"/>
      <c r="K165" s="1"/>
      <c r="L165" s="1"/>
      <c r="O165" s="1"/>
      <c r="P165" s="1"/>
      <c r="Q165" s="1"/>
      <c r="R165" s="1"/>
      <c r="S165" s="1"/>
      <c r="T165" s="1"/>
      <c r="U165" s="1"/>
      <c r="V165" s="1"/>
    </row>
    <row r="166" spans="7:22">
      <c r="G166" s="1"/>
      <c r="H166" s="1"/>
      <c r="K166" s="1"/>
      <c r="L166" s="1"/>
      <c r="O166" s="1"/>
      <c r="P166" s="1"/>
      <c r="Q166" s="1"/>
      <c r="R166" s="1"/>
      <c r="S166" s="1"/>
      <c r="T166" s="1"/>
      <c r="U166" s="1"/>
      <c r="V166" s="1"/>
    </row>
    <row r="167" spans="7:22">
      <c r="G167" s="1"/>
      <c r="H167" s="1"/>
      <c r="K167" s="1"/>
      <c r="L167" s="1"/>
      <c r="O167" s="1"/>
      <c r="P167" s="1"/>
      <c r="Q167" s="1"/>
      <c r="R167" s="1"/>
      <c r="S167" s="1"/>
      <c r="T167" s="1"/>
      <c r="U167" s="1"/>
      <c r="V167" s="1"/>
    </row>
    <row r="168" spans="7:22">
      <c r="G168" s="1"/>
      <c r="H168" s="1"/>
      <c r="K168" s="1"/>
      <c r="L168" s="1"/>
      <c r="O168" s="1"/>
      <c r="P168" s="1"/>
      <c r="Q168" s="1"/>
      <c r="R168" s="1"/>
      <c r="S168" s="1"/>
      <c r="T168" s="1"/>
      <c r="U168" s="1"/>
      <c r="V168" s="1"/>
    </row>
    <row r="169" spans="7:22">
      <c r="G169" s="1"/>
      <c r="H169" s="1"/>
      <c r="K169" s="1"/>
      <c r="L169" s="1"/>
      <c r="O169" s="1"/>
      <c r="P169" s="1"/>
      <c r="Q169" s="1"/>
      <c r="R169" s="1"/>
      <c r="S169" s="1"/>
      <c r="T169" s="1"/>
      <c r="U169" s="1"/>
      <c r="V169" s="1"/>
    </row>
    <row r="170" spans="7:22">
      <c r="G170" s="1"/>
      <c r="H170" s="1"/>
      <c r="K170" s="1"/>
      <c r="L170" s="1"/>
      <c r="O170" s="1"/>
      <c r="P170" s="1"/>
      <c r="Q170" s="1"/>
      <c r="R170" s="1"/>
      <c r="S170" s="1"/>
      <c r="T170" s="1"/>
      <c r="U170" s="1"/>
      <c r="V170" s="1"/>
    </row>
    <row r="171" spans="7:22">
      <c r="G171" s="1"/>
      <c r="H171" s="1"/>
      <c r="K171" s="1"/>
      <c r="L171" s="1"/>
      <c r="O171" s="1"/>
      <c r="P171" s="1"/>
      <c r="Q171" s="1"/>
      <c r="R171" s="1"/>
      <c r="S171" s="1"/>
      <c r="T171" s="1"/>
      <c r="U171" s="1"/>
      <c r="V171" s="1"/>
    </row>
    <row r="172" spans="7:22">
      <c r="G172" s="1"/>
      <c r="H172" s="1"/>
      <c r="K172" s="1"/>
      <c r="L172" s="1"/>
      <c r="O172" s="1"/>
      <c r="P172" s="1"/>
      <c r="Q172" s="1"/>
      <c r="R172" s="1"/>
      <c r="S172" s="1"/>
      <c r="T172" s="1"/>
      <c r="U172" s="1"/>
      <c r="V172" s="1"/>
    </row>
    <row r="173" spans="7:22">
      <c r="G173" s="1"/>
      <c r="H173" s="1"/>
      <c r="K173" s="1"/>
      <c r="L173" s="1"/>
      <c r="O173" s="1"/>
      <c r="P173" s="1"/>
      <c r="Q173" s="1"/>
      <c r="R173" s="1"/>
      <c r="S173" s="1"/>
      <c r="T173" s="1"/>
      <c r="U173" s="1"/>
      <c r="V173" s="1"/>
    </row>
    <row r="174" spans="7:22">
      <c r="G174" s="1"/>
      <c r="H174" s="1"/>
      <c r="K174" s="1"/>
      <c r="L174" s="1"/>
      <c r="O174" s="1"/>
      <c r="P174" s="1"/>
      <c r="Q174" s="1"/>
      <c r="R174" s="1"/>
      <c r="S174" s="1"/>
      <c r="T174" s="1"/>
      <c r="U174" s="1"/>
      <c r="V174" s="1"/>
    </row>
    <row r="175" spans="7:22">
      <c r="G175" s="1"/>
      <c r="H175" s="1"/>
      <c r="K175" s="1"/>
      <c r="L175" s="1"/>
      <c r="O175" s="1"/>
      <c r="P175" s="1"/>
      <c r="Q175" s="1"/>
      <c r="R175" s="1"/>
      <c r="S175" s="1"/>
      <c r="T175" s="1"/>
      <c r="U175" s="1"/>
      <c r="V175" s="1"/>
    </row>
    <row r="176" spans="7:22">
      <c r="G176" s="1"/>
      <c r="H176" s="1"/>
      <c r="K176" s="1"/>
      <c r="L176" s="1"/>
      <c r="O176" s="1"/>
      <c r="P176" s="1"/>
      <c r="Q176" s="1"/>
      <c r="R176" s="1"/>
      <c r="S176" s="1"/>
      <c r="T176" s="1"/>
      <c r="U176" s="1"/>
      <c r="V176" s="1"/>
    </row>
    <row r="177" spans="7:22">
      <c r="G177" s="1"/>
      <c r="H177" s="1"/>
      <c r="K177" s="1"/>
      <c r="L177" s="1"/>
      <c r="O177" s="1"/>
      <c r="P177" s="1"/>
      <c r="Q177" s="1"/>
      <c r="R177" s="1"/>
      <c r="S177" s="1"/>
      <c r="T177" s="1"/>
      <c r="U177" s="1"/>
      <c r="V177" s="1"/>
    </row>
    <row r="178" spans="7:22">
      <c r="G178" s="1"/>
      <c r="H178" s="1"/>
      <c r="K178" s="1"/>
      <c r="L178" s="1"/>
      <c r="O178" s="1"/>
      <c r="P178" s="1"/>
      <c r="Q178" s="1"/>
      <c r="R178" s="1"/>
      <c r="S178" s="1"/>
      <c r="T178" s="1"/>
      <c r="U178" s="1"/>
      <c r="V178" s="1"/>
    </row>
    <row r="179" spans="7:22">
      <c r="G179" s="1"/>
      <c r="H179" s="1"/>
      <c r="K179" s="1"/>
      <c r="L179" s="1"/>
      <c r="O179" s="1"/>
      <c r="P179" s="1"/>
      <c r="Q179" s="1"/>
      <c r="R179" s="1"/>
      <c r="S179" s="1"/>
      <c r="T179" s="1"/>
      <c r="U179" s="1"/>
      <c r="V179" s="1"/>
    </row>
    <row r="180" spans="7:22">
      <c r="G180" s="1"/>
      <c r="H180" s="1"/>
      <c r="K180" s="1"/>
      <c r="L180" s="1"/>
      <c r="O180" s="1"/>
      <c r="P180" s="1"/>
      <c r="Q180" s="1"/>
      <c r="R180" s="1"/>
      <c r="S180" s="1"/>
      <c r="T180" s="1"/>
      <c r="U180" s="1"/>
      <c r="V180" s="1"/>
    </row>
    <row r="181" spans="7:22">
      <c r="G181" s="1"/>
      <c r="H181" s="1"/>
      <c r="K181" s="1"/>
      <c r="L181" s="1"/>
      <c r="O181" s="1"/>
      <c r="P181" s="1"/>
      <c r="Q181" s="1"/>
      <c r="R181" s="1"/>
      <c r="S181" s="1"/>
      <c r="T181" s="1"/>
      <c r="U181" s="1"/>
      <c r="V181" s="1"/>
    </row>
    <row r="182" spans="7:22">
      <c r="G182" s="1"/>
      <c r="H182" s="1"/>
      <c r="K182" s="1"/>
      <c r="L182" s="1"/>
      <c r="O182" s="1"/>
      <c r="P182" s="1"/>
      <c r="Q182" s="1"/>
      <c r="R182" s="1"/>
      <c r="S182" s="1"/>
      <c r="T182" s="1"/>
      <c r="U182" s="1"/>
      <c r="V182" s="1"/>
    </row>
    <row r="183" spans="7:22">
      <c r="G183" s="1"/>
      <c r="H183" s="1"/>
      <c r="K183" s="1"/>
      <c r="L183" s="1"/>
      <c r="O183" s="1"/>
      <c r="P183" s="1"/>
      <c r="Q183" s="1"/>
      <c r="R183" s="1"/>
      <c r="S183" s="1"/>
      <c r="T183" s="1"/>
      <c r="U183" s="1"/>
      <c r="V183" s="1"/>
    </row>
    <row r="184" spans="7:22">
      <c r="G184" s="1"/>
      <c r="H184" s="1"/>
      <c r="K184" s="1"/>
      <c r="L184" s="1"/>
      <c r="O184" s="1"/>
      <c r="P184" s="1"/>
      <c r="Q184" s="1"/>
      <c r="R184" s="1"/>
      <c r="S184" s="1"/>
      <c r="T184" s="1"/>
      <c r="U184" s="1"/>
      <c r="V184" s="1"/>
    </row>
    <row r="185" spans="7:22">
      <c r="G185" s="1"/>
      <c r="H185" s="1"/>
      <c r="K185" s="1"/>
      <c r="L185" s="1"/>
      <c r="O185" s="1"/>
      <c r="P185" s="1"/>
      <c r="Q185" s="1"/>
      <c r="R185" s="1"/>
      <c r="S185" s="1"/>
      <c r="T185" s="1"/>
      <c r="U185" s="1"/>
      <c r="V185" s="1"/>
    </row>
    <row r="186" spans="7:22">
      <c r="G186" s="1"/>
      <c r="H186" s="1"/>
      <c r="K186" s="1"/>
      <c r="L186" s="1"/>
      <c r="O186" s="1"/>
      <c r="P186" s="1"/>
      <c r="Q186" s="1"/>
      <c r="R186" s="1"/>
      <c r="S186" s="1"/>
      <c r="T186" s="1"/>
      <c r="U186" s="1"/>
      <c r="V186" s="1"/>
    </row>
    <row r="187" spans="7:22">
      <c r="G187" s="1"/>
      <c r="H187" s="1"/>
      <c r="K187" s="1"/>
      <c r="L187" s="1"/>
      <c r="O187" s="1"/>
      <c r="P187" s="1"/>
      <c r="Q187" s="1"/>
      <c r="R187" s="1"/>
      <c r="S187" s="1"/>
      <c r="T187" s="1"/>
      <c r="U187" s="1"/>
      <c r="V187" s="1"/>
    </row>
    <row r="188" spans="7:22">
      <c r="G188" s="1"/>
      <c r="H188" s="1"/>
      <c r="K188" s="1"/>
      <c r="L188" s="1"/>
      <c r="O188" s="1"/>
      <c r="P188" s="1"/>
      <c r="Q188" s="1"/>
      <c r="R188" s="1"/>
      <c r="S188" s="1"/>
      <c r="T188" s="1"/>
      <c r="U188" s="1"/>
      <c r="V188" s="1"/>
    </row>
    <row r="189" spans="7:22">
      <c r="G189" s="1"/>
      <c r="H189" s="1"/>
      <c r="K189" s="1"/>
      <c r="L189" s="1"/>
      <c r="O189" s="1"/>
      <c r="P189" s="1"/>
      <c r="Q189" s="1"/>
      <c r="R189" s="1"/>
      <c r="S189" s="1"/>
      <c r="T189" s="1"/>
      <c r="U189" s="1"/>
      <c r="V189" s="1"/>
    </row>
    <row r="190" spans="7:22">
      <c r="G190" s="1"/>
      <c r="H190" s="1"/>
      <c r="K190" s="1"/>
      <c r="L190" s="1"/>
      <c r="O190" s="1"/>
      <c r="P190" s="1"/>
      <c r="Q190" s="1"/>
      <c r="R190" s="1"/>
      <c r="S190" s="1"/>
      <c r="T190" s="1"/>
      <c r="U190" s="1"/>
      <c r="V190" s="1"/>
    </row>
    <row r="191" spans="7:22">
      <c r="G191" s="1"/>
      <c r="H191" s="1"/>
      <c r="K191" s="1"/>
      <c r="L191" s="1"/>
      <c r="O191" s="1"/>
      <c r="P191" s="1"/>
      <c r="Q191" s="1"/>
      <c r="R191" s="1"/>
      <c r="S191" s="1"/>
      <c r="T191" s="1"/>
      <c r="U191" s="1"/>
      <c r="V191" s="1"/>
    </row>
    <row r="192" spans="7:22">
      <c r="G192" s="1"/>
      <c r="H192" s="1"/>
      <c r="K192" s="1"/>
      <c r="L192" s="1"/>
      <c r="O192" s="1"/>
      <c r="P192" s="1"/>
      <c r="Q192" s="1"/>
      <c r="R192" s="1"/>
      <c r="S192" s="1"/>
      <c r="T192" s="1"/>
      <c r="U192" s="1"/>
      <c r="V192" s="1"/>
    </row>
    <row r="193" spans="7:22">
      <c r="G193" s="1"/>
      <c r="H193" s="1"/>
      <c r="K193" s="1"/>
      <c r="L193" s="1"/>
      <c r="O193" s="1"/>
      <c r="P193" s="1"/>
      <c r="Q193" s="1"/>
      <c r="R193" s="1"/>
      <c r="S193" s="1"/>
      <c r="T193" s="1"/>
      <c r="U193" s="1"/>
      <c r="V193" s="1"/>
    </row>
    <row r="194" spans="7:22">
      <c r="G194" s="1"/>
      <c r="H194" s="1"/>
      <c r="K194" s="1"/>
      <c r="L194" s="1"/>
      <c r="O194" s="1"/>
      <c r="P194" s="1"/>
      <c r="Q194" s="1"/>
      <c r="R194" s="1"/>
      <c r="S194" s="1"/>
      <c r="T194" s="1"/>
      <c r="U194" s="1"/>
      <c r="V194" s="1"/>
    </row>
    <row r="195" spans="7:22">
      <c r="G195" s="1"/>
      <c r="H195" s="1"/>
      <c r="K195" s="1"/>
      <c r="L195" s="1"/>
      <c r="O195" s="1"/>
      <c r="P195" s="1"/>
      <c r="Q195" s="1"/>
      <c r="R195" s="1"/>
      <c r="S195" s="1"/>
      <c r="T195" s="1"/>
      <c r="U195" s="1"/>
      <c r="V195" s="1"/>
    </row>
    <row r="196" spans="7:22">
      <c r="G196" s="1"/>
      <c r="H196" s="1"/>
      <c r="K196" s="1"/>
      <c r="L196" s="1"/>
      <c r="O196" s="1"/>
      <c r="P196" s="1"/>
      <c r="Q196" s="1"/>
      <c r="R196" s="1"/>
      <c r="S196" s="1"/>
      <c r="T196" s="1"/>
      <c r="U196" s="1"/>
      <c r="V196" s="1"/>
    </row>
    <row r="197" spans="7:22">
      <c r="G197" s="1"/>
      <c r="H197" s="1"/>
      <c r="K197" s="1"/>
      <c r="L197" s="1"/>
      <c r="O197" s="1"/>
      <c r="P197" s="1"/>
      <c r="Q197" s="1"/>
      <c r="R197" s="1"/>
      <c r="S197" s="1"/>
      <c r="T197" s="1"/>
      <c r="U197" s="1"/>
      <c r="V197" s="1"/>
    </row>
    <row r="198" spans="7:22">
      <c r="G198" s="1"/>
      <c r="H198" s="1"/>
      <c r="K198" s="1"/>
      <c r="L198" s="1"/>
      <c r="O198" s="1"/>
      <c r="P198" s="1"/>
      <c r="Q198" s="1"/>
      <c r="R198" s="1"/>
      <c r="S198" s="1"/>
      <c r="T198" s="1"/>
      <c r="U198" s="1"/>
      <c r="V198" s="1"/>
    </row>
    <row r="199" spans="7:22">
      <c r="G199" s="1"/>
      <c r="H199" s="1"/>
      <c r="K199" s="1"/>
      <c r="L199" s="1"/>
      <c r="O199" s="1"/>
      <c r="P199" s="1"/>
      <c r="Q199" s="1"/>
      <c r="R199" s="1"/>
      <c r="S199" s="1"/>
      <c r="T199" s="1"/>
      <c r="U199" s="1"/>
      <c r="V199" s="1"/>
    </row>
    <row r="200" spans="7:22">
      <c r="G200" s="1"/>
      <c r="H200" s="1"/>
      <c r="K200" s="1"/>
      <c r="L200" s="1"/>
      <c r="O200" s="1"/>
      <c r="P200" s="1"/>
      <c r="Q200" s="1"/>
      <c r="R200" s="1"/>
      <c r="S200" s="1"/>
      <c r="T200" s="1"/>
      <c r="U200" s="1"/>
      <c r="V200" s="1"/>
    </row>
    <row r="201" spans="7:22">
      <c r="G201" s="1"/>
      <c r="H201" s="1"/>
      <c r="K201" s="1"/>
      <c r="L201" s="1"/>
      <c r="O201" s="1"/>
      <c r="P201" s="1"/>
      <c r="Q201" s="1"/>
      <c r="R201" s="1"/>
      <c r="S201" s="1"/>
      <c r="T201" s="1"/>
      <c r="U201" s="1"/>
      <c r="V201" s="1"/>
    </row>
    <row r="202" spans="7:22">
      <c r="G202" s="1"/>
      <c r="H202" s="1"/>
      <c r="K202" s="1"/>
      <c r="L202" s="1"/>
      <c r="O202" s="1"/>
      <c r="P202" s="1"/>
      <c r="Q202" s="1"/>
      <c r="R202" s="1"/>
      <c r="S202" s="1"/>
      <c r="T202" s="1"/>
      <c r="U202" s="1"/>
      <c r="V202" s="1"/>
    </row>
    <row r="203" spans="7:22">
      <c r="G203" s="1"/>
      <c r="H203" s="1"/>
      <c r="K203" s="1"/>
      <c r="L203" s="1"/>
      <c r="O203" s="1"/>
      <c r="P203" s="1"/>
      <c r="Q203" s="1"/>
      <c r="R203" s="1"/>
      <c r="S203" s="1"/>
      <c r="T203" s="1"/>
      <c r="U203" s="1"/>
      <c r="V203" s="1"/>
    </row>
    <row r="204" spans="7:22">
      <c r="G204" s="1"/>
      <c r="H204" s="1"/>
      <c r="K204" s="1"/>
      <c r="L204" s="1"/>
      <c r="O204" s="1"/>
      <c r="P204" s="1"/>
      <c r="Q204" s="1"/>
      <c r="R204" s="1"/>
      <c r="S204" s="1"/>
      <c r="T204" s="1"/>
      <c r="U204" s="1"/>
      <c r="V204" s="1"/>
    </row>
    <row r="205" spans="7:22">
      <c r="G205" s="1"/>
      <c r="H205" s="1"/>
      <c r="K205" s="1"/>
      <c r="L205" s="1"/>
      <c r="O205" s="1"/>
      <c r="P205" s="1"/>
      <c r="Q205" s="1"/>
      <c r="R205" s="1"/>
      <c r="S205" s="1"/>
      <c r="T205" s="1"/>
      <c r="U205" s="1"/>
      <c r="V205" s="1"/>
    </row>
    <row r="206" spans="7:22">
      <c r="G206" s="1"/>
      <c r="H206" s="1"/>
      <c r="K206" s="1"/>
      <c r="L206" s="1"/>
      <c r="O206" s="1"/>
      <c r="P206" s="1"/>
      <c r="Q206" s="1"/>
      <c r="R206" s="1"/>
      <c r="S206" s="1"/>
      <c r="T206" s="1"/>
      <c r="U206" s="1"/>
      <c r="V206" s="1"/>
    </row>
    <row r="207" spans="7:22">
      <c r="G207" s="1"/>
      <c r="H207" s="1"/>
      <c r="K207" s="1"/>
      <c r="L207" s="1"/>
      <c r="O207" s="1"/>
      <c r="P207" s="1"/>
      <c r="Q207" s="1"/>
      <c r="R207" s="1"/>
      <c r="S207" s="1"/>
      <c r="T207" s="1"/>
      <c r="U207" s="1"/>
      <c r="V207" s="1"/>
    </row>
    <row r="208" spans="7:22">
      <c r="G208" s="1"/>
      <c r="H208" s="1"/>
      <c r="K208" s="1"/>
      <c r="L208" s="1"/>
      <c r="O208" s="1"/>
      <c r="P208" s="1"/>
      <c r="Q208" s="1"/>
      <c r="R208" s="1"/>
      <c r="S208" s="1"/>
      <c r="T208" s="1"/>
      <c r="U208" s="1"/>
      <c r="V208" s="1"/>
    </row>
    <row r="209" spans="7:22">
      <c r="G209" s="1"/>
      <c r="H209" s="1"/>
      <c r="K209" s="1"/>
      <c r="L209" s="1"/>
      <c r="O209" s="1"/>
      <c r="P209" s="1"/>
      <c r="Q209" s="1"/>
      <c r="R209" s="1"/>
      <c r="S209" s="1"/>
      <c r="T209" s="1"/>
      <c r="U209" s="1"/>
      <c r="V209" s="1"/>
    </row>
    <row r="210" spans="7:22">
      <c r="G210" s="1"/>
      <c r="H210" s="1"/>
      <c r="K210" s="1"/>
      <c r="L210" s="1"/>
      <c r="O210" s="1"/>
      <c r="P210" s="1"/>
      <c r="Q210" s="1"/>
      <c r="R210" s="1"/>
      <c r="S210" s="1"/>
      <c r="T210" s="1"/>
      <c r="U210" s="1"/>
      <c r="V210" s="1"/>
    </row>
    <row r="211" spans="7:22">
      <c r="G211" s="1"/>
      <c r="H211" s="1"/>
      <c r="K211" s="1"/>
      <c r="L211" s="1"/>
      <c r="O211" s="1"/>
      <c r="P211" s="1"/>
      <c r="Q211" s="1"/>
      <c r="R211" s="1"/>
      <c r="S211" s="1"/>
      <c r="T211" s="1"/>
      <c r="U211" s="1"/>
      <c r="V211" s="1"/>
    </row>
    <row r="212" spans="7:22">
      <c r="G212" s="1"/>
      <c r="H212" s="1"/>
      <c r="K212" s="1"/>
      <c r="L212" s="1"/>
      <c r="O212" s="1"/>
      <c r="P212" s="1"/>
      <c r="Q212" s="1"/>
      <c r="R212" s="1"/>
      <c r="S212" s="1"/>
      <c r="T212" s="1"/>
      <c r="U212" s="1"/>
      <c r="V212" s="1"/>
    </row>
    <row r="213" spans="7:22">
      <c r="G213" s="1"/>
      <c r="H213" s="1"/>
      <c r="K213" s="1"/>
      <c r="L213" s="1"/>
      <c r="O213" s="1"/>
      <c r="P213" s="1"/>
      <c r="Q213" s="1"/>
      <c r="R213" s="1"/>
      <c r="S213" s="1"/>
      <c r="T213" s="1"/>
      <c r="U213" s="1"/>
      <c r="V213" s="1"/>
    </row>
    <row r="214" spans="7:22">
      <c r="G214" s="1"/>
      <c r="H214" s="1"/>
      <c r="K214" s="1"/>
      <c r="L214" s="1"/>
      <c r="O214" s="1"/>
      <c r="P214" s="1"/>
      <c r="Q214" s="1"/>
      <c r="R214" s="1"/>
      <c r="S214" s="1"/>
      <c r="T214" s="1"/>
      <c r="U214" s="1"/>
      <c r="V214" s="1"/>
    </row>
    <row r="215" spans="7:22">
      <c r="G215" s="1"/>
      <c r="H215" s="1"/>
      <c r="K215" s="1"/>
      <c r="L215" s="1"/>
      <c r="O215" s="1"/>
      <c r="P215" s="1"/>
      <c r="Q215" s="1"/>
      <c r="R215" s="1"/>
      <c r="S215" s="1"/>
      <c r="T215" s="1"/>
      <c r="U215" s="1"/>
      <c r="V215" s="1"/>
    </row>
    <row r="216" spans="7:22">
      <c r="G216" s="1"/>
      <c r="H216" s="1"/>
      <c r="K216" s="1"/>
      <c r="L216" s="1"/>
      <c r="O216" s="1"/>
      <c r="P216" s="1"/>
      <c r="Q216" s="1"/>
      <c r="R216" s="1"/>
      <c r="S216" s="1"/>
      <c r="T216" s="1"/>
      <c r="U216" s="1"/>
      <c r="V216" s="1"/>
    </row>
    <row r="217" spans="7:22">
      <c r="G217" s="1"/>
      <c r="H217" s="1"/>
      <c r="K217" s="1"/>
      <c r="L217" s="1"/>
      <c r="O217" s="1"/>
      <c r="P217" s="1"/>
      <c r="Q217" s="1"/>
      <c r="R217" s="1"/>
      <c r="S217" s="1"/>
      <c r="T217" s="1"/>
      <c r="U217" s="1"/>
      <c r="V217" s="1"/>
    </row>
    <row r="218" spans="7:22">
      <c r="G218" s="1"/>
      <c r="H218" s="1"/>
      <c r="K218" s="1"/>
      <c r="L218" s="1"/>
      <c r="O218" s="1"/>
      <c r="P218" s="1"/>
      <c r="Q218" s="1"/>
      <c r="R218" s="1"/>
      <c r="S218" s="1"/>
      <c r="T218" s="1"/>
      <c r="U218" s="1"/>
      <c r="V218" s="1"/>
    </row>
    <row r="219" spans="7:22">
      <c r="G219" s="1"/>
      <c r="H219" s="1"/>
      <c r="K219" s="1"/>
      <c r="L219" s="1"/>
      <c r="O219" s="1"/>
      <c r="P219" s="1"/>
      <c r="Q219" s="1"/>
      <c r="R219" s="1"/>
      <c r="S219" s="1"/>
      <c r="T219" s="1"/>
      <c r="U219" s="1"/>
      <c r="V219" s="1"/>
    </row>
    <row r="220" spans="7:22">
      <c r="G220" s="1"/>
      <c r="H220" s="1"/>
      <c r="K220" s="1"/>
      <c r="L220" s="1"/>
      <c r="O220" s="1"/>
      <c r="P220" s="1"/>
      <c r="Q220" s="1"/>
      <c r="R220" s="1"/>
      <c r="S220" s="1"/>
      <c r="T220" s="1"/>
      <c r="U220" s="1"/>
      <c r="V220" s="1"/>
    </row>
    <row r="221" spans="7:22">
      <c r="G221" s="1"/>
      <c r="H221" s="1"/>
      <c r="K221" s="1"/>
      <c r="L221" s="1"/>
      <c r="O221" s="1"/>
      <c r="P221" s="1"/>
      <c r="Q221" s="1"/>
      <c r="R221" s="1"/>
      <c r="S221" s="1"/>
      <c r="T221" s="1"/>
      <c r="U221" s="1"/>
      <c r="V221" s="1"/>
    </row>
    <row r="222" spans="7:22">
      <c r="G222" s="1"/>
      <c r="H222" s="1"/>
      <c r="K222" s="1"/>
      <c r="L222" s="1"/>
      <c r="O222" s="1"/>
      <c r="P222" s="1"/>
      <c r="Q222" s="1"/>
      <c r="R222" s="1"/>
      <c r="S222" s="1"/>
      <c r="T222" s="1"/>
      <c r="U222" s="1"/>
      <c r="V222" s="1"/>
    </row>
    <row r="223" spans="7:22">
      <c r="G223" s="1"/>
      <c r="H223" s="1"/>
      <c r="K223" s="1"/>
      <c r="L223" s="1"/>
      <c r="O223" s="1"/>
      <c r="P223" s="1"/>
      <c r="Q223" s="1"/>
      <c r="R223" s="1"/>
      <c r="S223" s="1"/>
      <c r="T223" s="1"/>
      <c r="U223" s="1"/>
      <c r="V223" s="1"/>
    </row>
    <row r="224" spans="7:22">
      <c r="G224" s="1"/>
      <c r="H224" s="1"/>
      <c r="K224" s="1"/>
      <c r="L224" s="1"/>
      <c r="O224" s="1"/>
      <c r="P224" s="1"/>
      <c r="Q224" s="1"/>
      <c r="R224" s="1"/>
      <c r="S224" s="1"/>
      <c r="T224" s="1"/>
      <c r="U224" s="1"/>
      <c r="V224" s="1"/>
    </row>
    <row r="225" spans="7:22">
      <c r="G225" s="1"/>
      <c r="H225" s="1"/>
      <c r="K225" s="1"/>
      <c r="L225" s="1"/>
      <c r="O225" s="1"/>
      <c r="P225" s="1"/>
      <c r="Q225" s="1"/>
      <c r="R225" s="1"/>
      <c r="S225" s="1"/>
      <c r="T225" s="1"/>
      <c r="U225" s="1"/>
      <c r="V225" s="1"/>
    </row>
    <row r="226" spans="7:22">
      <c r="G226" s="1"/>
      <c r="H226" s="1"/>
      <c r="K226" s="1"/>
      <c r="L226" s="1"/>
      <c r="O226" s="1"/>
      <c r="P226" s="1"/>
      <c r="Q226" s="1"/>
      <c r="R226" s="1"/>
      <c r="S226" s="1"/>
      <c r="T226" s="1"/>
      <c r="U226" s="1"/>
      <c r="V226" s="1"/>
    </row>
    <row r="227" spans="7:22">
      <c r="G227" s="1"/>
      <c r="H227" s="1"/>
      <c r="K227" s="1"/>
      <c r="L227" s="1"/>
      <c r="O227" s="1"/>
      <c r="P227" s="1"/>
      <c r="Q227" s="1"/>
      <c r="R227" s="1"/>
      <c r="S227" s="1"/>
      <c r="T227" s="1"/>
      <c r="U227" s="1"/>
      <c r="V227" s="1"/>
    </row>
    <row r="228" spans="7:22">
      <c r="G228" s="1"/>
      <c r="H228" s="1"/>
      <c r="K228" s="1"/>
      <c r="L228" s="1"/>
      <c r="O228" s="1"/>
      <c r="P228" s="1"/>
      <c r="Q228" s="1"/>
      <c r="R228" s="1"/>
      <c r="S228" s="1"/>
      <c r="T228" s="1"/>
      <c r="U228" s="1"/>
      <c r="V228" s="1"/>
    </row>
    <row r="229" spans="7:22">
      <c r="G229" s="1"/>
      <c r="H229" s="1"/>
      <c r="K229" s="1"/>
      <c r="L229" s="1"/>
      <c r="O229" s="1"/>
      <c r="P229" s="1"/>
      <c r="Q229" s="1"/>
      <c r="R229" s="1"/>
      <c r="S229" s="1"/>
      <c r="T229" s="1"/>
      <c r="U229" s="1"/>
      <c r="V229" s="1"/>
    </row>
    <row r="230" spans="7:22">
      <c r="G230" s="1"/>
      <c r="H230" s="1"/>
      <c r="K230" s="1"/>
      <c r="L230" s="1"/>
      <c r="O230" s="1"/>
      <c r="P230" s="1"/>
      <c r="Q230" s="1"/>
      <c r="R230" s="1"/>
      <c r="S230" s="1"/>
      <c r="T230" s="1"/>
      <c r="U230" s="1"/>
      <c r="V230" s="1"/>
    </row>
    <row r="231" spans="7:22">
      <c r="G231" s="1"/>
      <c r="H231" s="1"/>
      <c r="K231" s="1"/>
      <c r="L231" s="1"/>
      <c r="O231" s="1"/>
      <c r="P231" s="1"/>
      <c r="Q231" s="1"/>
      <c r="R231" s="1"/>
      <c r="S231" s="1"/>
      <c r="T231" s="1"/>
      <c r="U231" s="1"/>
      <c r="V231" s="1"/>
    </row>
    <row r="232" spans="7:22">
      <c r="G232" s="1"/>
      <c r="H232" s="1"/>
      <c r="K232" s="1"/>
      <c r="L232" s="1"/>
      <c r="O232" s="1"/>
      <c r="P232" s="1"/>
      <c r="Q232" s="1"/>
      <c r="R232" s="1"/>
      <c r="S232" s="1"/>
      <c r="T232" s="1"/>
      <c r="U232" s="1"/>
      <c r="V232" s="1"/>
    </row>
    <row r="233" spans="7:22">
      <c r="G233" s="1"/>
      <c r="H233" s="1"/>
      <c r="K233" s="1"/>
      <c r="L233" s="1"/>
      <c r="O233" s="1"/>
      <c r="P233" s="1"/>
      <c r="Q233" s="1"/>
      <c r="R233" s="1"/>
      <c r="S233" s="1"/>
      <c r="T233" s="1"/>
      <c r="U233" s="1"/>
      <c r="V233" s="1"/>
    </row>
    <row r="234" spans="7:22">
      <c r="G234" s="1"/>
      <c r="H234" s="1"/>
      <c r="K234" s="1"/>
      <c r="L234" s="1"/>
      <c r="O234" s="1"/>
      <c r="P234" s="1"/>
      <c r="Q234" s="1"/>
      <c r="R234" s="1"/>
      <c r="S234" s="1"/>
      <c r="T234" s="1"/>
      <c r="U234" s="1"/>
      <c r="V234" s="1"/>
    </row>
    <row r="235" spans="7:22">
      <c r="G235" s="1"/>
      <c r="H235" s="1"/>
      <c r="K235" s="1"/>
      <c r="L235" s="1"/>
      <c r="O235" s="1"/>
      <c r="P235" s="1"/>
      <c r="Q235" s="1"/>
      <c r="R235" s="1"/>
      <c r="S235" s="1"/>
      <c r="T235" s="1"/>
      <c r="U235" s="1"/>
      <c r="V235" s="1"/>
    </row>
    <row r="236" spans="7:22">
      <c r="G236" s="1"/>
      <c r="H236" s="1"/>
      <c r="K236" s="1"/>
      <c r="L236" s="1"/>
      <c r="O236" s="1"/>
      <c r="P236" s="1"/>
      <c r="Q236" s="1"/>
      <c r="R236" s="1"/>
      <c r="S236" s="1"/>
      <c r="T236" s="1"/>
      <c r="U236" s="1"/>
      <c r="V236" s="1"/>
    </row>
    <row r="237" spans="7:22">
      <c r="G237" s="1"/>
      <c r="H237" s="1"/>
      <c r="K237" s="1"/>
      <c r="L237" s="1"/>
      <c r="O237" s="1"/>
      <c r="P237" s="1"/>
      <c r="Q237" s="1"/>
      <c r="R237" s="1"/>
      <c r="S237" s="1"/>
      <c r="T237" s="1"/>
      <c r="U237" s="1"/>
      <c r="V237" s="1"/>
    </row>
    <row r="238" spans="7:22">
      <c r="G238" s="1"/>
      <c r="H238" s="1"/>
      <c r="K238" s="1"/>
      <c r="L238" s="1"/>
      <c r="O238" s="1"/>
      <c r="P238" s="1"/>
      <c r="Q238" s="1"/>
      <c r="R238" s="1"/>
      <c r="S238" s="1"/>
      <c r="T238" s="1"/>
      <c r="U238" s="1"/>
      <c r="V238" s="1"/>
    </row>
    <row r="239" spans="7:22">
      <c r="G239" s="1"/>
      <c r="H239" s="1"/>
      <c r="K239" s="1"/>
      <c r="L239" s="1"/>
      <c r="O239" s="1"/>
      <c r="P239" s="1"/>
      <c r="Q239" s="1"/>
      <c r="R239" s="1"/>
      <c r="S239" s="1"/>
      <c r="T239" s="1"/>
      <c r="U239" s="1"/>
      <c r="V239" s="1"/>
    </row>
    <row r="240" spans="7:22">
      <c r="G240" s="1"/>
      <c r="H240" s="1"/>
      <c r="K240" s="1"/>
      <c r="L240" s="1"/>
      <c r="O240" s="1"/>
      <c r="P240" s="1"/>
      <c r="Q240" s="1"/>
      <c r="R240" s="1"/>
      <c r="S240" s="1"/>
      <c r="T240" s="1"/>
      <c r="U240" s="1"/>
      <c r="V240" s="1"/>
    </row>
    <row r="241" spans="7:22">
      <c r="G241" s="1"/>
      <c r="H241" s="1"/>
      <c r="K241" s="1"/>
      <c r="L241" s="1"/>
      <c r="O241" s="1"/>
      <c r="P241" s="1"/>
      <c r="Q241" s="1"/>
      <c r="R241" s="1"/>
      <c r="S241" s="1"/>
      <c r="T241" s="1"/>
      <c r="U241" s="1"/>
      <c r="V241" s="1"/>
    </row>
    <row r="242" spans="7:22">
      <c r="G242" s="1"/>
      <c r="H242" s="1"/>
      <c r="K242" s="1"/>
      <c r="L242" s="1"/>
      <c r="O242" s="1"/>
      <c r="P242" s="1"/>
      <c r="Q242" s="1"/>
      <c r="R242" s="1"/>
      <c r="S242" s="1"/>
      <c r="T242" s="1"/>
      <c r="U242" s="1"/>
      <c r="V242" s="1"/>
    </row>
    <row r="243" spans="7:22">
      <c r="G243" s="1"/>
      <c r="H243" s="1"/>
      <c r="K243" s="1"/>
      <c r="L243" s="1"/>
      <c r="O243" s="1"/>
      <c r="P243" s="1"/>
      <c r="Q243" s="1"/>
      <c r="R243" s="1"/>
      <c r="S243" s="1"/>
      <c r="T243" s="1"/>
      <c r="U243" s="1"/>
      <c r="V243" s="1"/>
    </row>
    <row r="244" spans="7:22">
      <c r="G244" s="1"/>
      <c r="H244" s="1"/>
      <c r="K244" s="1"/>
      <c r="L244" s="1"/>
      <c r="O244" s="1"/>
      <c r="P244" s="1"/>
      <c r="Q244" s="1"/>
      <c r="R244" s="1"/>
      <c r="S244" s="1"/>
      <c r="T244" s="1"/>
      <c r="U244" s="1"/>
      <c r="V244" s="1"/>
    </row>
    <row r="245" spans="7:22">
      <c r="G245" s="1"/>
      <c r="H245" s="1"/>
      <c r="K245" s="1"/>
      <c r="L245" s="1"/>
      <c r="O245" s="1"/>
      <c r="P245" s="1"/>
      <c r="Q245" s="1"/>
      <c r="R245" s="1"/>
      <c r="S245" s="1"/>
      <c r="T245" s="1"/>
      <c r="U245" s="1"/>
      <c r="V245" s="1"/>
    </row>
    <row r="246" spans="7:22">
      <c r="G246" s="1"/>
      <c r="H246" s="1"/>
      <c r="K246" s="1"/>
      <c r="L246" s="1"/>
      <c r="O246" s="1"/>
      <c r="P246" s="1"/>
      <c r="Q246" s="1"/>
      <c r="R246" s="1"/>
      <c r="S246" s="1"/>
      <c r="T246" s="1"/>
      <c r="U246" s="1"/>
      <c r="V246" s="1"/>
    </row>
    <row r="247" spans="7:22">
      <c r="G247" s="1"/>
      <c r="H247" s="1"/>
      <c r="K247" s="1"/>
      <c r="L247" s="1"/>
      <c r="O247" s="1"/>
      <c r="P247" s="1"/>
      <c r="Q247" s="1"/>
      <c r="R247" s="1"/>
      <c r="S247" s="1"/>
      <c r="T247" s="1"/>
      <c r="U247" s="1"/>
      <c r="V247" s="1"/>
    </row>
    <row r="248" spans="7:22">
      <c r="G248" s="1"/>
      <c r="H248" s="1"/>
      <c r="K248" s="1"/>
      <c r="L248" s="1"/>
      <c r="O248" s="1"/>
      <c r="P248" s="1"/>
      <c r="Q248" s="1"/>
      <c r="R248" s="1"/>
      <c r="S248" s="1"/>
      <c r="T248" s="1"/>
      <c r="U248" s="1"/>
      <c r="V248" s="1"/>
    </row>
    <row r="249" spans="7:22">
      <c r="G249" s="1"/>
      <c r="H249" s="1"/>
      <c r="K249" s="1"/>
      <c r="L249" s="1"/>
      <c r="O249" s="1"/>
      <c r="P249" s="1"/>
      <c r="Q249" s="1"/>
      <c r="R249" s="1"/>
      <c r="S249" s="1"/>
      <c r="T249" s="1"/>
      <c r="U249" s="1"/>
      <c r="V249" s="1"/>
    </row>
    <row r="250" spans="7:22">
      <c r="G250" s="1"/>
      <c r="H250" s="1"/>
      <c r="K250" s="1"/>
      <c r="L250" s="1"/>
      <c r="O250" s="1"/>
      <c r="P250" s="1"/>
      <c r="Q250" s="1"/>
      <c r="R250" s="1"/>
      <c r="S250" s="1"/>
      <c r="T250" s="1"/>
      <c r="U250" s="1"/>
      <c r="V250" s="1"/>
    </row>
    <row r="251" spans="7:22">
      <c r="G251" s="1"/>
      <c r="H251" s="1"/>
      <c r="K251" s="1"/>
      <c r="L251" s="1"/>
      <c r="O251" s="1"/>
      <c r="P251" s="1"/>
      <c r="Q251" s="1"/>
      <c r="R251" s="1"/>
      <c r="S251" s="1"/>
      <c r="T251" s="1"/>
      <c r="U251" s="1"/>
      <c r="V251" s="1"/>
    </row>
    <row r="252" spans="7:22">
      <c r="G252" s="1"/>
      <c r="H252" s="1"/>
      <c r="K252" s="1"/>
      <c r="L252" s="1"/>
      <c r="O252" s="1"/>
      <c r="P252" s="1"/>
      <c r="Q252" s="1"/>
      <c r="R252" s="1"/>
      <c r="S252" s="1"/>
      <c r="T252" s="1"/>
      <c r="U252" s="1"/>
      <c r="V252" s="1"/>
    </row>
    <row r="253" spans="7:22">
      <c r="G253" s="1"/>
      <c r="H253" s="1"/>
      <c r="K253" s="1"/>
      <c r="L253" s="1"/>
      <c r="O253" s="1"/>
      <c r="P253" s="1"/>
      <c r="Q253" s="1"/>
      <c r="R253" s="1"/>
      <c r="S253" s="1"/>
      <c r="T253" s="1"/>
      <c r="U253" s="1"/>
      <c r="V253" s="1"/>
    </row>
    <row r="254" spans="7:22">
      <c r="G254" s="1"/>
      <c r="H254" s="1"/>
      <c r="K254" s="1"/>
      <c r="L254" s="1"/>
      <c r="O254" s="1"/>
      <c r="P254" s="1"/>
      <c r="Q254" s="1"/>
      <c r="R254" s="1"/>
      <c r="S254" s="1"/>
      <c r="T254" s="1"/>
      <c r="U254" s="1"/>
      <c r="V254" s="1"/>
    </row>
    <row r="255" spans="7:22">
      <c r="G255" s="1"/>
      <c r="H255" s="1"/>
      <c r="K255" s="1"/>
      <c r="L255" s="1"/>
      <c r="O255" s="1"/>
      <c r="P255" s="1"/>
      <c r="Q255" s="1"/>
      <c r="R255" s="1"/>
      <c r="S255" s="1"/>
      <c r="T255" s="1"/>
      <c r="U255" s="1"/>
      <c r="V255" s="1"/>
    </row>
    <row r="256" spans="7:22">
      <c r="G256" s="1"/>
      <c r="H256" s="1"/>
      <c r="K256" s="1"/>
      <c r="L256" s="1"/>
      <c r="O256" s="1"/>
      <c r="P256" s="1"/>
      <c r="Q256" s="1"/>
      <c r="R256" s="1"/>
      <c r="S256" s="1"/>
      <c r="T256" s="1"/>
      <c r="U256" s="1"/>
      <c r="V256" s="1"/>
    </row>
    <row r="257" spans="7:22">
      <c r="G257" s="1"/>
      <c r="H257" s="1"/>
      <c r="K257" s="1"/>
      <c r="L257" s="1"/>
      <c r="O257" s="1"/>
      <c r="P257" s="1"/>
      <c r="Q257" s="1"/>
      <c r="R257" s="1"/>
      <c r="S257" s="1"/>
      <c r="T257" s="1"/>
      <c r="U257" s="1"/>
      <c r="V257" s="1"/>
    </row>
    <row r="258" spans="7:22">
      <c r="G258" s="1"/>
      <c r="H258" s="1"/>
      <c r="K258" s="1"/>
      <c r="L258" s="1"/>
      <c r="O258" s="1"/>
      <c r="P258" s="1"/>
      <c r="Q258" s="1"/>
      <c r="R258" s="1"/>
      <c r="S258" s="1"/>
      <c r="T258" s="1"/>
      <c r="U258" s="1"/>
      <c r="V258" s="1"/>
    </row>
    <row r="259" spans="7:22">
      <c r="G259" s="1"/>
      <c r="H259" s="1"/>
      <c r="K259" s="1"/>
      <c r="L259" s="1"/>
      <c r="O259" s="1"/>
      <c r="P259" s="1"/>
      <c r="Q259" s="1"/>
      <c r="R259" s="1"/>
      <c r="S259" s="1"/>
      <c r="T259" s="1"/>
      <c r="U259" s="1"/>
      <c r="V259" s="1"/>
    </row>
    <row r="260" spans="7:22">
      <c r="G260" s="1"/>
      <c r="H260" s="1"/>
      <c r="K260" s="1"/>
      <c r="L260" s="1"/>
      <c r="O260" s="1"/>
      <c r="P260" s="1"/>
      <c r="Q260" s="1"/>
      <c r="R260" s="1"/>
      <c r="S260" s="1"/>
      <c r="T260" s="1"/>
      <c r="U260" s="1"/>
      <c r="V260" s="1"/>
    </row>
    <row r="261" spans="7:22">
      <c r="G261" s="1"/>
      <c r="H261" s="1"/>
      <c r="K261" s="1"/>
      <c r="L261" s="1"/>
      <c r="O261" s="1"/>
      <c r="P261" s="1"/>
      <c r="Q261" s="1"/>
      <c r="R261" s="1"/>
      <c r="S261" s="1"/>
      <c r="T261" s="1"/>
      <c r="U261" s="1"/>
      <c r="V261" s="1"/>
    </row>
    <row r="262" spans="7:22">
      <c r="G262" s="1"/>
      <c r="H262" s="1"/>
      <c r="K262" s="1"/>
      <c r="L262" s="1"/>
      <c r="O262" s="1"/>
      <c r="P262" s="1"/>
      <c r="Q262" s="1"/>
      <c r="R262" s="1"/>
      <c r="S262" s="1"/>
      <c r="T262" s="1"/>
      <c r="U262" s="1"/>
      <c r="V262" s="1"/>
    </row>
    <row r="263" spans="7:22">
      <c r="G263" s="1"/>
      <c r="H263" s="1"/>
      <c r="K263" s="1"/>
      <c r="L263" s="1"/>
      <c r="O263" s="1"/>
      <c r="P263" s="1"/>
      <c r="Q263" s="1"/>
      <c r="R263" s="1"/>
      <c r="S263" s="1"/>
      <c r="T263" s="1"/>
      <c r="U263" s="1"/>
      <c r="V263" s="1"/>
    </row>
    <row r="264" spans="7:22">
      <c r="G264" s="1"/>
      <c r="H264" s="1"/>
      <c r="K264" s="1"/>
      <c r="L264" s="1"/>
      <c r="O264" s="1"/>
      <c r="P264" s="1"/>
      <c r="Q264" s="1"/>
      <c r="R264" s="1"/>
      <c r="S264" s="1"/>
      <c r="T264" s="1"/>
      <c r="U264" s="1"/>
      <c r="V264" s="1"/>
    </row>
    <row r="265" spans="7:22">
      <c r="G265" s="1"/>
      <c r="H265" s="1"/>
      <c r="K265" s="1"/>
      <c r="L265" s="1"/>
      <c r="O265" s="1"/>
      <c r="P265" s="1"/>
      <c r="Q265" s="1"/>
      <c r="R265" s="1"/>
      <c r="S265" s="1"/>
      <c r="T265" s="1"/>
      <c r="U265" s="1"/>
      <c r="V265" s="1"/>
    </row>
    <row r="266" spans="7:22">
      <c r="G266" s="1"/>
      <c r="H266" s="1"/>
      <c r="K266" s="1"/>
      <c r="L266" s="1"/>
      <c r="O266" s="1"/>
      <c r="P266" s="1"/>
      <c r="Q266" s="1"/>
      <c r="R266" s="1"/>
      <c r="S266" s="1"/>
      <c r="T266" s="1"/>
      <c r="U266" s="1"/>
      <c r="V266" s="1"/>
    </row>
    <row r="267" spans="7:22">
      <c r="G267" s="1"/>
      <c r="H267" s="1"/>
      <c r="K267" s="1"/>
      <c r="L267" s="1"/>
      <c r="O267" s="1"/>
      <c r="P267" s="1"/>
      <c r="Q267" s="1"/>
      <c r="R267" s="1"/>
      <c r="S267" s="1"/>
      <c r="T267" s="1"/>
      <c r="U267" s="1"/>
      <c r="V267" s="1"/>
    </row>
    <row r="268" spans="7:22">
      <c r="G268" s="1"/>
      <c r="H268" s="1"/>
      <c r="K268" s="1"/>
      <c r="L268" s="1"/>
      <c r="O268" s="1"/>
      <c r="P268" s="1"/>
      <c r="Q268" s="1"/>
      <c r="R268" s="1"/>
      <c r="S268" s="1"/>
      <c r="T268" s="1"/>
      <c r="U268" s="1"/>
      <c r="V268" s="1"/>
    </row>
    <row r="269" spans="7:22">
      <c r="G269" s="1"/>
      <c r="H269" s="1"/>
      <c r="K269" s="1"/>
      <c r="L269" s="1"/>
      <c r="O269" s="1"/>
      <c r="P269" s="1"/>
      <c r="Q269" s="1"/>
      <c r="R269" s="1"/>
      <c r="S269" s="1"/>
      <c r="T269" s="1"/>
      <c r="U269" s="1"/>
      <c r="V269" s="1"/>
    </row>
    <row r="270" spans="7:22">
      <c r="G270" s="1"/>
      <c r="H270" s="1"/>
      <c r="K270" s="1"/>
      <c r="L270" s="1"/>
      <c r="O270" s="1"/>
      <c r="P270" s="1"/>
      <c r="Q270" s="1"/>
      <c r="R270" s="1"/>
      <c r="S270" s="1"/>
      <c r="T270" s="1"/>
      <c r="U270" s="1"/>
      <c r="V270" s="1"/>
    </row>
    <row r="271" spans="7:22">
      <c r="G271" s="1"/>
      <c r="H271" s="1"/>
      <c r="K271" s="1"/>
      <c r="L271" s="1"/>
      <c r="O271" s="1"/>
      <c r="P271" s="1"/>
      <c r="Q271" s="1"/>
      <c r="R271" s="1"/>
      <c r="S271" s="1"/>
      <c r="T271" s="1"/>
      <c r="U271" s="1"/>
      <c r="V271" s="1"/>
    </row>
    <row r="272" spans="7:22">
      <c r="G272" s="1"/>
      <c r="H272" s="1"/>
      <c r="K272" s="1"/>
      <c r="L272" s="1"/>
      <c r="O272" s="1"/>
      <c r="P272" s="1"/>
      <c r="Q272" s="1"/>
      <c r="R272" s="1"/>
      <c r="S272" s="1"/>
      <c r="T272" s="1"/>
      <c r="U272" s="1"/>
      <c r="V272" s="1"/>
    </row>
    <row r="273" spans="7:22">
      <c r="G273" s="1"/>
      <c r="H273" s="1"/>
      <c r="K273" s="1"/>
      <c r="L273" s="1"/>
      <c r="O273" s="1"/>
      <c r="P273" s="1"/>
      <c r="Q273" s="1"/>
      <c r="R273" s="1"/>
      <c r="S273" s="1"/>
      <c r="T273" s="1"/>
      <c r="U273" s="1"/>
      <c r="V273" s="1"/>
    </row>
    <row r="274" spans="7:22">
      <c r="G274" s="1"/>
      <c r="H274" s="1"/>
      <c r="K274" s="1"/>
      <c r="L274" s="1"/>
      <c r="O274" s="1"/>
      <c r="P274" s="1"/>
      <c r="Q274" s="1"/>
      <c r="R274" s="1"/>
      <c r="S274" s="1"/>
      <c r="T274" s="1"/>
      <c r="U274" s="1"/>
      <c r="V274" s="1"/>
    </row>
    <row r="275" spans="7:22">
      <c r="G275" s="1"/>
      <c r="H275" s="1"/>
      <c r="K275" s="1"/>
      <c r="L275" s="1"/>
      <c r="O275" s="1"/>
      <c r="P275" s="1"/>
      <c r="Q275" s="1"/>
      <c r="R275" s="1"/>
      <c r="S275" s="1"/>
      <c r="T275" s="1"/>
      <c r="U275" s="1"/>
      <c r="V275" s="1"/>
    </row>
    <row r="276" spans="7:22">
      <c r="G276" s="1"/>
      <c r="H276" s="1"/>
      <c r="K276" s="1"/>
      <c r="L276" s="1"/>
      <c r="O276" s="1"/>
      <c r="P276" s="1"/>
      <c r="Q276" s="1"/>
      <c r="R276" s="1"/>
      <c r="S276" s="1"/>
      <c r="T276" s="1"/>
      <c r="U276" s="1"/>
      <c r="V276" s="1"/>
    </row>
    <row r="277" spans="7:22">
      <c r="G277" s="1"/>
      <c r="H277" s="1"/>
      <c r="K277" s="1"/>
      <c r="L277" s="1"/>
      <c r="O277" s="1"/>
      <c r="P277" s="1"/>
      <c r="Q277" s="1"/>
      <c r="R277" s="1"/>
      <c r="S277" s="1"/>
      <c r="T277" s="1"/>
      <c r="U277" s="1"/>
      <c r="V277" s="1"/>
    </row>
    <row r="278" spans="7:22">
      <c r="G278" s="1"/>
      <c r="H278" s="1"/>
      <c r="K278" s="1"/>
      <c r="L278" s="1"/>
      <c r="O278" s="1"/>
      <c r="P278" s="1"/>
      <c r="Q278" s="1"/>
      <c r="R278" s="1"/>
      <c r="S278" s="1"/>
      <c r="T278" s="1"/>
      <c r="U278" s="1"/>
      <c r="V278" s="1"/>
    </row>
    <row r="279" spans="7:22">
      <c r="G279" s="1"/>
      <c r="H279" s="1"/>
      <c r="K279" s="1"/>
      <c r="L279" s="1"/>
      <c r="O279" s="1"/>
      <c r="P279" s="1"/>
      <c r="Q279" s="1"/>
      <c r="R279" s="1"/>
      <c r="S279" s="1"/>
      <c r="T279" s="1"/>
      <c r="U279" s="1"/>
      <c r="V279" s="1"/>
    </row>
    <row r="280" spans="7:22">
      <c r="G280" s="1"/>
      <c r="H280" s="1"/>
      <c r="K280" s="1"/>
      <c r="L280" s="1"/>
      <c r="O280" s="1"/>
      <c r="P280" s="1"/>
      <c r="Q280" s="1"/>
      <c r="R280" s="1"/>
      <c r="S280" s="1"/>
      <c r="T280" s="1"/>
      <c r="U280" s="1"/>
      <c r="V280" s="1"/>
    </row>
    <row r="281" spans="7:22">
      <c r="G281" s="1"/>
      <c r="H281" s="1"/>
      <c r="K281" s="1"/>
      <c r="L281" s="1"/>
      <c r="O281" s="1"/>
      <c r="P281" s="1"/>
      <c r="Q281" s="1"/>
      <c r="R281" s="1"/>
      <c r="S281" s="1"/>
      <c r="T281" s="1"/>
      <c r="U281" s="1"/>
      <c r="V281" s="1"/>
    </row>
    <row r="282" spans="7:22">
      <c r="G282" s="1"/>
      <c r="H282" s="1"/>
      <c r="K282" s="1"/>
      <c r="L282" s="1"/>
      <c r="O282" s="1"/>
      <c r="P282" s="1"/>
      <c r="Q282" s="1"/>
      <c r="R282" s="1"/>
      <c r="S282" s="1"/>
      <c r="T282" s="1"/>
      <c r="U282" s="1"/>
      <c r="V282" s="1"/>
    </row>
    <row r="283" spans="7:22">
      <c r="G283" s="1"/>
      <c r="H283" s="1"/>
      <c r="K283" s="1"/>
      <c r="L283" s="1"/>
      <c r="O283" s="1"/>
      <c r="P283" s="1"/>
      <c r="Q283" s="1"/>
      <c r="R283" s="1"/>
      <c r="S283" s="1"/>
      <c r="T283" s="1"/>
      <c r="U283" s="1"/>
      <c r="V283" s="1"/>
    </row>
    <row r="284" spans="7:22">
      <c r="G284" s="1"/>
      <c r="H284" s="1"/>
      <c r="K284" s="1"/>
      <c r="L284" s="1"/>
      <c r="O284" s="1"/>
      <c r="P284" s="1"/>
      <c r="Q284" s="1"/>
      <c r="R284" s="1"/>
      <c r="S284" s="1"/>
      <c r="T284" s="1"/>
      <c r="U284" s="1"/>
      <c r="V284" s="1"/>
    </row>
    <row r="285" spans="7:22">
      <c r="G285" s="1"/>
      <c r="H285" s="1"/>
      <c r="K285" s="1"/>
      <c r="L285" s="1"/>
      <c r="O285" s="1"/>
      <c r="P285" s="1"/>
      <c r="Q285" s="1"/>
      <c r="R285" s="1"/>
      <c r="S285" s="1"/>
      <c r="T285" s="1"/>
      <c r="U285" s="1"/>
      <c r="V285" s="1"/>
    </row>
    <row r="286" spans="7:22">
      <c r="G286" s="1"/>
      <c r="H286" s="1"/>
      <c r="K286" s="1"/>
      <c r="L286" s="1"/>
      <c r="O286" s="1"/>
      <c r="P286" s="1"/>
      <c r="Q286" s="1"/>
      <c r="R286" s="1"/>
      <c r="S286" s="1"/>
      <c r="T286" s="1"/>
      <c r="U286" s="1"/>
      <c r="V286" s="1"/>
    </row>
    <row r="287" spans="7:22">
      <c r="G287" s="1"/>
      <c r="H287" s="1"/>
      <c r="K287" s="1"/>
      <c r="L287" s="1"/>
      <c r="O287" s="1"/>
      <c r="P287" s="1"/>
      <c r="Q287" s="1"/>
      <c r="R287" s="1"/>
      <c r="S287" s="1"/>
      <c r="T287" s="1"/>
      <c r="U287" s="1"/>
      <c r="V287" s="1"/>
    </row>
    <row r="288" spans="7:22">
      <c r="G288" s="1"/>
      <c r="H288" s="1"/>
      <c r="K288" s="1"/>
      <c r="L288" s="1"/>
      <c r="O288" s="1"/>
      <c r="P288" s="1"/>
      <c r="Q288" s="1"/>
      <c r="R288" s="1"/>
      <c r="S288" s="1"/>
      <c r="T288" s="1"/>
      <c r="U288" s="1"/>
      <c r="V288" s="1"/>
    </row>
    <row r="289" spans="7:22">
      <c r="G289" s="1"/>
      <c r="H289" s="1"/>
      <c r="K289" s="1"/>
      <c r="L289" s="1"/>
      <c r="O289" s="1"/>
      <c r="P289" s="1"/>
      <c r="Q289" s="1"/>
      <c r="R289" s="1"/>
      <c r="S289" s="1"/>
      <c r="T289" s="1"/>
      <c r="U289" s="1"/>
      <c r="V289" s="1"/>
    </row>
    <row r="290" spans="7:22">
      <c r="G290" s="1"/>
      <c r="H290" s="1"/>
      <c r="K290" s="1"/>
      <c r="L290" s="1"/>
      <c r="O290" s="1"/>
      <c r="P290" s="1"/>
      <c r="Q290" s="1"/>
      <c r="R290" s="1"/>
      <c r="S290" s="1"/>
      <c r="T290" s="1"/>
      <c r="U290" s="1"/>
      <c r="V290" s="1"/>
    </row>
    <row r="291" spans="7:22">
      <c r="G291" s="1"/>
      <c r="H291" s="1"/>
      <c r="K291" s="1"/>
      <c r="L291" s="1"/>
      <c r="O291" s="1"/>
      <c r="P291" s="1"/>
      <c r="Q291" s="1"/>
      <c r="R291" s="1"/>
      <c r="S291" s="1"/>
      <c r="T291" s="1"/>
      <c r="U291" s="1"/>
      <c r="V291" s="1"/>
    </row>
    <row r="292" spans="7:22">
      <c r="G292" s="1"/>
      <c r="H292" s="1"/>
      <c r="K292" s="1"/>
      <c r="L292" s="1"/>
      <c r="O292" s="1"/>
      <c r="P292" s="1"/>
      <c r="Q292" s="1"/>
      <c r="R292" s="1"/>
      <c r="S292" s="1"/>
      <c r="T292" s="1"/>
      <c r="U292" s="1"/>
      <c r="V292" s="1"/>
    </row>
    <row r="293" spans="7:22">
      <c r="G293" s="1"/>
      <c r="H293" s="1"/>
      <c r="K293" s="1"/>
      <c r="L293" s="1"/>
      <c r="O293" s="1"/>
      <c r="P293" s="1"/>
      <c r="Q293" s="1"/>
      <c r="R293" s="1"/>
      <c r="S293" s="1"/>
      <c r="T293" s="1"/>
      <c r="U293" s="1"/>
      <c r="V293" s="1"/>
    </row>
    <row r="294" spans="7:22">
      <c r="G294" s="1"/>
      <c r="H294" s="1"/>
      <c r="K294" s="1"/>
      <c r="L294" s="1"/>
      <c r="O294" s="1"/>
      <c r="P294" s="1"/>
      <c r="Q294" s="1"/>
      <c r="R294" s="1"/>
      <c r="S294" s="1"/>
      <c r="T294" s="1"/>
      <c r="U294" s="1"/>
      <c r="V294" s="1"/>
    </row>
    <row r="295" spans="7:22">
      <c r="G295" s="1"/>
      <c r="H295" s="1"/>
      <c r="K295" s="1"/>
      <c r="L295" s="1"/>
      <c r="O295" s="1"/>
      <c r="P295" s="1"/>
      <c r="Q295" s="1"/>
      <c r="R295" s="1"/>
      <c r="S295" s="1"/>
      <c r="T295" s="1"/>
      <c r="U295" s="1"/>
      <c r="V295" s="1"/>
    </row>
    <row r="296" spans="7:22">
      <c r="G296" s="1"/>
      <c r="H296" s="1"/>
      <c r="K296" s="1"/>
      <c r="L296" s="1"/>
      <c r="O296" s="1"/>
      <c r="P296" s="1"/>
      <c r="Q296" s="1"/>
      <c r="R296" s="1"/>
      <c r="S296" s="1"/>
      <c r="T296" s="1"/>
      <c r="U296" s="1"/>
      <c r="V296" s="1"/>
    </row>
    <row r="297" spans="7:22">
      <c r="G297" s="1"/>
      <c r="H297" s="1"/>
      <c r="K297" s="1"/>
      <c r="L297" s="1"/>
      <c r="O297" s="1"/>
      <c r="P297" s="1"/>
      <c r="Q297" s="1"/>
      <c r="R297" s="1"/>
      <c r="S297" s="1"/>
      <c r="T297" s="1"/>
      <c r="U297" s="1"/>
      <c r="V297" s="1"/>
    </row>
    <row r="298" spans="7:22">
      <c r="G298" s="1"/>
      <c r="H298" s="1"/>
      <c r="K298" s="1"/>
      <c r="L298" s="1"/>
      <c r="O298" s="1"/>
      <c r="P298" s="1"/>
      <c r="Q298" s="1"/>
      <c r="R298" s="1"/>
      <c r="S298" s="1"/>
      <c r="T298" s="1"/>
      <c r="U298" s="1"/>
      <c r="V298" s="1"/>
    </row>
    <row r="299" spans="7:22">
      <c r="G299" s="1"/>
      <c r="H299" s="1"/>
      <c r="K299" s="1"/>
      <c r="L299" s="1"/>
      <c r="O299" s="1"/>
      <c r="P299" s="1"/>
      <c r="Q299" s="1"/>
      <c r="R299" s="1"/>
      <c r="S299" s="1"/>
      <c r="T299" s="1"/>
      <c r="U299" s="1"/>
      <c r="V299" s="1"/>
    </row>
    <row r="300" spans="7:22">
      <c r="G300" s="1"/>
      <c r="H300" s="1"/>
      <c r="K300" s="1"/>
      <c r="L300" s="1"/>
      <c r="O300" s="1"/>
      <c r="P300" s="1"/>
      <c r="Q300" s="1"/>
      <c r="R300" s="1"/>
      <c r="S300" s="1"/>
      <c r="T300" s="1"/>
      <c r="U300" s="1"/>
      <c r="V300" s="1"/>
    </row>
    <row r="301" spans="7:22">
      <c r="G301" s="1"/>
      <c r="H301" s="1"/>
      <c r="K301" s="1"/>
      <c r="L301" s="1"/>
      <c r="O301" s="1"/>
      <c r="P301" s="1"/>
      <c r="Q301" s="1"/>
      <c r="R301" s="1"/>
      <c r="S301" s="1"/>
      <c r="T301" s="1"/>
      <c r="U301" s="1"/>
      <c r="V301" s="1"/>
    </row>
    <row r="302" spans="7:22">
      <c r="G302" s="1"/>
      <c r="H302" s="1"/>
      <c r="K302" s="1"/>
      <c r="L302" s="1"/>
      <c r="O302" s="1"/>
      <c r="P302" s="1"/>
      <c r="Q302" s="1"/>
      <c r="R302" s="1"/>
      <c r="S302" s="1"/>
      <c r="T302" s="1"/>
      <c r="U302" s="1"/>
      <c r="V302" s="1"/>
    </row>
    <row r="303" spans="7:22">
      <c r="G303" s="1"/>
      <c r="H303" s="1"/>
      <c r="K303" s="1"/>
      <c r="L303" s="1"/>
      <c r="O303" s="1"/>
      <c r="P303" s="1"/>
      <c r="Q303" s="1"/>
      <c r="R303" s="1"/>
      <c r="S303" s="1"/>
      <c r="T303" s="1"/>
      <c r="U303" s="1"/>
      <c r="V303" s="1"/>
    </row>
    <row r="304" spans="7:22">
      <c r="G304" s="1"/>
      <c r="H304" s="1"/>
      <c r="K304" s="1"/>
      <c r="L304" s="1"/>
      <c r="O304" s="1"/>
      <c r="P304" s="1"/>
      <c r="Q304" s="1"/>
      <c r="R304" s="1"/>
      <c r="S304" s="1"/>
      <c r="T304" s="1"/>
      <c r="U304" s="1"/>
      <c r="V304" s="1"/>
    </row>
    <row r="305" spans="7:22">
      <c r="G305" s="1"/>
      <c r="H305" s="1"/>
      <c r="K305" s="1"/>
      <c r="L305" s="1"/>
      <c r="O305" s="1"/>
      <c r="P305" s="1"/>
      <c r="Q305" s="1"/>
      <c r="R305" s="1"/>
      <c r="S305" s="1"/>
      <c r="T305" s="1"/>
      <c r="U305" s="1"/>
      <c r="V305" s="1"/>
    </row>
    <row r="306" spans="7:22">
      <c r="G306" s="1"/>
      <c r="H306" s="1"/>
      <c r="K306" s="1"/>
      <c r="L306" s="1"/>
      <c r="O306" s="1"/>
      <c r="P306" s="1"/>
      <c r="Q306" s="1"/>
      <c r="R306" s="1"/>
      <c r="S306" s="1"/>
      <c r="T306" s="1"/>
      <c r="U306" s="1"/>
      <c r="V306" s="1"/>
    </row>
    <row r="307" spans="7:22">
      <c r="G307" s="1"/>
      <c r="H307" s="1"/>
      <c r="K307" s="1"/>
      <c r="L307" s="1"/>
      <c r="O307" s="1"/>
      <c r="P307" s="1"/>
      <c r="Q307" s="1"/>
      <c r="R307" s="1"/>
      <c r="S307" s="1"/>
      <c r="T307" s="1"/>
      <c r="U307" s="1"/>
      <c r="V307" s="1"/>
    </row>
    <row r="308" spans="7:22">
      <c r="G308" s="1"/>
      <c r="H308" s="1"/>
      <c r="K308" s="1"/>
      <c r="L308" s="1"/>
      <c r="O308" s="1"/>
      <c r="P308" s="1"/>
      <c r="Q308" s="1"/>
      <c r="R308" s="1"/>
      <c r="S308" s="1"/>
      <c r="T308" s="1"/>
      <c r="U308" s="1"/>
      <c r="V308" s="1"/>
    </row>
    <row r="309" spans="7:22">
      <c r="G309" s="1"/>
      <c r="H309" s="1"/>
      <c r="K309" s="1"/>
      <c r="L309" s="1"/>
      <c r="O309" s="1"/>
      <c r="P309" s="1"/>
      <c r="Q309" s="1"/>
      <c r="R309" s="1"/>
      <c r="S309" s="1"/>
      <c r="T309" s="1"/>
      <c r="U309" s="1"/>
      <c r="V309" s="1"/>
    </row>
    <row r="310" spans="7:22">
      <c r="G310" s="1"/>
      <c r="H310" s="1"/>
      <c r="K310" s="1"/>
      <c r="L310" s="1"/>
      <c r="O310" s="1"/>
      <c r="P310" s="1"/>
      <c r="Q310" s="1"/>
      <c r="R310" s="1"/>
      <c r="S310" s="1"/>
      <c r="T310" s="1"/>
      <c r="U310" s="1"/>
      <c r="V310" s="1"/>
    </row>
    <row r="311" spans="7:22">
      <c r="G311" s="1"/>
      <c r="H311" s="1"/>
      <c r="K311" s="1"/>
      <c r="L311" s="1"/>
      <c r="O311" s="1"/>
      <c r="P311" s="1"/>
      <c r="Q311" s="1"/>
      <c r="R311" s="1"/>
      <c r="S311" s="1"/>
      <c r="T311" s="1"/>
      <c r="U311" s="1"/>
      <c r="V311" s="1"/>
    </row>
    <row r="312" spans="7:22">
      <c r="G312" s="1"/>
      <c r="H312" s="1"/>
      <c r="K312" s="1"/>
      <c r="L312" s="1"/>
      <c r="O312" s="1"/>
      <c r="P312" s="1"/>
      <c r="Q312" s="1"/>
      <c r="R312" s="1"/>
      <c r="S312" s="1"/>
      <c r="T312" s="1"/>
      <c r="U312" s="1"/>
      <c r="V312" s="1"/>
    </row>
    <row r="313" spans="7:22">
      <c r="G313" s="1"/>
      <c r="H313" s="1"/>
      <c r="K313" s="1"/>
      <c r="L313" s="1"/>
      <c r="O313" s="1"/>
      <c r="P313" s="1"/>
      <c r="Q313" s="1"/>
      <c r="R313" s="1"/>
      <c r="S313" s="1"/>
      <c r="T313" s="1"/>
      <c r="U313" s="1"/>
      <c r="V313" s="1"/>
    </row>
    <row r="314" spans="7:22">
      <c r="G314" s="1"/>
      <c r="H314" s="1"/>
      <c r="K314" s="1"/>
      <c r="L314" s="1"/>
      <c r="O314" s="1"/>
      <c r="P314" s="1"/>
      <c r="Q314" s="1"/>
      <c r="R314" s="1"/>
      <c r="S314" s="1"/>
      <c r="T314" s="1"/>
      <c r="U314" s="1"/>
      <c r="V314" s="1"/>
    </row>
    <row r="315" spans="7:22">
      <c r="G315" s="1"/>
      <c r="H315" s="1"/>
      <c r="K315" s="1"/>
      <c r="L315" s="1"/>
      <c r="O315" s="1"/>
      <c r="P315" s="1"/>
      <c r="Q315" s="1"/>
      <c r="R315" s="1"/>
      <c r="S315" s="1"/>
      <c r="T315" s="1"/>
      <c r="U315" s="1"/>
      <c r="V315" s="1"/>
    </row>
    <row r="316" spans="7:22">
      <c r="G316" s="1"/>
      <c r="H316" s="1"/>
      <c r="K316" s="1"/>
      <c r="L316" s="1"/>
      <c r="O316" s="1"/>
      <c r="P316" s="1"/>
      <c r="Q316" s="1"/>
      <c r="R316" s="1"/>
      <c r="S316" s="1"/>
      <c r="T316" s="1"/>
      <c r="U316" s="1"/>
      <c r="V316" s="1"/>
    </row>
    <row r="317" spans="7:22">
      <c r="G317" s="1"/>
      <c r="H317" s="1"/>
      <c r="K317" s="1"/>
      <c r="L317" s="1"/>
      <c r="O317" s="1"/>
      <c r="P317" s="1"/>
      <c r="Q317" s="1"/>
      <c r="R317" s="1"/>
      <c r="S317" s="1"/>
      <c r="T317" s="1"/>
      <c r="U317" s="1"/>
      <c r="V317" s="1"/>
    </row>
    <row r="318" spans="7:22">
      <c r="G318" s="1"/>
      <c r="H318" s="1"/>
      <c r="K318" s="1"/>
      <c r="L318" s="1"/>
      <c r="O318" s="1"/>
      <c r="P318" s="1"/>
      <c r="Q318" s="1"/>
      <c r="R318" s="1"/>
      <c r="S318" s="1"/>
      <c r="T318" s="1"/>
      <c r="U318" s="1"/>
      <c r="V318" s="1"/>
    </row>
    <row r="319" spans="7:22">
      <c r="G319" s="1"/>
      <c r="H319" s="1"/>
      <c r="K319" s="1"/>
      <c r="L319" s="1"/>
      <c r="O319" s="1"/>
      <c r="P319" s="1"/>
      <c r="Q319" s="1"/>
      <c r="R319" s="1"/>
      <c r="S319" s="1"/>
      <c r="T319" s="1"/>
      <c r="U319" s="1"/>
      <c r="V319" s="1"/>
    </row>
    <row r="320" spans="7:22">
      <c r="G320" s="1"/>
      <c r="H320" s="1"/>
      <c r="K320" s="1"/>
      <c r="L320" s="1"/>
      <c r="O320" s="1"/>
      <c r="P320" s="1"/>
      <c r="Q320" s="1"/>
      <c r="R320" s="1"/>
      <c r="S320" s="1"/>
      <c r="T320" s="1"/>
      <c r="U320" s="1"/>
      <c r="V320" s="1"/>
    </row>
    <row r="321" spans="7:22">
      <c r="G321" s="1"/>
      <c r="H321" s="1"/>
      <c r="K321" s="1"/>
      <c r="L321" s="1"/>
      <c r="O321" s="1"/>
      <c r="P321" s="1"/>
      <c r="Q321" s="1"/>
      <c r="R321" s="1"/>
      <c r="S321" s="1"/>
      <c r="T321" s="1"/>
      <c r="U321" s="1"/>
      <c r="V321" s="1"/>
    </row>
    <row r="322" spans="7:22">
      <c r="G322" s="1"/>
      <c r="H322" s="1"/>
      <c r="K322" s="1"/>
      <c r="L322" s="1"/>
      <c r="O322" s="1"/>
      <c r="P322" s="1"/>
      <c r="Q322" s="1"/>
      <c r="R322" s="1"/>
      <c r="S322" s="1"/>
      <c r="T322" s="1"/>
      <c r="U322" s="1"/>
      <c r="V322" s="1"/>
    </row>
    <row r="323" spans="7:22">
      <c r="G323" s="1"/>
      <c r="H323" s="1"/>
      <c r="K323" s="1"/>
      <c r="L323" s="1"/>
      <c r="O323" s="1"/>
      <c r="P323" s="1"/>
      <c r="Q323" s="1"/>
      <c r="R323" s="1"/>
      <c r="S323" s="1"/>
      <c r="T323" s="1"/>
      <c r="U323" s="1"/>
      <c r="V323" s="1"/>
    </row>
    <row r="324" spans="7:22">
      <c r="G324" s="1"/>
      <c r="H324" s="1"/>
      <c r="K324" s="1"/>
      <c r="L324" s="1"/>
      <c r="O324" s="1"/>
      <c r="P324" s="1"/>
      <c r="Q324" s="1"/>
      <c r="R324" s="1"/>
      <c r="S324" s="1"/>
      <c r="T324" s="1"/>
      <c r="U324" s="1"/>
      <c r="V324" s="1"/>
    </row>
    <row r="325" spans="7:22">
      <c r="G325" s="1"/>
      <c r="H325" s="1"/>
      <c r="K325" s="1"/>
      <c r="L325" s="1"/>
      <c r="O325" s="1"/>
      <c r="P325" s="1"/>
      <c r="Q325" s="1"/>
      <c r="R325" s="1"/>
      <c r="S325" s="1"/>
      <c r="T325" s="1"/>
      <c r="U325" s="1"/>
      <c r="V325" s="1"/>
    </row>
    <row r="326" spans="7:22">
      <c r="G326" s="1"/>
      <c r="H326" s="1"/>
      <c r="K326" s="1"/>
      <c r="L326" s="1"/>
      <c r="O326" s="1"/>
      <c r="P326" s="1"/>
      <c r="Q326" s="1"/>
      <c r="R326" s="1"/>
      <c r="S326" s="1"/>
      <c r="T326" s="1"/>
      <c r="U326" s="1"/>
      <c r="V326" s="1"/>
    </row>
    <row r="327" spans="7:22">
      <c r="G327" s="1"/>
      <c r="H327" s="1"/>
      <c r="K327" s="1"/>
      <c r="L327" s="1"/>
      <c r="O327" s="1"/>
      <c r="P327" s="1"/>
      <c r="Q327" s="1"/>
      <c r="R327" s="1"/>
      <c r="S327" s="1"/>
      <c r="T327" s="1"/>
      <c r="U327" s="1"/>
      <c r="V327" s="1"/>
    </row>
    <row r="328" spans="7:22">
      <c r="G328" s="1"/>
      <c r="H328" s="1"/>
      <c r="K328" s="1"/>
      <c r="L328" s="1"/>
      <c r="O328" s="1"/>
      <c r="P328" s="1"/>
      <c r="Q328" s="1"/>
      <c r="R328" s="1"/>
      <c r="S328" s="1"/>
      <c r="T328" s="1"/>
      <c r="U328" s="1"/>
      <c r="V328" s="1"/>
    </row>
    <row r="329" spans="7:22">
      <c r="G329" s="1"/>
      <c r="H329" s="1"/>
      <c r="K329" s="1"/>
      <c r="L329" s="1"/>
      <c r="O329" s="1"/>
      <c r="P329" s="1"/>
      <c r="Q329" s="1"/>
      <c r="R329" s="1"/>
      <c r="S329" s="1"/>
      <c r="T329" s="1"/>
      <c r="U329" s="1"/>
      <c r="V329" s="1"/>
    </row>
    <row r="330" spans="7:22">
      <c r="G330" s="1"/>
      <c r="H330" s="1"/>
      <c r="K330" s="1"/>
      <c r="L330" s="1"/>
      <c r="O330" s="1"/>
      <c r="P330" s="1"/>
      <c r="Q330" s="1"/>
      <c r="R330" s="1"/>
      <c r="S330" s="1"/>
      <c r="T330" s="1"/>
      <c r="U330" s="1"/>
      <c r="V330" s="1"/>
    </row>
    <row r="331" spans="7:22">
      <c r="G331" s="1"/>
      <c r="H331" s="1"/>
      <c r="K331" s="1"/>
      <c r="L331" s="1"/>
      <c r="O331" s="1"/>
      <c r="P331" s="1"/>
      <c r="Q331" s="1"/>
      <c r="R331" s="1"/>
      <c r="S331" s="1"/>
      <c r="T331" s="1"/>
      <c r="U331" s="1"/>
      <c r="V331" s="1"/>
    </row>
    <row r="332" spans="7:22">
      <c r="G332" s="1"/>
      <c r="H332" s="1"/>
      <c r="K332" s="1"/>
      <c r="L332" s="1"/>
      <c r="O332" s="1"/>
      <c r="P332" s="1"/>
      <c r="Q332" s="1"/>
      <c r="R332" s="1"/>
      <c r="S332" s="1"/>
      <c r="T332" s="1"/>
      <c r="U332" s="1"/>
      <c r="V332" s="1"/>
    </row>
    <row r="333" spans="7:22">
      <c r="G333" s="1"/>
      <c r="H333" s="1"/>
      <c r="K333" s="1"/>
      <c r="L333" s="1"/>
      <c r="O333" s="1"/>
      <c r="P333" s="1"/>
      <c r="Q333" s="1"/>
      <c r="R333" s="1"/>
      <c r="S333" s="1"/>
      <c r="T333" s="1"/>
      <c r="U333" s="1"/>
      <c r="V333" s="1"/>
    </row>
    <row r="334" spans="7:22">
      <c r="G334" s="1"/>
      <c r="H334" s="1"/>
      <c r="K334" s="1"/>
      <c r="L334" s="1"/>
      <c r="O334" s="1"/>
      <c r="P334" s="1"/>
      <c r="Q334" s="1"/>
      <c r="R334" s="1"/>
      <c r="S334" s="1"/>
      <c r="T334" s="1"/>
      <c r="U334" s="1"/>
      <c r="V334" s="1"/>
    </row>
    <row r="335" spans="7:22">
      <c r="G335" s="1"/>
      <c r="H335" s="1"/>
      <c r="K335" s="1"/>
      <c r="L335" s="1"/>
      <c r="O335" s="1"/>
      <c r="P335" s="1"/>
      <c r="Q335" s="1"/>
      <c r="R335" s="1"/>
      <c r="S335" s="1"/>
      <c r="T335" s="1"/>
      <c r="U335" s="1"/>
      <c r="V335" s="1"/>
    </row>
    <row r="336" spans="7:22">
      <c r="G336" s="1"/>
      <c r="H336" s="1"/>
      <c r="K336" s="1"/>
      <c r="L336" s="1"/>
      <c r="O336" s="1"/>
      <c r="P336" s="1"/>
      <c r="Q336" s="1"/>
      <c r="R336" s="1"/>
      <c r="S336" s="1"/>
      <c r="T336" s="1"/>
      <c r="U336" s="1"/>
      <c r="V336" s="1"/>
    </row>
    <row r="337" spans="7:22">
      <c r="G337" s="1"/>
      <c r="H337" s="1"/>
      <c r="K337" s="1"/>
      <c r="L337" s="1"/>
      <c r="O337" s="1"/>
      <c r="P337" s="1"/>
      <c r="Q337" s="1"/>
      <c r="R337" s="1"/>
      <c r="S337" s="1"/>
      <c r="T337" s="1"/>
      <c r="U337" s="1"/>
      <c r="V337" s="1"/>
    </row>
    <row r="338" spans="7:22">
      <c r="G338" s="1"/>
      <c r="H338" s="1"/>
      <c r="K338" s="1"/>
      <c r="L338" s="1"/>
      <c r="O338" s="1"/>
      <c r="P338" s="1"/>
      <c r="Q338" s="1"/>
      <c r="R338" s="1"/>
      <c r="S338" s="1"/>
      <c r="T338" s="1"/>
      <c r="U338" s="1"/>
      <c r="V338" s="1"/>
    </row>
    <row r="339" spans="7:22">
      <c r="G339" s="1"/>
      <c r="H339" s="1"/>
      <c r="K339" s="1"/>
      <c r="L339" s="1"/>
      <c r="O339" s="1"/>
      <c r="P339" s="1"/>
      <c r="Q339" s="1"/>
      <c r="R339" s="1"/>
      <c r="S339" s="1"/>
      <c r="T339" s="1"/>
      <c r="U339" s="1"/>
      <c r="V339" s="1"/>
    </row>
    <row r="340" spans="7:22">
      <c r="G340" s="1"/>
      <c r="H340" s="1"/>
      <c r="K340" s="1"/>
      <c r="L340" s="1"/>
      <c r="O340" s="1"/>
      <c r="P340" s="1"/>
      <c r="Q340" s="1"/>
      <c r="R340" s="1"/>
      <c r="S340" s="1"/>
      <c r="T340" s="1"/>
      <c r="U340" s="1"/>
      <c r="V340" s="1"/>
    </row>
    <row r="341" spans="7:22">
      <c r="G341" s="1"/>
      <c r="H341" s="1"/>
      <c r="K341" s="1"/>
      <c r="L341" s="1"/>
      <c r="O341" s="1"/>
      <c r="P341" s="1"/>
      <c r="Q341" s="1"/>
      <c r="R341" s="1"/>
      <c r="S341" s="1"/>
      <c r="T341" s="1"/>
      <c r="U341" s="1"/>
      <c r="V341" s="1"/>
    </row>
    <row r="342" spans="7:22">
      <c r="G342" s="1"/>
      <c r="H342" s="1"/>
      <c r="K342" s="1"/>
      <c r="L342" s="1"/>
      <c r="O342" s="1"/>
      <c r="P342" s="1"/>
      <c r="Q342" s="1"/>
      <c r="R342" s="1"/>
      <c r="S342" s="1"/>
      <c r="T342" s="1"/>
      <c r="U342" s="1"/>
      <c r="V342" s="1"/>
    </row>
    <row r="343" spans="7:22">
      <c r="G343" s="1"/>
      <c r="H343" s="1"/>
      <c r="K343" s="1"/>
      <c r="L343" s="1"/>
      <c r="O343" s="1"/>
      <c r="P343" s="1"/>
      <c r="Q343" s="1"/>
      <c r="R343" s="1"/>
      <c r="S343" s="1"/>
      <c r="T343" s="1"/>
      <c r="U343" s="1"/>
      <c r="V343" s="1"/>
    </row>
    <row r="344" spans="7:22">
      <c r="G344" s="1"/>
      <c r="H344" s="1"/>
      <c r="K344" s="1"/>
      <c r="L344" s="1"/>
      <c r="O344" s="1"/>
      <c r="P344" s="1"/>
      <c r="Q344" s="1"/>
      <c r="R344" s="1"/>
      <c r="S344" s="1"/>
      <c r="T344" s="1"/>
      <c r="U344" s="1"/>
      <c r="V344" s="1"/>
    </row>
    <row r="345" spans="7:22">
      <c r="G345" s="1"/>
      <c r="H345" s="1"/>
      <c r="K345" s="1"/>
      <c r="L345" s="1"/>
      <c r="O345" s="1"/>
      <c r="P345" s="1"/>
      <c r="Q345" s="1"/>
      <c r="R345" s="1"/>
      <c r="S345" s="1"/>
      <c r="T345" s="1"/>
      <c r="U345" s="1"/>
      <c r="V345" s="1"/>
    </row>
    <row r="346" spans="7:22">
      <c r="G346" s="1"/>
      <c r="H346" s="1"/>
      <c r="K346" s="1"/>
      <c r="L346" s="1"/>
      <c r="O346" s="1"/>
      <c r="P346" s="1"/>
      <c r="Q346" s="1"/>
      <c r="R346" s="1"/>
      <c r="S346" s="1"/>
      <c r="T346" s="1"/>
      <c r="U346" s="1"/>
      <c r="V346" s="1"/>
    </row>
    <row r="347" spans="7:22">
      <c r="G347" s="1"/>
      <c r="H347" s="1"/>
      <c r="K347" s="1"/>
      <c r="L347" s="1"/>
      <c r="O347" s="1"/>
      <c r="P347" s="1"/>
      <c r="Q347" s="1"/>
      <c r="R347" s="1"/>
      <c r="S347" s="1"/>
      <c r="T347" s="1"/>
      <c r="U347" s="1"/>
      <c r="V347" s="1"/>
    </row>
    <row r="348" spans="7:22">
      <c r="G348" s="1"/>
      <c r="H348" s="1"/>
      <c r="K348" s="1"/>
      <c r="L348" s="1"/>
      <c r="O348" s="1"/>
      <c r="P348" s="1"/>
      <c r="Q348" s="1"/>
      <c r="R348" s="1"/>
      <c r="S348" s="1"/>
      <c r="T348" s="1"/>
      <c r="U348" s="1"/>
      <c r="V348" s="1"/>
    </row>
    <row r="349" spans="7:22">
      <c r="G349" s="1"/>
      <c r="H349" s="1"/>
      <c r="K349" s="1"/>
      <c r="L349" s="1"/>
      <c r="O349" s="1"/>
      <c r="P349" s="1"/>
      <c r="Q349" s="1"/>
      <c r="R349" s="1"/>
      <c r="S349" s="1"/>
      <c r="T349" s="1"/>
      <c r="U349" s="1"/>
      <c r="V349" s="1"/>
    </row>
    <row r="350" spans="7:22">
      <c r="G350" s="1"/>
      <c r="H350" s="1"/>
      <c r="K350" s="1"/>
      <c r="L350" s="1"/>
      <c r="O350" s="1"/>
      <c r="P350" s="1"/>
      <c r="Q350" s="1"/>
      <c r="R350" s="1"/>
      <c r="S350" s="1"/>
      <c r="T350" s="1"/>
      <c r="U350" s="1"/>
      <c r="V350" s="1"/>
    </row>
    <row r="351" spans="7:22">
      <c r="G351" s="1"/>
      <c r="H351" s="1"/>
      <c r="K351" s="1"/>
      <c r="L351" s="1"/>
      <c r="O351" s="1"/>
      <c r="P351" s="1"/>
      <c r="Q351" s="1"/>
      <c r="R351" s="1"/>
      <c r="S351" s="1"/>
      <c r="T351" s="1"/>
      <c r="U351" s="1"/>
      <c r="V351" s="1"/>
    </row>
    <row r="352" spans="7:22">
      <c r="G352" s="1"/>
      <c r="H352" s="1"/>
      <c r="K352" s="1"/>
      <c r="L352" s="1"/>
      <c r="O352" s="1"/>
      <c r="P352" s="1"/>
      <c r="Q352" s="1"/>
      <c r="R352" s="1"/>
      <c r="S352" s="1"/>
      <c r="T352" s="1"/>
      <c r="U352" s="1"/>
      <c r="V352" s="1"/>
    </row>
    <row r="353" spans="7:22">
      <c r="G353" s="1"/>
      <c r="H353" s="1"/>
      <c r="K353" s="1"/>
      <c r="L353" s="1"/>
      <c r="O353" s="1"/>
      <c r="P353" s="1"/>
      <c r="Q353" s="1"/>
      <c r="R353" s="1"/>
      <c r="S353" s="1"/>
      <c r="T353" s="1"/>
      <c r="U353" s="1"/>
      <c r="V353" s="1"/>
    </row>
    <row r="354" spans="7:22">
      <c r="G354" s="1"/>
      <c r="H354" s="1"/>
      <c r="K354" s="1"/>
      <c r="L354" s="1"/>
      <c r="O354" s="1"/>
      <c r="P354" s="1"/>
      <c r="Q354" s="1"/>
      <c r="R354" s="1"/>
      <c r="S354" s="1"/>
      <c r="T354" s="1"/>
      <c r="U354" s="1"/>
      <c r="V354" s="1"/>
    </row>
    <row r="355" spans="7:22">
      <c r="G355" s="1"/>
      <c r="H355" s="1"/>
      <c r="K355" s="1"/>
      <c r="L355" s="1"/>
      <c r="O355" s="1"/>
      <c r="P355" s="1"/>
      <c r="Q355" s="1"/>
      <c r="R355" s="1"/>
      <c r="S355" s="1"/>
      <c r="T355" s="1"/>
      <c r="U355" s="1"/>
      <c r="V355" s="1"/>
    </row>
    <row r="356" spans="7:22">
      <c r="G356" s="1"/>
      <c r="H356" s="1"/>
      <c r="K356" s="1"/>
      <c r="L356" s="1"/>
      <c r="O356" s="1"/>
      <c r="P356" s="1"/>
      <c r="Q356" s="1"/>
      <c r="R356" s="1"/>
      <c r="S356" s="1"/>
      <c r="T356" s="1"/>
      <c r="U356" s="1"/>
      <c r="V356" s="1"/>
    </row>
    <row r="357" spans="7:22">
      <c r="G357" s="1"/>
      <c r="H357" s="1"/>
      <c r="K357" s="1"/>
      <c r="L357" s="1"/>
      <c r="O357" s="1"/>
      <c r="P357" s="1"/>
      <c r="Q357" s="1"/>
      <c r="R357" s="1"/>
      <c r="S357" s="1"/>
      <c r="T357" s="1"/>
      <c r="U357" s="1"/>
      <c r="V357" s="1"/>
    </row>
    <row r="358" spans="7:22">
      <c r="G358" s="1"/>
      <c r="H358" s="1"/>
      <c r="K358" s="1"/>
      <c r="L358" s="1"/>
      <c r="O358" s="1"/>
      <c r="P358" s="1"/>
      <c r="Q358" s="1"/>
      <c r="R358" s="1"/>
      <c r="S358" s="1"/>
      <c r="T358" s="1"/>
      <c r="U358" s="1"/>
      <c r="V358" s="1"/>
    </row>
    <row r="359" spans="7:22">
      <c r="G359" s="1"/>
      <c r="H359" s="1"/>
      <c r="K359" s="1"/>
      <c r="L359" s="1"/>
      <c r="O359" s="1"/>
      <c r="P359" s="1"/>
      <c r="Q359" s="1"/>
      <c r="R359" s="1"/>
      <c r="S359" s="1"/>
      <c r="T359" s="1"/>
      <c r="U359" s="1"/>
      <c r="V359" s="1"/>
    </row>
    <row r="360" spans="7:22">
      <c r="G360" s="1"/>
      <c r="H360" s="1"/>
      <c r="K360" s="1"/>
      <c r="L360" s="1"/>
      <c r="O360" s="1"/>
      <c r="P360" s="1"/>
      <c r="Q360" s="1"/>
      <c r="R360" s="1"/>
      <c r="S360" s="1"/>
      <c r="T360" s="1"/>
      <c r="U360" s="1"/>
      <c r="V360" s="1"/>
    </row>
    <row r="361" spans="7:22">
      <c r="G361" s="1"/>
      <c r="H361" s="1"/>
      <c r="K361" s="1"/>
      <c r="L361" s="1"/>
      <c r="O361" s="1"/>
      <c r="P361" s="1"/>
      <c r="Q361" s="1"/>
      <c r="R361" s="1"/>
      <c r="S361" s="1"/>
      <c r="T361" s="1"/>
      <c r="U361" s="1"/>
      <c r="V361" s="1"/>
    </row>
    <row r="362" spans="7:22">
      <c r="G362" s="1"/>
      <c r="H362" s="1"/>
      <c r="K362" s="1"/>
      <c r="L362" s="1"/>
      <c r="O362" s="1"/>
      <c r="P362" s="1"/>
      <c r="Q362" s="1"/>
      <c r="R362" s="1"/>
      <c r="S362" s="1"/>
      <c r="T362" s="1"/>
      <c r="U362" s="1"/>
      <c r="V362" s="1"/>
    </row>
    <row r="363" spans="7:22">
      <c r="G363" s="1"/>
      <c r="H363" s="1"/>
      <c r="K363" s="1"/>
      <c r="L363" s="1"/>
      <c r="O363" s="1"/>
      <c r="P363" s="1"/>
      <c r="Q363" s="1"/>
      <c r="R363" s="1"/>
      <c r="S363" s="1"/>
      <c r="T363" s="1"/>
      <c r="U363" s="1"/>
      <c r="V363" s="1"/>
    </row>
    <row r="364" spans="7:22">
      <c r="G364" s="1"/>
      <c r="H364" s="1"/>
      <c r="K364" s="1"/>
      <c r="L364" s="1"/>
      <c r="O364" s="1"/>
      <c r="P364" s="1"/>
      <c r="Q364" s="1"/>
      <c r="R364" s="1"/>
      <c r="S364" s="1"/>
      <c r="T364" s="1"/>
      <c r="U364" s="1"/>
      <c r="V364" s="1"/>
    </row>
    <row r="365" spans="7:22">
      <c r="G365" s="1"/>
      <c r="H365" s="1"/>
      <c r="K365" s="1"/>
      <c r="L365" s="1"/>
      <c r="O365" s="1"/>
      <c r="P365" s="1"/>
      <c r="Q365" s="1"/>
      <c r="R365" s="1"/>
      <c r="S365" s="1"/>
      <c r="T365" s="1"/>
      <c r="U365" s="1"/>
      <c r="V365" s="1"/>
    </row>
    <row r="366" spans="7:22">
      <c r="G366" s="1"/>
      <c r="H366" s="1"/>
      <c r="K366" s="1"/>
      <c r="L366" s="1"/>
      <c r="O366" s="1"/>
      <c r="P366" s="1"/>
      <c r="Q366" s="1"/>
      <c r="R366" s="1"/>
      <c r="S366" s="1"/>
      <c r="T366" s="1"/>
      <c r="U366" s="1"/>
      <c r="V366" s="1"/>
    </row>
    <row r="367" spans="7:22">
      <c r="G367" s="1"/>
      <c r="H367" s="1"/>
      <c r="K367" s="1"/>
      <c r="L367" s="1"/>
      <c r="O367" s="1"/>
      <c r="P367" s="1"/>
      <c r="Q367" s="1"/>
      <c r="R367" s="1"/>
      <c r="S367" s="1"/>
      <c r="T367" s="1"/>
      <c r="U367" s="1"/>
      <c r="V367" s="1"/>
    </row>
    <row r="368" spans="7:22">
      <c r="G368" s="1"/>
      <c r="H368" s="1"/>
      <c r="K368" s="1"/>
      <c r="L368" s="1"/>
      <c r="O368" s="1"/>
      <c r="P368" s="1"/>
      <c r="Q368" s="1"/>
      <c r="R368" s="1"/>
      <c r="S368" s="1"/>
      <c r="T368" s="1"/>
      <c r="U368" s="1"/>
      <c r="V368" s="1"/>
    </row>
    <row r="369" spans="7:22">
      <c r="G369" s="1"/>
      <c r="H369" s="1"/>
      <c r="K369" s="1"/>
      <c r="L369" s="1"/>
      <c r="O369" s="1"/>
      <c r="P369" s="1"/>
      <c r="Q369" s="1"/>
      <c r="R369" s="1"/>
      <c r="S369" s="1"/>
      <c r="T369" s="1"/>
      <c r="U369" s="1"/>
      <c r="V369" s="1"/>
    </row>
    <row r="370" spans="7:22">
      <c r="G370" s="1"/>
      <c r="H370" s="1"/>
      <c r="K370" s="1"/>
      <c r="L370" s="1"/>
      <c r="O370" s="1"/>
      <c r="P370" s="1"/>
      <c r="Q370" s="1"/>
      <c r="R370" s="1"/>
      <c r="S370" s="1"/>
      <c r="T370" s="1"/>
      <c r="U370" s="1"/>
      <c r="V370" s="1"/>
    </row>
    <row r="371" spans="7:22">
      <c r="G371" s="1"/>
      <c r="H371" s="1"/>
      <c r="K371" s="1"/>
      <c r="L371" s="1"/>
      <c r="O371" s="1"/>
      <c r="P371" s="1"/>
      <c r="Q371" s="1"/>
      <c r="R371" s="1"/>
      <c r="S371" s="1"/>
      <c r="T371" s="1"/>
      <c r="U371" s="1"/>
      <c r="V371" s="1"/>
    </row>
    <row r="372" spans="7:22">
      <c r="G372" s="1"/>
      <c r="H372" s="1"/>
      <c r="K372" s="1"/>
      <c r="L372" s="1"/>
      <c r="O372" s="1"/>
      <c r="P372" s="1"/>
      <c r="Q372" s="1"/>
      <c r="R372" s="1"/>
      <c r="S372" s="1"/>
      <c r="T372" s="1"/>
      <c r="U372" s="1"/>
      <c r="V372" s="1"/>
    </row>
    <row r="373" spans="7:22">
      <c r="G373" s="1"/>
      <c r="H373" s="1"/>
      <c r="K373" s="1"/>
      <c r="L373" s="1"/>
      <c r="O373" s="1"/>
      <c r="P373" s="1"/>
      <c r="Q373" s="1"/>
      <c r="R373" s="1"/>
      <c r="S373" s="1"/>
      <c r="T373" s="1"/>
      <c r="U373" s="1"/>
      <c r="V373" s="1"/>
    </row>
    <row r="374" spans="7:22">
      <c r="G374" s="1"/>
      <c r="H374" s="1"/>
      <c r="K374" s="1"/>
      <c r="L374" s="1"/>
      <c r="O374" s="1"/>
      <c r="P374" s="1"/>
      <c r="Q374" s="1"/>
      <c r="R374" s="1"/>
      <c r="S374" s="1"/>
      <c r="T374" s="1"/>
      <c r="U374" s="1"/>
      <c r="V374" s="1"/>
    </row>
    <row r="375" spans="7:22">
      <c r="G375" s="1"/>
      <c r="H375" s="1"/>
      <c r="K375" s="1"/>
      <c r="L375" s="1"/>
      <c r="O375" s="1"/>
      <c r="P375" s="1"/>
      <c r="Q375" s="1"/>
      <c r="R375" s="1"/>
      <c r="S375" s="1"/>
      <c r="T375" s="1"/>
      <c r="U375" s="1"/>
      <c r="V375" s="1"/>
    </row>
    <row r="376" spans="7:22">
      <c r="G376" s="1"/>
      <c r="H376" s="1"/>
      <c r="K376" s="1"/>
      <c r="L376" s="1"/>
      <c r="O376" s="1"/>
      <c r="P376" s="1"/>
      <c r="Q376" s="1"/>
      <c r="R376" s="1"/>
      <c r="S376" s="1"/>
      <c r="T376" s="1"/>
      <c r="U376" s="1"/>
      <c r="V376" s="1"/>
    </row>
    <row r="377" spans="7:22">
      <c r="G377" s="1"/>
      <c r="H377" s="1"/>
      <c r="K377" s="1"/>
      <c r="L377" s="1"/>
      <c r="O377" s="1"/>
      <c r="P377" s="1"/>
      <c r="Q377" s="1"/>
      <c r="R377" s="1"/>
      <c r="S377" s="1"/>
      <c r="T377" s="1"/>
      <c r="U377" s="1"/>
      <c r="V377" s="1"/>
    </row>
    <row r="378" spans="7:22">
      <c r="G378" s="1"/>
      <c r="H378" s="1"/>
      <c r="K378" s="1"/>
      <c r="L378" s="1"/>
      <c r="O378" s="1"/>
      <c r="P378" s="1"/>
      <c r="Q378" s="1"/>
      <c r="R378" s="1"/>
      <c r="S378" s="1"/>
      <c r="T378" s="1"/>
      <c r="U378" s="1"/>
      <c r="V378" s="1"/>
    </row>
    <row r="379" spans="7:22">
      <c r="G379" s="1"/>
      <c r="H379" s="1"/>
      <c r="K379" s="1"/>
      <c r="L379" s="1"/>
      <c r="O379" s="1"/>
      <c r="P379" s="1"/>
      <c r="Q379" s="1"/>
      <c r="R379" s="1"/>
      <c r="S379" s="1"/>
      <c r="T379" s="1"/>
      <c r="U379" s="1"/>
      <c r="V379" s="1"/>
    </row>
    <row r="380" spans="7:22">
      <c r="G380" s="1"/>
      <c r="H380" s="1"/>
      <c r="K380" s="1"/>
      <c r="L380" s="1"/>
      <c r="O380" s="1"/>
      <c r="P380" s="1"/>
      <c r="Q380" s="1"/>
      <c r="R380" s="1"/>
      <c r="S380" s="1"/>
      <c r="T380" s="1"/>
      <c r="U380" s="1"/>
      <c r="V380" s="1"/>
    </row>
    <row r="381" spans="7:22">
      <c r="G381" s="1"/>
      <c r="H381" s="1"/>
      <c r="K381" s="1"/>
      <c r="L381" s="1"/>
      <c r="O381" s="1"/>
      <c r="P381" s="1"/>
      <c r="Q381" s="1"/>
      <c r="R381" s="1"/>
      <c r="S381" s="1"/>
      <c r="T381" s="1"/>
      <c r="U381" s="1"/>
      <c r="V381" s="1"/>
    </row>
    <row r="382" spans="7:22">
      <c r="G382" s="1"/>
      <c r="H382" s="1"/>
      <c r="K382" s="1"/>
      <c r="L382" s="1"/>
      <c r="O382" s="1"/>
      <c r="P382" s="1"/>
      <c r="Q382" s="1"/>
      <c r="R382" s="1"/>
      <c r="S382" s="1"/>
      <c r="T382" s="1"/>
      <c r="U382" s="1"/>
      <c r="V382" s="1"/>
    </row>
    <row r="383" spans="7:22">
      <c r="G383" s="1"/>
      <c r="H383" s="1"/>
      <c r="K383" s="1"/>
      <c r="L383" s="1"/>
      <c r="O383" s="1"/>
      <c r="P383" s="1"/>
      <c r="Q383" s="1"/>
      <c r="R383" s="1"/>
      <c r="S383" s="1"/>
      <c r="T383" s="1"/>
      <c r="U383" s="1"/>
      <c r="V383" s="1"/>
    </row>
    <row r="384" spans="7:22">
      <c r="G384" s="1"/>
      <c r="H384" s="1"/>
      <c r="K384" s="1"/>
      <c r="L384" s="1"/>
      <c r="O384" s="1"/>
      <c r="P384" s="1"/>
      <c r="Q384" s="1"/>
      <c r="R384" s="1"/>
      <c r="S384" s="1"/>
      <c r="T384" s="1"/>
      <c r="U384" s="1"/>
      <c r="V384" s="1"/>
    </row>
    <row r="385" spans="7:22">
      <c r="G385" s="1"/>
      <c r="H385" s="1"/>
      <c r="K385" s="1"/>
      <c r="L385" s="1"/>
      <c r="O385" s="1"/>
      <c r="P385" s="1"/>
      <c r="Q385" s="1"/>
      <c r="R385" s="1"/>
      <c r="S385" s="1"/>
      <c r="T385" s="1"/>
      <c r="U385" s="1"/>
      <c r="V385" s="1"/>
    </row>
    <row r="386" spans="7:22">
      <c r="G386" s="1"/>
      <c r="H386" s="1"/>
      <c r="K386" s="1"/>
      <c r="L386" s="1"/>
      <c r="O386" s="1"/>
      <c r="P386" s="1"/>
      <c r="Q386" s="1"/>
      <c r="R386" s="1"/>
      <c r="S386" s="1"/>
      <c r="T386" s="1"/>
      <c r="U386" s="1"/>
      <c r="V386" s="1"/>
    </row>
    <row r="387" spans="7:22">
      <c r="G387" s="1"/>
      <c r="H387" s="1"/>
      <c r="K387" s="1"/>
      <c r="L387" s="1"/>
      <c r="O387" s="1"/>
      <c r="P387" s="1"/>
      <c r="Q387" s="1"/>
      <c r="R387" s="1"/>
      <c r="S387" s="1"/>
      <c r="T387" s="1"/>
      <c r="U387" s="1"/>
      <c r="V387" s="1"/>
    </row>
    <row r="388" spans="7:22">
      <c r="G388" s="1"/>
      <c r="H388" s="1"/>
      <c r="K388" s="1"/>
      <c r="L388" s="1"/>
      <c r="O388" s="1"/>
      <c r="P388" s="1"/>
      <c r="Q388" s="1"/>
      <c r="R388" s="1"/>
      <c r="S388" s="1"/>
      <c r="T388" s="1"/>
      <c r="U388" s="1"/>
      <c r="V388" s="1"/>
    </row>
    <row r="389" spans="7:22">
      <c r="G389" s="1"/>
      <c r="H389" s="1"/>
      <c r="K389" s="1"/>
      <c r="L389" s="1"/>
      <c r="O389" s="1"/>
      <c r="P389" s="1"/>
      <c r="Q389" s="1"/>
      <c r="R389" s="1"/>
      <c r="S389" s="1"/>
      <c r="T389" s="1"/>
      <c r="U389" s="1"/>
      <c r="V389" s="1"/>
    </row>
    <row r="390" spans="7:22">
      <c r="G390" s="1"/>
      <c r="H390" s="1"/>
      <c r="K390" s="1"/>
      <c r="L390" s="1"/>
      <c r="O390" s="1"/>
      <c r="P390" s="1"/>
      <c r="Q390" s="1"/>
      <c r="R390" s="1"/>
      <c r="S390" s="1"/>
      <c r="T390" s="1"/>
      <c r="U390" s="1"/>
      <c r="V390" s="1"/>
    </row>
    <row r="391" spans="7:22">
      <c r="G391" s="1"/>
      <c r="H391" s="1"/>
      <c r="K391" s="1"/>
      <c r="L391" s="1"/>
      <c r="O391" s="1"/>
      <c r="P391" s="1"/>
      <c r="Q391" s="1"/>
      <c r="R391" s="1"/>
      <c r="S391" s="1"/>
      <c r="T391" s="1"/>
      <c r="U391" s="1"/>
      <c r="V391" s="1"/>
    </row>
    <row r="392" spans="7:22">
      <c r="G392" s="1"/>
      <c r="H392" s="1"/>
      <c r="K392" s="1"/>
      <c r="L392" s="1"/>
      <c r="O392" s="1"/>
      <c r="P392" s="1"/>
      <c r="Q392" s="1"/>
      <c r="R392" s="1"/>
      <c r="S392" s="1"/>
      <c r="T392" s="1"/>
      <c r="U392" s="1"/>
      <c r="V392" s="1"/>
    </row>
    <row r="393" spans="7:22">
      <c r="G393" s="1"/>
      <c r="H393" s="1"/>
      <c r="K393" s="1"/>
      <c r="L393" s="1"/>
      <c r="O393" s="1"/>
      <c r="P393" s="1"/>
      <c r="Q393" s="1"/>
      <c r="R393" s="1"/>
      <c r="S393" s="1"/>
      <c r="T393" s="1"/>
      <c r="U393" s="1"/>
      <c r="V393" s="1"/>
    </row>
    <row r="394" spans="7:22">
      <c r="G394" s="1"/>
      <c r="H394" s="1"/>
      <c r="K394" s="1"/>
      <c r="L394" s="1"/>
      <c r="O394" s="1"/>
      <c r="P394" s="1"/>
      <c r="Q394" s="1"/>
      <c r="R394" s="1"/>
      <c r="S394" s="1"/>
      <c r="T394" s="1"/>
      <c r="U394" s="1"/>
      <c r="V394" s="1"/>
    </row>
    <row r="395" spans="7:22">
      <c r="G395" s="1"/>
      <c r="H395" s="1"/>
      <c r="K395" s="1"/>
      <c r="L395" s="1"/>
      <c r="O395" s="1"/>
      <c r="P395" s="1"/>
      <c r="Q395" s="1"/>
      <c r="R395" s="1"/>
      <c r="S395" s="1"/>
      <c r="T395" s="1"/>
      <c r="U395" s="1"/>
      <c r="V395" s="1"/>
    </row>
    <row r="396" spans="7:22">
      <c r="G396" s="1"/>
      <c r="H396" s="1"/>
      <c r="K396" s="1"/>
      <c r="L396" s="1"/>
      <c r="O396" s="1"/>
      <c r="P396" s="1"/>
      <c r="Q396" s="1"/>
      <c r="R396" s="1"/>
      <c r="S396" s="1"/>
      <c r="T396" s="1"/>
      <c r="U396" s="1"/>
      <c r="V396" s="1"/>
    </row>
    <row r="397" spans="7:22">
      <c r="G397" s="1"/>
      <c r="H397" s="1"/>
      <c r="K397" s="1"/>
      <c r="L397" s="1"/>
      <c r="O397" s="1"/>
      <c r="P397" s="1"/>
      <c r="Q397" s="1"/>
      <c r="R397" s="1"/>
      <c r="S397" s="1"/>
      <c r="T397" s="1"/>
      <c r="U397" s="1"/>
      <c r="V397" s="1"/>
    </row>
    <row r="398" spans="7:22">
      <c r="G398" s="1"/>
      <c r="H398" s="1"/>
      <c r="K398" s="1"/>
      <c r="L398" s="1"/>
      <c r="O398" s="1"/>
      <c r="P398" s="1"/>
      <c r="Q398" s="1"/>
      <c r="R398" s="1"/>
      <c r="S398" s="1"/>
      <c r="T398" s="1"/>
      <c r="U398" s="1"/>
      <c r="V398" s="1"/>
    </row>
    <row r="399" spans="7:22">
      <c r="G399" s="1"/>
      <c r="H399" s="1"/>
      <c r="K399" s="1"/>
      <c r="L399" s="1"/>
      <c r="O399" s="1"/>
      <c r="P399" s="1"/>
      <c r="Q399" s="1"/>
      <c r="R399" s="1"/>
      <c r="S399" s="1"/>
      <c r="T399" s="1"/>
      <c r="U399" s="1"/>
      <c r="V399" s="1"/>
    </row>
    <row r="400" spans="7:22">
      <c r="G400" s="1"/>
      <c r="H400" s="1"/>
      <c r="K400" s="1"/>
      <c r="L400" s="1"/>
      <c r="O400" s="1"/>
      <c r="P400" s="1"/>
      <c r="Q400" s="1"/>
      <c r="R400" s="1"/>
      <c r="S400" s="1"/>
      <c r="T400" s="1"/>
      <c r="U400" s="1"/>
      <c r="V400" s="1"/>
    </row>
    <row r="401" spans="7:22">
      <c r="G401" s="1"/>
      <c r="H401" s="1"/>
      <c r="K401" s="1"/>
      <c r="L401" s="1"/>
      <c r="O401" s="1"/>
      <c r="P401" s="1"/>
      <c r="Q401" s="1"/>
      <c r="R401" s="1"/>
      <c r="S401" s="1"/>
      <c r="T401" s="1"/>
      <c r="U401" s="1"/>
      <c r="V401" s="1"/>
    </row>
    <row r="402" spans="7:22">
      <c r="G402" s="1"/>
      <c r="H402" s="1"/>
      <c r="K402" s="1"/>
      <c r="L402" s="1"/>
      <c r="O402" s="1"/>
      <c r="P402" s="1"/>
      <c r="Q402" s="1"/>
      <c r="R402" s="1"/>
      <c r="S402" s="1"/>
      <c r="T402" s="1"/>
      <c r="U402" s="1"/>
      <c r="V402" s="1"/>
    </row>
    <row r="403" spans="7:22">
      <c r="G403" s="1"/>
      <c r="H403" s="1"/>
      <c r="K403" s="1"/>
      <c r="L403" s="1"/>
      <c r="O403" s="1"/>
      <c r="P403" s="1"/>
      <c r="Q403" s="1"/>
      <c r="R403" s="1"/>
      <c r="S403" s="1"/>
      <c r="T403" s="1"/>
      <c r="U403" s="1"/>
      <c r="V403" s="1"/>
    </row>
    <row r="404" spans="7:22">
      <c r="G404" s="1"/>
      <c r="H404" s="1"/>
      <c r="K404" s="1"/>
      <c r="L404" s="1"/>
      <c r="O404" s="1"/>
      <c r="P404" s="1"/>
      <c r="Q404" s="1"/>
      <c r="R404" s="1"/>
      <c r="S404" s="1"/>
      <c r="T404" s="1"/>
      <c r="U404" s="1"/>
      <c r="V404" s="1"/>
    </row>
    <row r="405" spans="7:22">
      <c r="G405" s="1"/>
      <c r="H405" s="1"/>
      <c r="K405" s="1"/>
      <c r="L405" s="1"/>
      <c r="O405" s="1"/>
      <c r="P405" s="1"/>
      <c r="Q405" s="1"/>
      <c r="R405" s="1"/>
      <c r="S405" s="1"/>
      <c r="T405" s="1"/>
      <c r="U405" s="1"/>
      <c r="V405" s="1"/>
    </row>
    <row r="406" spans="7:22">
      <c r="G406" s="1"/>
      <c r="H406" s="1"/>
      <c r="K406" s="1"/>
      <c r="L406" s="1"/>
      <c r="O406" s="1"/>
      <c r="P406" s="1"/>
      <c r="Q406" s="1"/>
      <c r="R406" s="1"/>
      <c r="S406" s="1"/>
      <c r="T406" s="1"/>
      <c r="U406" s="1"/>
      <c r="V406" s="1"/>
    </row>
    <row r="407" spans="7:22">
      <c r="G407" s="1"/>
      <c r="H407" s="1"/>
      <c r="K407" s="1"/>
      <c r="L407" s="1"/>
      <c r="O407" s="1"/>
      <c r="P407" s="1"/>
      <c r="Q407" s="1"/>
      <c r="R407" s="1"/>
      <c r="S407" s="1"/>
      <c r="T407" s="1"/>
      <c r="U407" s="1"/>
      <c r="V407" s="1"/>
    </row>
    <row r="408" spans="7:22">
      <c r="G408" s="1"/>
      <c r="H408" s="1"/>
      <c r="K408" s="1"/>
      <c r="L408" s="1"/>
      <c r="O408" s="1"/>
      <c r="P408" s="1"/>
      <c r="Q408" s="1"/>
      <c r="R408" s="1"/>
      <c r="S408" s="1"/>
      <c r="T408" s="1"/>
      <c r="U408" s="1"/>
      <c r="V408" s="1"/>
    </row>
    <row r="409" spans="7:22">
      <c r="G409" s="1"/>
      <c r="H409" s="1"/>
      <c r="K409" s="1"/>
      <c r="L409" s="1"/>
      <c r="O409" s="1"/>
      <c r="P409" s="1"/>
      <c r="Q409" s="1"/>
      <c r="R409" s="1"/>
      <c r="S409" s="1"/>
      <c r="T409" s="1"/>
      <c r="U409" s="1"/>
      <c r="V409" s="1"/>
    </row>
    <row r="410" spans="7:22">
      <c r="G410" s="1"/>
      <c r="H410" s="1"/>
      <c r="K410" s="1"/>
      <c r="L410" s="1"/>
      <c r="O410" s="1"/>
      <c r="P410" s="1"/>
      <c r="Q410" s="1"/>
      <c r="R410" s="1"/>
      <c r="S410" s="1"/>
      <c r="T410" s="1"/>
      <c r="U410" s="1"/>
      <c r="V410" s="1"/>
    </row>
    <row r="411" spans="7:22">
      <c r="G411" s="1"/>
      <c r="H411" s="1"/>
      <c r="K411" s="1"/>
      <c r="L411" s="1"/>
      <c r="O411" s="1"/>
      <c r="P411" s="1"/>
      <c r="Q411" s="1"/>
      <c r="R411" s="1"/>
      <c r="S411" s="1"/>
      <c r="T411" s="1"/>
      <c r="U411" s="1"/>
      <c r="V411" s="1"/>
    </row>
    <row r="412" spans="7:22">
      <c r="G412" s="1"/>
      <c r="H412" s="1"/>
      <c r="K412" s="1"/>
      <c r="L412" s="1"/>
      <c r="O412" s="1"/>
      <c r="P412" s="1"/>
      <c r="Q412" s="1"/>
      <c r="R412" s="1"/>
      <c r="S412" s="1"/>
      <c r="T412" s="1"/>
      <c r="U412" s="1"/>
      <c r="V412" s="1"/>
    </row>
    <row r="413" spans="7:22">
      <c r="G413" s="1"/>
      <c r="H413" s="1"/>
      <c r="K413" s="1"/>
      <c r="L413" s="1"/>
      <c r="O413" s="1"/>
      <c r="P413" s="1"/>
      <c r="Q413" s="1"/>
      <c r="R413" s="1"/>
      <c r="S413" s="1"/>
      <c r="T413" s="1"/>
      <c r="U413" s="1"/>
      <c r="V413" s="1"/>
    </row>
    <row r="414" spans="7:22">
      <c r="G414" s="1"/>
      <c r="H414" s="1"/>
      <c r="K414" s="1"/>
      <c r="L414" s="1"/>
      <c r="O414" s="1"/>
      <c r="P414" s="1"/>
      <c r="Q414" s="1"/>
      <c r="R414" s="1"/>
      <c r="S414" s="1"/>
      <c r="T414" s="1"/>
      <c r="U414" s="1"/>
      <c r="V414" s="1"/>
    </row>
    <row r="415" spans="7:22">
      <c r="G415" s="1"/>
      <c r="H415" s="1"/>
      <c r="K415" s="1"/>
      <c r="L415" s="1"/>
      <c r="O415" s="1"/>
      <c r="P415" s="1"/>
      <c r="Q415" s="1"/>
      <c r="R415" s="1"/>
      <c r="S415" s="1"/>
      <c r="T415" s="1"/>
      <c r="U415" s="1"/>
      <c r="V415" s="1"/>
    </row>
    <row r="416" spans="7:22">
      <c r="G416" s="1"/>
      <c r="H416" s="1"/>
      <c r="K416" s="1"/>
      <c r="L416" s="1"/>
      <c r="O416" s="1"/>
      <c r="P416" s="1"/>
      <c r="Q416" s="1"/>
      <c r="R416" s="1"/>
      <c r="S416" s="1"/>
      <c r="T416" s="1"/>
      <c r="U416" s="1"/>
      <c r="V416" s="1"/>
    </row>
    <row r="417" spans="7:22">
      <c r="G417" s="1"/>
      <c r="H417" s="1"/>
      <c r="K417" s="1"/>
      <c r="L417" s="1"/>
      <c r="O417" s="1"/>
      <c r="P417" s="1"/>
      <c r="Q417" s="1"/>
      <c r="R417" s="1"/>
      <c r="S417" s="1"/>
      <c r="T417" s="1"/>
      <c r="U417" s="1"/>
      <c r="V417" s="1"/>
    </row>
    <row r="418" spans="7:22">
      <c r="G418" s="1"/>
      <c r="H418" s="1"/>
      <c r="K418" s="1"/>
      <c r="L418" s="1"/>
      <c r="O418" s="1"/>
      <c r="P418" s="1"/>
      <c r="Q418" s="1"/>
      <c r="R418" s="1"/>
      <c r="S418" s="1"/>
      <c r="T418" s="1"/>
      <c r="U418" s="1"/>
      <c r="V418" s="1"/>
    </row>
    <row r="419" spans="7:22">
      <c r="G419" s="1"/>
      <c r="H419" s="1"/>
      <c r="K419" s="1"/>
      <c r="L419" s="1"/>
      <c r="O419" s="1"/>
      <c r="P419" s="1"/>
      <c r="Q419" s="1"/>
      <c r="R419" s="1"/>
      <c r="S419" s="1"/>
      <c r="T419" s="1"/>
      <c r="U419" s="1"/>
      <c r="V419" s="1"/>
    </row>
    <row r="420" spans="7:22">
      <c r="G420" s="1"/>
      <c r="H420" s="1"/>
      <c r="K420" s="1"/>
      <c r="L420" s="1"/>
      <c r="O420" s="1"/>
      <c r="P420" s="1"/>
      <c r="Q420" s="1"/>
      <c r="R420" s="1"/>
      <c r="S420" s="1"/>
      <c r="T420" s="1"/>
      <c r="U420" s="1"/>
      <c r="V420" s="1"/>
    </row>
    <row r="421" spans="7:22">
      <c r="G421" s="1"/>
      <c r="H421" s="1"/>
      <c r="K421" s="1"/>
      <c r="L421" s="1"/>
      <c r="O421" s="1"/>
      <c r="P421" s="1"/>
      <c r="Q421" s="1"/>
      <c r="R421" s="1"/>
      <c r="S421" s="1"/>
      <c r="T421" s="1"/>
      <c r="U421" s="1"/>
      <c r="V421" s="1"/>
    </row>
    <row r="422" spans="7:22">
      <c r="G422" s="1"/>
      <c r="H422" s="1"/>
      <c r="K422" s="1"/>
      <c r="L422" s="1"/>
      <c r="O422" s="1"/>
      <c r="P422" s="1"/>
      <c r="Q422" s="1"/>
      <c r="R422" s="1"/>
      <c r="S422" s="1"/>
      <c r="T422" s="1"/>
      <c r="U422" s="1"/>
      <c r="V422" s="1"/>
    </row>
    <row r="423" spans="7:22">
      <c r="G423" s="1"/>
      <c r="H423" s="1"/>
      <c r="K423" s="1"/>
      <c r="L423" s="1"/>
      <c r="O423" s="1"/>
      <c r="P423" s="1"/>
      <c r="Q423" s="1"/>
      <c r="R423" s="1"/>
      <c r="S423" s="1"/>
      <c r="T423" s="1"/>
      <c r="U423" s="1"/>
      <c r="V423" s="1"/>
    </row>
    <row r="424" spans="7:22">
      <c r="G424" s="1"/>
      <c r="H424" s="1"/>
      <c r="K424" s="1"/>
      <c r="L424" s="1"/>
      <c r="O424" s="1"/>
      <c r="P424" s="1"/>
      <c r="Q424" s="1"/>
      <c r="R424" s="1"/>
      <c r="S424" s="1"/>
      <c r="T424" s="1"/>
      <c r="U424" s="1"/>
      <c r="V424" s="1"/>
    </row>
    <row r="425" spans="7:22">
      <c r="G425" s="1"/>
      <c r="H425" s="1"/>
      <c r="K425" s="1"/>
      <c r="L425" s="1"/>
      <c r="O425" s="1"/>
      <c r="P425" s="1"/>
      <c r="Q425" s="1"/>
      <c r="R425" s="1"/>
      <c r="S425" s="1"/>
      <c r="T425" s="1"/>
      <c r="U425" s="1"/>
      <c r="V425" s="1"/>
    </row>
    <row r="426" spans="7:22">
      <c r="G426" s="1"/>
      <c r="H426" s="1"/>
      <c r="K426" s="1"/>
      <c r="L426" s="1"/>
      <c r="O426" s="1"/>
      <c r="P426" s="1"/>
      <c r="Q426" s="1"/>
      <c r="R426" s="1"/>
      <c r="S426" s="1"/>
      <c r="T426" s="1"/>
      <c r="U426" s="1"/>
      <c r="V426" s="1"/>
    </row>
    <row r="427" spans="7:22">
      <c r="G427" s="1"/>
      <c r="H427" s="1"/>
      <c r="K427" s="1"/>
      <c r="L427" s="1"/>
      <c r="O427" s="1"/>
      <c r="P427" s="1"/>
      <c r="Q427" s="1"/>
      <c r="R427" s="1"/>
      <c r="S427" s="1"/>
      <c r="T427" s="1"/>
      <c r="U427" s="1"/>
      <c r="V427" s="1"/>
    </row>
    <row r="428" spans="7:22">
      <c r="G428" s="1"/>
      <c r="H428" s="1"/>
      <c r="K428" s="1"/>
      <c r="L428" s="1"/>
      <c r="O428" s="1"/>
      <c r="P428" s="1"/>
      <c r="Q428" s="1"/>
      <c r="R428" s="1"/>
      <c r="S428" s="1"/>
      <c r="T428" s="1"/>
      <c r="U428" s="1"/>
      <c r="V428" s="1"/>
    </row>
    <row r="429" spans="7:22">
      <c r="G429" s="1"/>
      <c r="H429" s="1"/>
      <c r="K429" s="1"/>
      <c r="L429" s="1"/>
      <c r="O429" s="1"/>
      <c r="P429" s="1"/>
      <c r="Q429" s="1"/>
      <c r="R429" s="1"/>
      <c r="S429" s="1"/>
      <c r="T429" s="1"/>
      <c r="U429" s="1"/>
      <c r="V429" s="1"/>
    </row>
    <row r="430" spans="7:22">
      <c r="G430" s="1"/>
      <c r="H430" s="1"/>
      <c r="K430" s="1"/>
      <c r="L430" s="1"/>
      <c r="O430" s="1"/>
      <c r="P430" s="1"/>
      <c r="Q430" s="1"/>
      <c r="R430" s="1"/>
      <c r="S430" s="1"/>
      <c r="T430" s="1"/>
      <c r="U430" s="1"/>
      <c r="V430" s="1"/>
    </row>
    <row r="431" spans="7:22">
      <c r="G431" s="1"/>
      <c r="H431" s="1"/>
      <c r="K431" s="1"/>
      <c r="L431" s="1"/>
      <c r="O431" s="1"/>
      <c r="P431" s="1"/>
      <c r="Q431" s="1"/>
      <c r="R431" s="1"/>
      <c r="S431" s="1"/>
      <c r="T431" s="1"/>
      <c r="U431" s="1"/>
      <c r="V431" s="1"/>
    </row>
    <row r="432" spans="7:22">
      <c r="G432" s="1"/>
      <c r="H432" s="1"/>
      <c r="K432" s="1"/>
      <c r="L432" s="1"/>
      <c r="O432" s="1"/>
      <c r="P432" s="1"/>
      <c r="Q432" s="1"/>
      <c r="R432" s="1"/>
      <c r="S432" s="1"/>
      <c r="T432" s="1"/>
      <c r="U432" s="1"/>
      <c r="V432" s="1"/>
    </row>
    <row r="433" spans="7:22">
      <c r="G433" s="1"/>
      <c r="H433" s="1"/>
      <c r="K433" s="1"/>
      <c r="L433" s="1"/>
      <c r="O433" s="1"/>
      <c r="P433" s="1"/>
      <c r="Q433" s="1"/>
      <c r="R433" s="1"/>
      <c r="S433" s="1"/>
      <c r="T433" s="1"/>
      <c r="U433" s="1"/>
      <c r="V433" s="1"/>
    </row>
    <row r="434" spans="7:22">
      <c r="G434" s="1"/>
      <c r="H434" s="1"/>
      <c r="K434" s="1"/>
      <c r="L434" s="1"/>
      <c r="O434" s="1"/>
      <c r="P434" s="1"/>
      <c r="Q434" s="1"/>
      <c r="R434" s="1"/>
      <c r="S434" s="1"/>
      <c r="T434" s="1"/>
      <c r="U434" s="1"/>
      <c r="V434" s="1"/>
    </row>
    <row r="435" spans="7:22">
      <c r="G435" s="1"/>
      <c r="H435" s="1"/>
      <c r="K435" s="1"/>
      <c r="L435" s="1"/>
      <c r="O435" s="1"/>
      <c r="P435" s="1"/>
      <c r="Q435" s="1"/>
      <c r="R435" s="1"/>
      <c r="S435" s="1"/>
      <c r="T435" s="1"/>
      <c r="U435" s="1"/>
      <c r="V435" s="1"/>
    </row>
    <row r="436" spans="7:22">
      <c r="G436" s="1"/>
      <c r="H436" s="1"/>
      <c r="K436" s="1"/>
      <c r="L436" s="1"/>
      <c r="O436" s="1"/>
      <c r="P436" s="1"/>
      <c r="Q436" s="1"/>
      <c r="R436" s="1"/>
      <c r="S436" s="1"/>
      <c r="T436" s="1"/>
      <c r="U436" s="1"/>
      <c r="V436" s="1"/>
    </row>
    <row r="437" spans="7:22">
      <c r="G437" s="1"/>
      <c r="H437" s="1"/>
      <c r="K437" s="1"/>
      <c r="L437" s="1"/>
      <c r="O437" s="1"/>
      <c r="P437" s="1"/>
      <c r="Q437" s="1"/>
      <c r="R437" s="1"/>
      <c r="S437" s="1"/>
      <c r="T437" s="1"/>
      <c r="U437" s="1"/>
      <c r="V437" s="1"/>
    </row>
    <row r="438" spans="7:22">
      <c r="G438" s="1"/>
      <c r="H438" s="1"/>
      <c r="K438" s="1"/>
      <c r="L438" s="1"/>
      <c r="O438" s="1"/>
      <c r="P438" s="1"/>
      <c r="Q438" s="1"/>
      <c r="R438" s="1"/>
      <c r="S438" s="1"/>
      <c r="T438" s="1"/>
      <c r="U438" s="1"/>
      <c r="V438" s="1"/>
    </row>
    <row r="439" spans="7:22">
      <c r="G439" s="1"/>
      <c r="H439" s="1"/>
      <c r="K439" s="1"/>
      <c r="L439" s="1"/>
      <c r="O439" s="1"/>
      <c r="P439" s="1"/>
      <c r="Q439" s="1"/>
      <c r="R439" s="1"/>
      <c r="S439" s="1"/>
      <c r="T439" s="1"/>
      <c r="U439" s="1"/>
      <c r="V439" s="1"/>
    </row>
    <row r="440" spans="7:22">
      <c r="G440" s="1"/>
      <c r="H440" s="1"/>
      <c r="K440" s="1"/>
      <c r="L440" s="1"/>
      <c r="O440" s="1"/>
      <c r="P440" s="1"/>
      <c r="Q440" s="1"/>
      <c r="R440" s="1"/>
      <c r="S440" s="1"/>
      <c r="T440" s="1"/>
      <c r="U440" s="1"/>
      <c r="V440" s="1"/>
    </row>
    <row r="441" spans="7:22">
      <c r="G441" s="1"/>
      <c r="H441" s="1"/>
      <c r="K441" s="1"/>
      <c r="L441" s="1"/>
      <c r="O441" s="1"/>
      <c r="P441" s="1"/>
      <c r="Q441" s="1"/>
      <c r="R441" s="1"/>
      <c r="S441" s="1"/>
      <c r="T441" s="1"/>
      <c r="U441" s="1"/>
      <c r="V441" s="1"/>
    </row>
    <row r="442" spans="7:22">
      <c r="G442" s="1"/>
      <c r="H442" s="1"/>
      <c r="K442" s="1"/>
      <c r="L442" s="1"/>
      <c r="O442" s="1"/>
      <c r="P442" s="1"/>
      <c r="Q442" s="1"/>
      <c r="R442" s="1"/>
      <c r="S442" s="1"/>
      <c r="T442" s="1"/>
      <c r="U442" s="1"/>
      <c r="V442" s="1"/>
    </row>
    <row r="443" spans="7:22">
      <c r="G443" s="1"/>
      <c r="H443" s="1"/>
      <c r="K443" s="1"/>
      <c r="L443" s="1"/>
      <c r="O443" s="1"/>
      <c r="P443" s="1"/>
      <c r="Q443" s="1"/>
      <c r="R443" s="1"/>
      <c r="S443" s="1"/>
      <c r="T443" s="1"/>
      <c r="U443" s="1"/>
      <c r="V443" s="1"/>
    </row>
    <row r="444" spans="7:22">
      <c r="G444" s="1"/>
      <c r="H444" s="1"/>
      <c r="K444" s="1"/>
      <c r="L444" s="1"/>
      <c r="O444" s="1"/>
      <c r="P444" s="1"/>
      <c r="Q444" s="1"/>
      <c r="R444" s="1"/>
      <c r="S444" s="1"/>
      <c r="T444" s="1"/>
      <c r="U444" s="1"/>
      <c r="V444" s="1"/>
    </row>
    <row r="445" spans="7:22">
      <c r="G445" s="1"/>
      <c r="H445" s="1"/>
      <c r="K445" s="1"/>
      <c r="L445" s="1"/>
      <c r="O445" s="1"/>
      <c r="P445" s="1"/>
      <c r="Q445" s="1"/>
      <c r="R445" s="1"/>
      <c r="S445" s="1"/>
      <c r="T445" s="1"/>
      <c r="U445" s="1"/>
      <c r="V445" s="1"/>
    </row>
    <row r="446" spans="7:22">
      <c r="G446" s="1"/>
      <c r="H446" s="1"/>
      <c r="K446" s="1"/>
      <c r="L446" s="1"/>
      <c r="O446" s="1"/>
      <c r="P446" s="1"/>
      <c r="Q446" s="1"/>
      <c r="R446" s="1"/>
      <c r="S446" s="1"/>
      <c r="T446" s="1"/>
      <c r="U446" s="1"/>
      <c r="V446" s="1"/>
    </row>
    <row r="447" spans="7:22">
      <c r="G447" s="1"/>
      <c r="H447" s="1"/>
      <c r="K447" s="1"/>
      <c r="L447" s="1"/>
      <c r="O447" s="1"/>
      <c r="P447" s="1"/>
      <c r="Q447" s="1"/>
      <c r="R447" s="1"/>
      <c r="S447" s="1"/>
      <c r="T447" s="1"/>
      <c r="U447" s="1"/>
      <c r="V447" s="1"/>
    </row>
    <row r="448" spans="7:22">
      <c r="G448" s="1"/>
      <c r="H448" s="1"/>
      <c r="K448" s="1"/>
      <c r="L448" s="1"/>
      <c r="O448" s="1"/>
      <c r="P448" s="1"/>
      <c r="Q448" s="1"/>
      <c r="R448" s="1"/>
      <c r="S448" s="1"/>
      <c r="T448" s="1"/>
      <c r="U448" s="1"/>
      <c r="V448" s="1"/>
    </row>
    <row r="449" spans="7:22">
      <c r="G449" s="1"/>
      <c r="H449" s="1"/>
      <c r="K449" s="1"/>
      <c r="L449" s="1"/>
      <c r="O449" s="1"/>
      <c r="P449" s="1"/>
      <c r="Q449" s="1"/>
      <c r="R449" s="1"/>
      <c r="S449" s="1"/>
      <c r="T449" s="1"/>
      <c r="U449" s="1"/>
      <c r="V449" s="1"/>
    </row>
    <row r="450" spans="7:22">
      <c r="G450" s="1"/>
      <c r="H450" s="1"/>
      <c r="K450" s="1"/>
      <c r="L450" s="1"/>
      <c r="O450" s="1"/>
      <c r="P450" s="1"/>
      <c r="Q450" s="1"/>
      <c r="R450" s="1"/>
      <c r="S450" s="1"/>
      <c r="T450" s="1"/>
      <c r="U450" s="1"/>
      <c r="V450" s="1"/>
    </row>
    <row r="451" spans="7:22">
      <c r="G451" s="1"/>
      <c r="H451" s="1"/>
      <c r="K451" s="1"/>
      <c r="L451" s="1"/>
      <c r="O451" s="1"/>
      <c r="P451" s="1"/>
      <c r="Q451" s="1"/>
      <c r="R451" s="1"/>
      <c r="S451" s="1"/>
      <c r="T451" s="1"/>
      <c r="U451" s="1"/>
      <c r="V451" s="1"/>
    </row>
    <row r="452" spans="7:22">
      <c r="G452" s="1"/>
      <c r="H452" s="1"/>
      <c r="K452" s="1"/>
      <c r="L452" s="1"/>
      <c r="O452" s="1"/>
      <c r="P452" s="1"/>
      <c r="Q452" s="1"/>
      <c r="R452" s="1"/>
      <c r="S452" s="1"/>
      <c r="T452" s="1"/>
      <c r="U452" s="1"/>
      <c r="V452" s="1"/>
    </row>
    <row r="453" spans="7:22">
      <c r="G453" s="1"/>
      <c r="H453" s="1"/>
      <c r="K453" s="1"/>
      <c r="L453" s="1"/>
      <c r="O453" s="1"/>
      <c r="P453" s="1"/>
      <c r="Q453" s="1"/>
      <c r="R453" s="1"/>
      <c r="S453" s="1"/>
      <c r="T453" s="1"/>
      <c r="U453" s="1"/>
      <c r="V453" s="1"/>
    </row>
    <row r="454" spans="7:22">
      <c r="G454" s="1"/>
      <c r="H454" s="1"/>
      <c r="K454" s="1"/>
      <c r="L454" s="1"/>
      <c r="O454" s="1"/>
      <c r="P454" s="1"/>
      <c r="Q454" s="1"/>
      <c r="R454" s="1"/>
      <c r="S454" s="1"/>
      <c r="T454" s="1"/>
      <c r="U454" s="1"/>
      <c r="V454" s="1"/>
    </row>
    <row r="455" spans="7:22">
      <c r="G455" s="1"/>
      <c r="H455" s="1"/>
      <c r="K455" s="1"/>
      <c r="L455" s="1"/>
      <c r="O455" s="1"/>
      <c r="P455" s="1"/>
      <c r="Q455" s="1"/>
      <c r="R455" s="1"/>
      <c r="S455" s="1"/>
      <c r="T455" s="1"/>
      <c r="U455" s="1"/>
      <c r="V455" s="1"/>
    </row>
    <row r="456" spans="7:22">
      <c r="G456" s="1"/>
      <c r="H456" s="1"/>
      <c r="K456" s="1"/>
      <c r="L456" s="1"/>
      <c r="O456" s="1"/>
      <c r="P456" s="1"/>
      <c r="Q456" s="1"/>
      <c r="R456" s="1"/>
      <c r="S456" s="1"/>
      <c r="T456" s="1"/>
      <c r="U456" s="1"/>
      <c r="V456" s="1"/>
    </row>
    <row r="457" spans="7:22">
      <c r="G457" s="1"/>
      <c r="H457" s="1"/>
      <c r="K457" s="1"/>
      <c r="L457" s="1"/>
      <c r="O457" s="1"/>
      <c r="P457" s="1"/>
      <c r="Q457" s="1"/>
      <c r="R457" s="1"/>
      <c r="S457" s="1"/>
      <c r="T457" s="1"/>
      <c r="U457" s="1"/>
      <c r="V457" s="1"/>
    </row>
    <row r="458" spans="7:22">
      <c r="G458" s="1"/>
      <c r="H458" s="1"/>
      <c r="K458" s="1"/>
      <c r="L458" s="1"/>
      <c r="O458" s="1"/>
      <c r="P458" s="1"/>
      <c r="Q458" s="1"/>
      <c r="R458" s="1"/>
      <c r="S458" s="1"/>
      <c r="T458" s="1"/>
      <c r="U458" s="1"/>
      <c r="V458" s="1"/>
    </row>
    <row r="459" spans="7:22">
      <c r="G459" s="1"/>
      <c r="H459" s="1"/>
      <c r="K459" s="1"/>
      <c r="L459" s="1"/>
      <c r="O459" s="1"/>
      <c r="P459" s="1"/>
      <c r="Q459" s="1"/>
      <c r="R459" s="1"/>
      <c r="S459" s="1"/>
      <c r="T459" s="1"/>
      <c r="U459" s="1"/>
      <c r="V459" s="1"/>
    </row>
    <row r="460" spans="7:22">
      <c r="G460" s="1"/>
      <c r="H460" s="1"/>
      <c r="K460" s="1"/>
      <c r="L460" s="1"/>
      <c r="O460" s="1"/>
      <c r="P460" s="1"/>
      <c r="Q460" s="1"/>
      <c r="R460" s="1"/>
      <c r="S460" s="1"/>
      <c r="T460" s="1"/>
      <c r="U460" s="1"/>
      <c r="V460" s="1"/>
    </row>
    <row r="461" spans="7:22">
      <c r="G461" s="1"/>
      <c r="H461" s="1"/>
      <c r="K461" s="1"/>
      <c r="L461" s="1"/>
      <c r="O461" s="1"/>
      <c r="P461" s="1"/>
      <c r="Q461" s="1"/>
      <c r="R461" s="1"/>
      <c r="S461" s="1"/>
      <c r="T461" s="1"/>
      <c r="U461" s="1"/>
      <c r="V461" s="1"/>
    </row>
    <row r="462" spans="7:22">
      <c r="G462" s="1"/>
      <c r="H462" s="1"/>
      <c r="K462" s="1"/>
      <c r="L462" s="1"/>
      <c r="O462" s="1"/>
      <c r="P462" s="1"/>
      <c r="Q462" s="1"/>
      <c r="R462" s="1"/>
      <c r="S462" s="1"/>
      <c r="T462" s="1"/>
      <c r="U462" s="1"/>
      <c r="V462" s="1"/>
    </row>
    <row r="463" spans="7:22">
      <c r="G463" s="1"/>
      <c r="H463" s="1"/>
      <c r="K463" s="1"/>
      <c r="L463" s="1"/>
      <c r="O463" s="1"/>
      <c r="P463" s="1"/>
      <c r="Q463" s="1"/>
      <c r="R463" s="1"/>
      <c r="S463" s="1"/>
      <c r="T463" s="1"/>
      <c r="U463" s="1"/>
      <c r="V463" s="1"/>
    </row>
    <row r="464" spans="7:22">
      <c r="G464" s="1"/>
      <c r="H464" s="1"/>
      <c r="K464" s="1"/>
      <c r="L464" s="1"/>
      <c r="O464" s="1"/>
      <c r="P464" s="1"/>
      <c r="Q464" s="1"/>
      <c r="R464" s="1"/>
      <c r="S464" s="1"/>
      <c r="T464" s="1"/>
      <c r="U464" s="1"/>
      <c r="V464" s="1"/>
    </row>
    <row r="465" spans="7:22">
      <c r="G465" s="1"/>
      <c r="H465" s="1"/>
      <c r="K465" s="1"/>
      <c r="L465" s="1"/>
      <c r="O465" s="1"/>
      <c r="P465" s="1"/>
      <c r="Q465" s="1"/>
      <c r="R465" s="1"/>
      <c r="S465" s="1"/>
      <c r="T465" s="1"/>
      <c r="U465" s="1"/>
      <c r="V465" s="1"/>
    </row>
    <row r="466" spans="7:22">
      <c r="G466" s="1"/>
      <c r="H466" s="1"/>
      <c r="K466" s="1"/>
      <c r="L466" s="1"/>
      <c r="O466" s="1"/>
      <c r="P466" s="1"/>
      <c r="Q466" s="1"/>
      <c r="R466" s="1"/>
      <c r="S466" s="1"/>
      <c r="T466" s="1"/>
      <c r="U466" s="1"/>
      <c r="V466" s="1"/>
    </row>
    <row r="467" spans="7:22">
      <c r="G467" s="1"/>
      <c r="H467" s="1"/>
      <c r="K467" s="1"/>
      <c r="L467" s="1"/>
      <c r="O467" s="1"/>
      <c r="P467" s="1"/>
      <c r="Q467" s="1"/>
      <c r="R467" s="1"/>
      <c r="S467" s="1"/>
      <c r="T467" s="1"/>
      <c r="U467" s="1"/>
      <c r="V467" s="1"/>
    </row>
    <row r="468" spans="7:22">
      <c r="G468" s="1"/>
      <c r="H468" s="1"/>
      <c r="K468" s="1"/>
      <c r="L468" s="1"/>
      <c r="O468" s="1"/>
      <c r="P468" s="1"/>
      <c r="Q468" s="1"/>
      <c r="R468" s="1"/>
      <c r="S468" s="1"/>
      <c r="T468" s="1"/>
      <c r="U468" s="1"/>
      <c r="V468" s="1"/>
    </row>
    <row r="469" spans="7:22">
      <c r="G469" s="1"/>
      <c r="H469" s="1"/>
      <c r="K469" s="1"/>
      <c r="L469" s="1"/>
      <c r="O469" s="1"/>
      <c r="P469" s="1"/>
      <c r="Q469" s="1"/>
      <c r="R469" s="1"/>
      <c r="S469" s="1"/>
      <c r="T469" s="1"/>
      <c r="U469" s="1"/>
      <c r="V469" s="1"/>
    </row>
    <row r="470" spans="7:22">
      <c r="G470" s="1"/>
      <c r="H470" s="1"/>
      <c r="K470" s="1"/>
      <c r="L470" s="1"/>
      <c r="O470" s="1"/>
      <c r="P470" s="1"/>
      <c r="Q470" s="1"/>
      <c r="R470" s="1"/>
      <c r="S470" s="1"/>
      <c r="T470" s="1"/>
      <c r="U470" s="1"/>
      <c r="V470" s="1"/>
    </row>
    <row r="471" spans="7:22">
      <c r="G471" s="1"/>
      <c r="H471" s="1"/>
      <c r="K471" s="1"/>
      <c r="L471" s="1"/>
      <c r="O471" s="1"/>
      <c r="P471" s="1"/>
      <c r="Q471" s="1"/>
      <c r="R471" s="1"/>
      <c r="S471" s="1"/>
      <c r="T471" s="1"/>
      <c r="U471" s="1"/>
      <c r="V471" s="1"/>
    </row>
    <row r="472" spans="7:22">
      <c r="G472" s="1"/>
      <c r="H472" s="1"/>
      <c r="K472" s="1"/>
      <c r="L472" s="1"/>
      <c r="O472" s="1"/>
      <c r="P472" s="1"/>
      <c r="Q472" s="1"/>
      <c r="R472" s="1"/>
      <c r="S472" s="1"/>
      <c r="T472" s="1"/>
      <c r="U472" s="1"/>
      <c r="V472" s="1"/>
    </row>
    <row r="473" spans="7:22">
      <c r="G473" s="1"/>
      <c r="H473" s="1"/>
      <c r="K473" s="1"/>
      <c r="L473" s="1"/>
      <c r="O473" s="1"/>
      <c r="P473" s="1"/>
      <c r="Q473" s="1"/>
      <c r="R473" s="1"/>
      <c r="S473" s="1"/>
      <c r="T473" s="1"/>
      <c r="U473" s="1"/>
      <c r="V473" s="1"/>
    </row>
    <row r="474" spans="7:22">
      <c r="G474" s="1"/>
      <c r="H474" s="1"/>
      <c r="K474" s="1"/>
      <c r="L474" s="1"/>
      <c r="O474" s="1"/>
      <c r="P474" s="1"/>
      <c r="Q474" s="1"/>
      <c r="R474" s="1"/>
      <c r="S474" s="1"/>
      <c r="T474" s="1"/>
      <c r="U474" s="1"/>
      <c r="V474" s="1"/>
    </row>
    <row r="475" spans="7:22">
      <c r="G475" s="1"/>
      <c r="H475" s="1"/>
      <c r="K475" s="1"/>
      <c r="L475" s="1"/>
      <c r="O475" s="1"/>
      <c r="P475" s="1"/>
      <c r="Q475" s="1"/>
      <c r="R475" s="1"/>
      <c r="S475" s="1"/>
      <c r="T475" s="1"/>
      <c r="U475" s="1"/>
      <c r="V475" s="1"/>
    </row>
    <row r="476" spans="7:22">
      <c r="G476" s="1"/>
      <c r="H476" s="1"/>
      <c r="K476" s="1"/>
      <c r="L476" s="1"/>
      <c r="O476" s="1"/>
      <c r="P476" s="1"/>
      <c r="Q476" s="1"/>
      <c r="R476" s="1"/>
      <c r="S476" s="1"/>
      <c r="T476" s="1"/>
      <c r="U476" s="1"/>
      <c r="V476" s="1"/>
    </row>
    <row r="477" spans="7:22">
      <c r="G477" s="1"/>
      <c r="H477" s="1"/>
      <c r="K477" s="1"/>
      <c r="L477" s="1"/>
      <c r="O477" s="1"/>
      <c r="P477" s="1"/>
      <c r="Q477" s="1"/>
      <c r="R477" s="1"/>
      <c r="S477" s="1"/>
      <c r="T477" s="1"/>
      <c r="U477" s="1"/>
      <c r="V477" s="1"/>
    </row>
    <row r="478" spans="7:22">
      <c r="G478" s="1"/>
      <c r="H478" s="1"/>
      <c r="K478" s="1"/>
      <c r="L478" s="1"/>
      <c r="O478" s="1"/>
      <c r="P478" s="1"/>
      <c r="Q478" s="1"/>
      <c r="R478" s="1"/>
      <c r="S478" s="1"/>
      <c r="T478" s="1"/>
      <c r="U478" s="1"/>
      <c r="V478" s="1"/>
    </row>
    <row r="479" spans="7:22">
      <c r="G479" s="1"/>
      <c r="H479" s="1"/>
      <c r="K479" s="1"/>
      <c r="L479" s="1"/>
      <c r="O479" s="1"/>
      <c r="P479" s="1"/>
      <c r="Q479" s="1"/>
      <c r="R479" s="1"/>
      <c r="S479" s="1"/>
      <c r="T479" s="1"/>
      <c r="U479" s="1"/>
      <c r="V479" s="1"/>
    </row>
    <row r="480" spans="7:22">
      <c r="G480" s="1"/>
      <c r="H480" s="1"/>
      <c r="K480" s="1"/>
      <c r="L480" s="1"/>
      <c r="O480" s="1"/>
      <c r="P480" s="1"/>
      <c r="Q480" s="1"/>
      <c r="R480" s="1"/>
      <c r="S480" s="1"/>
      <c r="T480" s="1"/>
      <c r="U480" s="1"/>
      <c r="V480" s="1"/>
    </row>
    <row r="481" spans="7:22">
      <c r="G481" s="1"/>
      <c r="H481" s="1"/>
      <c r="K481" s="1"/>
      <c r="L481" s="1"/>
      <c r="O481" s="1"/>
      <c r="P481" s="1"/>
      <c r="Q481" s="1"/>
      <c r="R481" s="1"/>
      <c r="S481" s="1"/>
      <c r="T481" s="1"/>
      <c r="U481" s="1"/>
      <c r="V481" s="1"/>
    </row>
    <row r="482" spans="7:22">
      <c r="G482" s="1"/>
      <c r="H482" s="1"/>
      <c r="K482" s="1"/>
      <c r="L482" s="1"/>
      <c r="O482" s="1"/>
      <c r="P482" s="1"/>
      <c r="Q482" s="1"/>
      <c r="R482" s="1"/>
      <c r="S482" s="1"/>
      <c r="T482" s="1"/>
      <c r="U482" s="1"/>
      <c r="V482" s="1"/>
    </row>
    <row r="483" spans="7:22">
      <c r="G483" s="1"/>
      <c r="H483" s="1"/>
      <c r="K483" s="1"/>
      <c r="L483" s="1"/>
      <c r="O483" s="1"/>
      <c r="P483" s="1"/>
      <c r="Q483" s="1"/>
      <c r="R483" s="1"/>
      <c r="S483" s="1"/>
      <c r="T483" s="1"/>
      <c r="U483" s="1"/>
      <c r="V483" s="1"/>
    </row>
    <row r="484" spans="7:22">
      <c r="G484" s="1"/>
      <c r="H484" s="1"/>
      <c r="K484" s="1"/>
      <c r="L484" s="1"/>
      <c r="O484" s="1"/>
      <c r="P484" s="1"/>
      <c r="Q484" s="1"/>
      <c r="R484" s="1"/>
      <c r="S484" s="1"/>
      <c r="T484" s="1"/>
      <c r="U484" s="1"/>
      <c r="V484" s="1"/>
    </row>
    <row r="485" spans="7:22">
      <c r="G485" s="1"/>
      <c r="H485" s="1"/>
      <c r="K485" s="1"/>
      <c r="L485" s="1"/>
      <c r="O485" s="1"/>
      <c r="P485" s="1"/>
      <c r="Q485" s="1"/>
      <c r="R485" s="1"/>
      <c r="S485" s="1"/>
      <c r="T485" s="1"/>
      <c r="U485" s="1"/>
      <c r="V485" s="1"/>
    </row>
    <row r="486" spans="7:22">
      <c r="G486" s="1"/>
      <c r="H486" s="1"/>
      <c r="K486" s="1"/>
      <c r="L486" s="1"/>
      <c r="O486" s="1"/>
      <c r="P486" s="1"/>
      <c r="Q486" s="1"/>
      <c r="R486" s="1"/>
      <c r="S486" s="1"/>
      <c r="T486" s="1"/>
      <c r="U486" s="1"/>
      <c r="V486" s="1"/>
    </row>
    <row r="487" spans="7:22">
      <c r="G487" s="1"/>
      <c r="H487" s="1"/>
      <c r="K487" s="1"/>
      <c r="L487" s="1"/>
      <c r="O487" s="1"/>
      <c r="P487" s="1"/>
      <c r="Q487" s="1"/>
      <c r="R487" s="1"/>
      <c r="S487" s="1"/>
      <c r="T487" s="1"/>
      <c r="U487" s="1"/>
      <c r="V487" s="1"/>
    </row>
    <row r="488" spans="7:22">
      <c r="G488" s="1"/>
      <c r="H488" s="1"/>
      <c r="K488" s="1"/>
      <c r="L488" s="1"/>
      <c r="O488" s="1"/>
      <c r="P488" s="1"/>
      <c r="Q488" s="1"/>
      <c r="R488" s="1"/>
      <c r="S488" s="1"/>
      <c r="T488" s="1"/>
      <c r="U488" s="1"/>
      <c r="V488" s="1"/>
    </row>
    <row r="489" spans="7:22">
      <c r="G489" s="1"/>
      <c r="H489" s="1"/>
      <c r="K489" s="1"/>
      <c r="L489" s="1"/>
      <c r="O489" s="1"/>
      <c r="P489" s="1"/>
      <c r="Q489" s="1"/>
      <c r="R489" s="1"/>
      <c r="S489" s="1"/>
      <c r="T489" s="1"/>
      <c r="U489" s="1"/>
      <c r="V489" s="1"/>
    </row>
    <row r="490" spans="7:22">
      <c r="G490" s="1"/>
      <c r="H490" s="1"/>
      <c r="K490" s="1"/>
      <c r="L490" s="1"/>
      <c r="O490" s="1"/>
      <c r="P490" s="1"/>
      <c r="Q490" s="1"/>
      <c r="R490" s="1"/>
      <c r="S490" s="1"/>
      <c r="T490" s="1"/>
      <c r="U490" s="1"/>
      <c r="V490" s="1"/>
    </row>
    <row r="491" spans="7:22">
      <c r="G491" s="1"/>
      <c r="H491" s="1"/>
      <c r="K491" s="1"/>
      <c r="L491" s="1"/>
      <c r="O491" s="1"/>
      <c r="P491" s="1"/>
      <c r="Q491" s="1"/>
      <c r="R491" s="1"/>
      <c r="S491" s="1"/>
      <c r="T491" s="1"/>
      <c r="U491" s="1"/>
      <c r="V491" s="1"/>
    </row>
    <row r="492" spans="7:22">
      <c r="G492" s="1"/>
      <c r="H492" s="1"/>
      <c r="K492" s="1"/>
      <c r="L492" s="1"/>
      <c r="O492" s="1"/>
      <c r="P492" s="1"/>
      <c r="Q492" s="1"/>
      <c r="R492" s="1"/>
      <c r="S492" s="1"/>
      <c r="T492" s="1"/>
      <c r="U492" s="1"/>
      <c r="V492" s="1"/>
    </row>
    <row r="493" spans="7:22">
      <c r="G493" s="1"/>
      <c r="H493" s="1"/>
      <c r="K493" s="1"/>
      <c r="L493" s="1"/>
      <c r="O493" s="1"/>
      <c r="P493" s="1"/>
      <c r="Q493" s="1"/>
      <c r="R493" s="1"/>
      <c r="S493" s="1"/>
      <c r="T493" s="1"/>
      <c r="U493" s="1"/>
      <c r="V493" s="1"/>
    </row>
    <row r="494" spans="7:22">
      <c r="G494" s="1"/>
      <c r="H494" s="1"/>
      <c r="K494" s="1"/>
      <c r="L494" s="1"/>
      <c r="O494" s="1"/>
      <c r="P494" s="1"/>
      <c r="Q494" s="1"/>
      <c r="R494" s="1"/>
      <c r="S494" s="1"/>
      <c r="T494" s="1"/>
      <c r="U494" s="1"/>
      <c r="V494" s="1"/>
    </row>
    <row r="495" spans="7:22">
      <c r="G495" s="1"/>
      <c r="H495" s="1"/>
      <c r="K495" s="1"/>
      <c r="L495" s="1"/>
      <c r="O495" s="1"/>
      <c r="P495" s="1"/>
      <c r="Q495" s="1"/>
      <c r="R495" s="1"/>
      <c r="S495" s="1"/>
      <c r="T495" s="1"/>
      <c r="U495" s="1"/>
      <c r="V495" s="1"/>
    </row>
    <row r="496" spans="7:22">
      <c r="G496" s="1"/>
      <c r="H496" s="1"/>
      <c r="K496" s="1"/>
      <c r="L496" s="1"/>
      <c r="O496" s="1"/>
      <c r="P496" s="1"/>
      <c r="Q496" s="1"/>
      <c r="R496" s="1"/>
      <c r="S496" s="1"/>
      <c r="T496" s="1"/>
      <c r="U496" s="1"/>
      <c r="V496" s="1"/>
    </row>
    <row r="497" spans="7:22">
      <c r="G497" s="1"/>
      <c r="H497" s="1"/>
      <c r="K497" s="1"/>
      <c r="L497" s="1"/>
      <c r="O497" s="1"/>
      <c r="P497" s="1"/>
      <c r="Q497" s="1"/>
      <c r="R497" s="1"/>
      <c r="S497" s="1"/>
      <c r="T497" s="1"/>
      <c r="U497" s="1"/>
      <c r="V497" s="1"/>
    </row>
    <row r="498" spans="7:22">
      <c r="G498" s="1"/>
      <c r="H498" s="1"/>
      <c r="K498" s="1"/>
      <c r="L498" s="1"/>
      <c r="O498" s="1"/>
      <c r="P498" s="1"/>
      <c r="Q498" s="1"/>
      <c r="R498" s="1"/>
      <c r="S498" s="1"/>
      <c r="T498" s="1"/>
      <c r="U498" s="1"/>
      <c r="V498" s="1"/>
    </row>
    <row r="499" spans="7:22">
      <c r="G499" s="1"/>
      <c r="H499" s="1"/>
      <c r="K499" s="1"/>
      <c r="L499" s="1"/>
      <c r="O499" s="1"/>
      <c r="P499" s="1"/>
      <c r="Q499" s="1"/>
      <c r="R499" s="1"/>
      <c r="S499" s="1"/>
      <c r="T499" s="1"/>
      <c r="U499" s="1"/>
      <c r="V499" s="1"/>
    </row>
    <row r="500" spans="7:22">
      <c r="G500" s="1"/>
      <c r="H500" s="1"/>
      <c r="K500" s="1"/>
      <c r="L500" s="1"/>
      <c r="O500" s="1"/>
      <c r="P500" s="1"/>
      <c r="Q500" s="1"/>
      <c r="R500" s="1"/>
      <c r="S500" s="1"/>
      <c r="T500" s="1"/>
      <c r="U500" s="1"/>
      <c r="V500" s="1"/>
    </row>
    <row r="501" spans="7:22">
      <c r="G501" s="1"/>
      <c r="H501" s="1"/>
      <c r="K501" s="1"/>
      <c r="L501" s="1"/>
      <c r="O501" s="1"/>
      <c r="P501" s="1"/>
      <c r="Q501" s="1"/>
      <c r="R501" s="1"/>
      <c r="S501" s="1"/>
      <c r="T501" s="1"/>
      <c r="U501" s="1"/>
      <c r="V501" s="1"/>
    </row>
    <row r="502" spans="7:22">
      <c r="G502" s="1"/>
      <c r="H502" s="1"/>
      <c r="K502" s="1"/>
      <c r="L502" s="1"/>
      <c r="O502" s="1"/>
      <c r="P502" s="1"/>
      <c r="Q502" s="1"/>
      <c r="R502" s="1"/>
      <c r="S502" s="1"/>
      <c r="T502" s="1"/>
      <c r="U502" s="1"/>
      <c r="V502" s="1"/>
    </row>
    <row r="503" spans="7:22">
      <c r="G503" s="1"/>
      <c r="H503" s="1"/>
      <c r="K503" s="1"/>
      <c r="L503" s="1"/>
      <c r="O503" s="1"/>
      <c r="P503" s="1"/>
      <c r="Q503" s="1"/>
      <c r="R503" s="1"/>
      <c r="S503" s="1"/>
      <c r="T503" s="1"/>
      <c r="U503" s="1"/>
      <c r="V503" s="1"/>
    </row>
    <row r="504" spans="7:22">
      <c r="G504" s="1"/>
      <c r="H504" s="1"/>
      <c r="K504" s="1"/>
      <c r="L504" s="1"/>
      <c r="O504" s="1"/>
      <c r="P504" s="1"/>
      <c r="Q504" s="1"/>
      <c r="R504" s="1"/>
      <c r="S504" s="1"/>
      <c r="T504" s="1"/>
      <c r="U504" s="1"/>
      <c r="V504" s="1"/>
    </row>
    <row r="505" spans="7:22">
      <c r="G505" s="1"/>
      <c r="H505" s="1"/>
      <c r="K505" s="1"/>
      <c r="L505" s="1"/>
      <c r="O505" s="1"/>
      <c r="P505" s="1"/>
      <c r="Q505" s="1"/>
      <c r="R505" s="1"/>
      <c r="S505" s="1"/>
      <c r="T505" s="1"/>
      <c r="U505" s="1"/>
      <c r="V505" s="1"/>
    </row>
    <row r="506" spans="7:22">
      <c r="G506" s="1"/>
      <c r="H506" s="1"/>
      <c r="K506" s="1"/>
      <c r="L506" s="1"/>
      <c r="O506" s="1"/>
      <c r="P506" s="1"/>
      <c r="Q506" s="1"/>
      <c r="R506" s="1"/>
      <c r="S506" s="1"/>
      <c r="T506" s="1"/>
      <c r="U506" s="1"/>
      <c r="V506" s="1"/>
    </row>
    <row r="507" spans="7:22">
      <c r="G507" s="1"/>
      <c r="H507" s="1"/>
      <c r="K507" s="1"/>
      <c r="L507" s="1"/>
      <c r="O507" s="1"/>
      <c r="P507" s="1"/>
      <c r="Q507" s="1"/>
      <c r="R507" s="1"/>
      <c r="S507" s="1"/>
      <c r="T507" s="1"/>
      <c r="U507" s="1"/>
      <c r="V507" s="1"/>
    </row>
    <row r="508" spans="7:22">
      <c r="G508" s="1"/>
      <c r="H508" s="1"/>
      <c r="K508" s="1"/>
      <c r="L508" s="1"/>
      <c r="O508" s="1"/>
      <c r="P508" s="1"/>
      <c r="Q508" s="1"/>
      <c r="R508" s="1"/>
      <c r="S508" s="1"/>
      <c r="T508" s="1"/>
      <c r="U508" s="1"/>
      <c r="V508" s="1"/>
    </row>
    <row r="509" spans="7:22">
      <c r="G509" s="1"/>
      <c r="H509" s="1"/>
      <c r="K509" s="1"/>
      <c r="L509" s="1"/>
      <c r="O509" s="1"/>
      <c r="P509" s="1"/>
      <c r="Q509" s="1"/>
      <c r="R509" s="1"/>
      <c r="S509" s="1"/>
      <c r="T509" s="1"/>
      <c r="U509" s="1"/>
      <c r="V509" s="1"/>
    </row>
    <row r="510" spans="7:22">
      <c r="G510" s="1"/>
      <c r="H510" s="1"/>
      <c r="K510" s="1"/>
      <c r="L510" s="1"/>
      <c r="O510" s="1"/>
      <c r="P510" s="1"/>
      <c r="Q510" s="1"/>
      <c r="R510" s="1"/>
      <c r="S510" s="1"/>
      <c r="T510" s="1"/>
      <c r="U510" s="1"/>
      <c r="V510" s="1"/>
    </row>
    <row r="511" spans="7:22">
      <c r="G511" s="1"/>
      <c r="H511" s="1"/>
      <c r="K511" s="1"/>
      <c r="L511" s="1"/>
      <c r="O511" s="1"/>
      <c r="P511" s="1"/>
      <c r="Q511" s="1"/>
      <c r="R511" s="1"/>
      <c r="S511" s="1"/>
      <c r="T511" s="1"/>
      <c r="U511" s="1"/>
      <c r="V511" s="1"/>
    </row>
    <row r="512" spans="7:22">
      <c r="G512" s="1"/>
      <c r="H512" s="1"/>
      <c r="K512" s="1"/>
      <c r="L512" s="1"/>
      <c r="O512" s="1"/>
      <c r="P512" s="1"/>
      <c r="Q512" s="1"/>
      <c r="R512" s="1"/>
      <c r="S512" s="1"/>
      <c r="T512" s="1"/>
      <c r="U512" s="1"/>
      <c r="V512" s="1"/>
    </row>
    <row r="513" spans="7:22">
      <c r="G513" s="1"/>
      <c r="H513" s="1"/>
      <c r="K513" s="1"/>
      <c r="L513" s="1"/>
      <c r="O513" s="1"/>
      <c r="P513" s="1"/>
      <c r="Q513" s="1"/>
      <c r="R513" s="1"/>
      <c r="S513" s="1"/>
      <c r="T513" s="1"/>
      <c r="U513" s="1"/>
      <c r="V513" s="1"/>
    </row>
    <row r="514" spans="7:22">
      <c r="G514" s="1"/>
      <c r="H514" s="1"/>
      <c r="K514" s="1"/>
      <c r="L514" s="1"/>
      <c r="O514" s="1"/>
      <c r="P514" s="1"/>
      <c r="Q514" s="1"/>
      <c r="R514" s="1"/>
      <c r="S514" s="1"/>
      <c r="T514" s="1"/>
      <c r="U514" s="1"/>
      <c r="V514" s="1"/>
    </row>
    <row r="515" spans="7:22">
      <c r="G515" s="1"/>
      <c r="H515" s="1"/>
      <c r="K515" s="1"/>
      <c r="L515" s="1"/>
      <c r="O515" s="1"/>
      <c r="P515" s="1"/>
      <c r="Q515" s="1"/>
      <c r="R515" s="1"/>
      <c r="S515" s="1"/>
      <c r="T515" s="1"/>
      <c r="U515" s="1"/>
      <c r="V515" s="1"/>
    </row>
    <row r="516" spans="7:22">
      <c r="G516" s="1"/>
      <c r="H516" s="1"/>
      <c r="K516" s="1"/>
      <c r="L516" s="1"/>
      <c r="O516" s="1"/>
      <c r="P516" s="1"/>
      <c r="Q516" s="1"/>
      <c r="R516" s="1"/>
      <c r="S516" s="1"/>
      <c r="T516" s="1"/>
      <c r="U516" s="1"/>
      <c r="V516" s="1"/>
    </row>
    <row r="517" spans="7:22">
      <c r="G517" s="1"/>
      <c r="H517" s="1"/>
      <c r="K517" s="1"/>
      <c r="L517" s="1"/>
      <c r="O517" s="1"/>
      <c r="P517" s="1"/>
      <c r="Q517" s="1"/>
      <c r="R517" s="1"/>
      <c r="S517" s="1"/>
      <c r="T517" s="1"/>
      <c r="U517" s="1"/>
      <c r="V517" s="1"/>
    </row>
    <row r="518" spans="7:22">
      <c r="G518" s="1"/>
      <c r="H518" s="1"/>
      <c r="K518" s="1"/>
      <c r="L518" s="1"/>
      <c r="O518" s="1"/>
      <c r="P518" s="1"/>
      <c r="Q518" s="1"/>
      <c r="R518" s="1"/>
      <c r="S518" s="1"/>
      <c r="T518" s="1"/>
      <c r="U518" s="1"/>
      <c r="V518" s="1"/>
    </row>
    <row r="519" spans="7:22">
      <c r="G519" s="1"/>
      <c r="H519" s="1"/>
      <c r="K519" s="1"/>
      <c r="L519" s="1"/>
      <c r="O519" s="1"/>
      <c r="P519" s="1"/>
      <c r="Q519" s="1"/>
      <c r="R519" s="1"/>
      <c r="S519" s="1"/>
      <c r="T519" s="1"/>
      <c r="U519" s="1"/>
      <c r="V519" s="1"/>
    </row>
    <row r="520" spans="7:22">
      <c r="G520" s="1"/>
      <c r="H520" s="1"/>
      <c r="K520" s="1"/>
      <c r="L520" s="1"/>
      <c r="O520" s="1"/>
      <c r="P520" s="1"/>
      <c r="Q520" s="1"/>
      <c r="R520" s="1"/>
      <c r="S520" s="1"/>
      <c r="T520" s="1"/>
      <c r="U520" s="1"/>
      <c r="V520" s="1"/>
    </row>
    <row r="521" spans="7:22">
      <c r="G521" s="1"/>
      <c r="H521" s="1"/>
      <c r="K521" s="1"/>
      <c r="L521" s="1"/>
      <c r="O521" s="1"/>
      <c r="P521" s="1"/>
      <c r="Q521" s="1"/>
      <c r="R521" s="1"/>
      <c r="S521" s="1"/>
      <c r="T521" s="1"/>
      <c r="U521" s="1"/>
      <c r="V521" s="1"/>
    </row>
    <row r="522" spans="7:22">
      <c r="G522" s="1"/>
      <c r="H522" s="1"/>
      <c r="K522" s="1"/>
      <c r="L522" s="1"/>
      <c r="O522" s="1"/>
      <c r="P522" s="1"/>
      <c r="Q522" s="1"/>
      <c r="R522" s="1"/>
      <c r="S522" s="1"/>
      <c r="T522" s="1"/>
      <c r="U522" s="1"/>
      <c r="V522" s="1"/>
    </row>
    <row r="523" spans="7:22">
      <c r="G523" s="1"/>
      <c r="H523" s="1"/>
      <c r="K523" s="1"/>
      <c r="L523" s="1"/>
      <c r="O523" s="1"/>
      <c r="P523" s="1"/>
      <c r="Q523" s="1"/>
      <c r="R523" s="1"/>
      <c r="S523" s="1"/>
      <c r="T523" s="1"/>
      <c r="U523" s="1"/>
      <c r="V523" s="1"/>
    </row>
    <row r="524" spans="7:22">
      <c r="G524" s="1"/>
      <c r="H524" s="1"/>
      <c r="K524" s="1"/>
      <c r="L524" s="1"/>
      <c r="O524" s="1"/>
      <c r="P524" s="1"/>
      <c r="Q524" s="1"/>
      <c r="R524" s="1"/>
      <c r="S524" s="1"/>
      <c r="T524" s="1"/>
      <c r="U524" s="1"/>
      <c r="V524" s="1"/>
    </row>
    <row r="525" spans="7:22">
      <c r="G525" s="1"/>
      <c r="H525" s="1"/>
      <c r="K525" s="1"/>
      <c r="L525" s="1"/>
      <c r="O525" s="1"/>
      <c r="P525" s="1"/>
      <c r="Q525" s="1"/>
      <c r="R525" s="1"/>
      <c r="S525" s="1"/>
      <c r="T525" s="1"/>
      <c r="U525" s="1"/>
      <c r="V525" s="1"/>
    </row>
    <row r="526" spans="7:22">
      <c r="G526" s="1"/>
      <c r="H526" s="1"/>
      <c r="K526" s="1"/>
      <c r="L526" s="1"/>
      <c r="O526" s="1"/>
      <c r="P526" s="1"/>
      <c r="Q526" s="1"/>
      <c r="R526" s="1"/>
      <c r="S526" s="1"/>
      <c r="T526" s="1"/>
      <c r="U526" s="1"/>
      <c r="V526" s="1"/>
    </row>
    <row r="527" spans="7:22">
      <c r="G527" s="1"/>
      <c r="H527" s="1"/>
      <c r="K527" s="1"/>
      <c r="L527" s="1"/>
      <c r="O527" s="1"/>
      <c r="P527" s="1"/>
      <c r="Q527" s="1"/>
      <c r="R527" s="1"/>
      <c r="S527" s="1"/>
      <c r="T527" s="1"/>
      <c r="U527" s="1"/>
      <c r="V527" s="1"/>
    </row>
    <row r="528" spans="7:22">
      <c r="G528" s="1"/>
      <c r="H528" s="1"/>
      <c r="K528" s="1"/>
      <c r="L528" s="1"/>
      <c r="O528" s="1"/>
      <c r="P528" s="1"/>
      <c r="Q528" s="1"/>
      <c r="R528" s="1"/>
      <c r="S528" s="1"/>
      <c r="T528" s="1"/>
      <c r="U528" s="1"/>
      <c r="V528" s="1"/>
    </row>
    <row r="529" spans="7:22">
      <c r="G529" s="1"/>
      <c r="H529" s="1"/>
      <c r="K529" s="1"/>
      <c r="L529" s="1"/>
      <c r="O529" s="1"/>
      <c r="P529" s="1"/>
      <c r="Q529" s="1"/>
      <c r="R529" s="1"/>
      <c r="S529" s="1"/>
      <c r="T529" s="1"/>
      <c r="U529" s="1"/>
      <c r="V529" s="1"/>
    </row>
    <row r="530" spans="7:22">
      <c r="G530" s="1"/>
      <c r="H530" s="1"/>
      <c r="K530" s="1"/>
      <c r="L530" s="1"/>
      <c r="O530" s="1"/>
      <c r="P530" s="1"/>
      <c r="Q530" s="1"/>
      <c r="R530" s="1"/>
      <c r="S530" s="1"/>
      <c r="T530" s="1"/>
      <c r="U530" s="1"/>
      <c r="V530" s="1"/>
    </row>
    <row r="531" spans="7:22">
      <c r="G531" s="1"/>
      <c r="H531" s="1"/>
      <c r="K531" s="1"/>
      <c r="L531" s="1"/>
      <c r="O531" s="1"/>
      <c r="P531" s="1"/>
      <c r="Q531" s="1"/>
      <c r="R531" s="1"/>
      <c r="S531" s="1"/>
      <c r="T531" s="1"/>
      <c r="U531" s="1"/>
      <c r="V531" s="1"/>
    </row>
    <row r="532" spans="7:22">
      <c r="G532" s="1"/>
      <c r="H532" s="1"/>
      <c r="K532" s="1"/>
      <c r="L532" s="1"/>
      <c r="O532" s="1"/>
      <c r="P532" s="1"/>
      <c r="Q532" s="1"/>
      <c r="R532" s="1"/>
      <c r="S532" s="1"/>
      <c r="T532" s="1"/>
      <c r="U532" s="1"/>
      <c r="V532" s="1"/>
    </row>
    <row r="533" spans="7:22">
      <c r="G533" s="1"/>
      <c r="H533" s="1"/>
      <c r="K533" s="1"/>
      <c r="L533" s="1"/>
      <c r="O533" s="1"/>
      <c r="P533" s="1"/>
      <c r="Q533" s="1"/>
      <c r="R533" s="1"/>
      <c r="S533" s="1"/>
      <c r="T533" s="1"/>
      <c r="U533" s="1"/>
      <c r="V533" s="1"/>
    </row>
    <row r="534" spans="7:22">
      <c r="G534" s="1"/>
      <c r="H534" s="1"/>
      <c r="K534" s="1"/>
      <c r="L534" s="1"/>
      <c r="O534" s="1"/>
      <c r="P534" s="1"/>
      <c r="Q534" s="1"/>
      <c r="R534" s="1"/>
      <c r="S534" s="1"/>
      <c r="T534" s="1"/>
      <c r="U534" s="1"/>
      <c r="V534" s="1"/>
    </row>
    <row r="535" spans="7:22">
      <c r="G535" s="1"/>
      <c r="H535" s="1"/>
      <c r="K535" s="1"/>
      <c r="L535" s="1"/>
      <c r="O535" s="1"/>
      <c r="P535" s="1"/>
      <c r="Q535" s="1"/>
      <c r="R535" s="1"/>
      <c r="S535" s="1"/>
      <c r="T535" s="1"/>
      <c r="U535" s="1"/>
      <c r="V535" s="1"/>
    </row>
    <row r="536" spans="7:22">
      <c r="G536" s="1"/>
      <c r="H536" s="1"/>
      <c r="K536" s="1"/>
      <c r="L536" s="1"/>
      <c r="O536" s="1"/>
      <c r="P536" s="1"/>
      <c r="Q536" s="1"/>
      <c r="R536" s="1"/>
      <c r="S536" s="1"/>
      <c r="T536" s="1"/>
      <c r="U536" s="1"/>
      <c r="V536" s="1"/>
    </row>
    <row r="537" spans="7:22">
      <c r="G537" s="1"/>
      <c r="H537" s="1"/>
      <c r="K537" s="1"/>
      <c r="L537" s="1"/>
      <c r="O537" s="1"/>
      <c r="P537" s="1"/>
      <c r="Q537" s="1"/>
      <c r="R537" s="1"/>
      <c r="S537" s="1"/>
      <c r="T537" s="1"/>
      <c r="U537" s="1"/>
      <c r="V537" s="1"/>
    </row>
    <row r="538" spans="7:22">
      <c r="G538" s="1"/>
      <c r="H538" s="1"/>
      <c r="K538" s="1"/>
      <c r="L538" s="1"/>
      <c r="O538" s="1"/>
      <c r="P538" s="1"/>
      <c r="Q538" s="1"/>
      <c r="R538" s="1"/>
      <c r="S538" s="1"/>
      <c r="T538" s="1"/>
      <c r="U538" s="1"/>
      <c r="V538" s="1"/>
    </row>
    <row r="539" spans="7:22">
      <c r="G539" s="1"/>
      <c r="H539" s="1"/>
      <c r="K539" s="1"/>
      <c r="L539" s="1"/>
      <c r="O539" s="1"/>
      <c r="P539" s="1"/>
      <c r="Q539" s="1"/>
      <c r="R539" s="1"/>
      <c r="S539" s="1"/>
      <c r="T539" s="1"/>
      <c r="U539" s="1"/>
      <c r="V539" s="1"/>
    </row>
    <row r="540" spans="7:22">
      <c r="G540" s="1"/>
      <c r="H540" s="1"/>
      <c r="K540" s="1"/>
      <c r="L540" s="1"/>
      <c r="O540" s="1"/>
      <c r="P540" s="1"/>
      <c r="Q540" s="1"/>
      <c r="R540" s="1"/>
      <c r="S540" s="1"/>
      <c r="T540" s="1"/>
      <c r="U540" s="1"/>
      <c r="V540" s="1"/>
    </row>
    <row r="541" spans="7:22">
      <c r="G541" s="1"/>
      <c r="H541" s="1"/>
      <c r="K541" s="1"/>
      <c r="L541" s="1"/>
      <c r="O541" s="1"/>
      <c r="P541" s="1"/>
      <c r="Q541" s="1"/>
      <c r="R541" s="1"/>
      <c r="S541" s="1"/>
      <c r="T541" s="1"/>
      <c r="U541" s="1"/>
      <c r="V541" s="1"/>
    </row>
    <row r="542" spans="7:22">
      <c r="G542" s="1"/>
      <c r="H542" s="1"/>
      <c r="K542" s="1"/>
      <c r="L542" s="1"/>
      <c r="O542" s="1"/>
      <c r="P542" s="1"/>
      <c r="Q542" s="1"/>
      <c r="R542" s="1"/>
      <c r="S542" s="1"/>
      <c r="T542" s="1"/>
      <c r="U542" s="1"/>
      <c r="V542" s="1"/>
    </row>
    <row r="543" spans="7:22">
      <c r="G543" s="1"/>
      <c r="H543" s="1"/>
      <c r="K543" s="1"/>
      <c r="L543" s="1"/>
      <c r="O543" s="1"/>
      <c r="P543" s="1"/>
      <c r="Q543" s="1"/>
      <c r="R543" s="1"/>
      <c r="S543" s="1"/>
      <c r="T543" s="1"/>
      <c r="U543" s="1"/>
      <c r="V543" s="1"/>
    </row>
    <row r="544" spans="7:22">
      <c r="G544" s="1"/>
      <c r="H544" s="1"/>
      <c r="K544" s="1"/>
      <c r="L544" s="1"/>
      <c r="O544" s="1"/>
      <c r="P544" s="1"/>
      <c r="Q544" s="1"/>
      <c r="R544" s="1"/>
      <c r="S544" s="1"/>
      <c r="T544" s="1"/>
      <c r="U544" s="1"/>
      <c r="V544" s="1"/>
    </row>
    <row r="545" spans="7:22">
      <c r="G545" s="1"/>
      <c r="H545" s="1"/>
      <c r="K545" s="1"/>
      <c r="L545" s="1"/>
      <c r="O545" s="1"/>
      <c r="P545" s="1"/>
      <c r="Q545" s="1"/>
      <c r="R545" s="1"/>
      <c r="S545" s="1"/>
      <c r="T545" s="1"/>
      <c r="U545" s="1"/>
      <c r="V545" s="1"/>
    </row>
    <row r="546" spans="7:22">
      <c r="G546" s="1"/>
      <c r="H546" s="1"/>
      <c r="K546" s="1"/>
      <c r="L546" s="1"/>
      <c r="O546" s="1"/>
      <c r="P546" s="1"/>
      <c r="Q546" s="1"/>
      <c r="R546" s="1"/>
      <c r="S546" s="1"/>
      <c r="T546" s="1"/>
      <c r="U546" s="1"/>
      <c r="V546" s="1"/>
    </row>
    <row r="547" spans="7:22">
      <c r="G547" s="1"/>
      <c r="H547" s="1"/>
      <c r="K547" s="1"/>
      <c r="L547" s="1"/>
      <c r="O547" s="1"/>
      <c r="P547" s="1"/>
      <c r="Q547" s="1"/>
      <c r="R547" s="1"/>
      <c r="S547" s="1"/>
      <c r="T547" s="1"/>
      <c r="U547" s="1"/>
      <c r="V547" s="1"/>
    </row>
    <row r="548" spans="7:22">
      <c r="G548" s="1"/>
      <c r="H548" s="1"/>
      <c r="K548" s="1"/>
      <c r="L548" s="1"/>
      <c r="O548" s="1"/>
      <c r="P548" s="1"/>
      <c r="Q548" s="1"/>
      <c r="R548" s="1"/>
      <c r="S548" s="1"/>
      <c r="T548" s="1"/>
      <c r="U548" s="1"/>
      <c r="V548" s="1"/>
    </row>
    <row r="549" spans="7:22">
      <c r="G549" s="1"/>
      <c r="H549" s="1"/>
      <c r="K549" s="1"/>
      <c r="L549" s="1"/>
      <c r="O549" s="1"/>
      <c r="P549" s="1"/>
      <c r="Q549" s="1"/>
      <c r="R549" s="1"/>
      <c r="S549" s="1"/>
      <c r="T549" s="1"/>
      <c r="U549" s="1"/>
      <c r="V549" s="1"/>
    </row>
    <row r="550" spans="7:22">
      <c r="G550" s="1"/>
      <c r="H550" s="1"/>
      <c r="K550" s="1"/>
      <c r="L550" s="1"/>
      <c r="O550" s="1"/>
      <c r="P550" s="1"/>
      <c r="Q550" s="1"/>
      <c r="R550" s="1"/>
      <c r="S550" s="1"/>
      <c r="T550" s="1"/>
      <c r="U550" s="1"/>
      <c r="V550" s="1"/>
    </row>
    <row r="551" spans="7:22">
      <c r="G551" s="1"/>
      <c r="H551" s="1"/>
      <c r="K551" s="1"/>
      <c r="L551" s="1"/>
      <c r="O551" s="1"/>
      <c r="P551" s="1"/>
      <c r="Q551" s="1"/>
      <c r="R551" s="1"/>
      <c r="S551" s="1"/>
      <c r="T551" s="1"/>
      <c r="U551" s="1"/>
      <c r="V551" s="1"/>
    </row>
    <row r="552" spans="7:22">
      <c r="G552" s="1"/>
      <c r="H552" s="1"/>
      <c r="K552" s="1"/>
      <c r="L552" s="1"/>
      <c r="O552" s="1"/>
      <c r="P552" s="1"/>
      <c r="Q552" s="1"/>
      <c r="R552" s="1"/>
      <c r="S552" s="1"/>
      <c r="T552" s="1"/>
      <c r="U552" s="1"/>
      <c r="V552" s="1"/>
    </row>
    <row r="553" spans="7:22">
      <c r="G553" s="1"/>
      <c r="H553" s="1"/>
      <c r="K553" s="1"/>
      <c r="L553" s="1"/>
      <c r="O553" s="1"/>
      <c r="P553" s="1"/>
      <c r="Q553" s="1"/>
      <c r="R553" s="1"/>
      <c r="S553" s="1"/>
      <c r="T553" s="1"/>
      <c r="U553" s="1"/>
      <c r="V553" s="1"/>
    </row>
    <row r="554" spans="7:22">
      <c r="G554" s="1"/>
      <c r="H554" s="1"/>
      <c r="K554" s="1"/>
      <c r="L554" s="1"/>
      <c r="O554" s="1"/>
      <c r="P554" s="1"/>
      <c r="Q554" s="1"/>
      <c r="R554" s="1"/>
      <c r="S554" s="1"/>
      <c r="T554" s="1"/>
      <c r="U554" s="1"/>
      <c r="V554" s="1"/>
    </row>
    <row r="555" spans="7:22">
      <c r="G555" s="1"/>
      <c r="H555" s="1"/>
      <c r="K555" s="1"/>
      <c r="L555" s="1"/>
      <c r="O555" s="1"/>
      <c r="P555" s="1"/>
      <c r="Q555" s="1"/>
      <c r="R555" s="1"/>
      <c r="S555" s="1"/>
      <c r="T555" s="1"/>
      <c r="U555" s="1"/>
      <c r="V555" s="1"/>
    </row>
    <row r="556" spans="7:22">
      <c r="G556" s="1"/>
      <c r="H556" s="1"/>
      <c r="K556" s="1"/>
      <c r="L556" s="1"/>
      <c r="O556" s="1"/>
      <c r="P556" s="1"/>
      <c r="Q556" s="1"/>
      <c r="R556" s="1"/>
      <c r="S556" s="1"/>
      <c r="T556" s="1"/>
      <c r="U556" s="1"/>
      <c r="V556" s="1"/>
    </row>
    <row r="557" spans="7:22">
      <c r="G557" s="1"/>
      <c r="H557" s="1"/>
      <c r="K557" s="1"/>
      <c r="L557" s="1"/>
      <c r="O557" s="1"/>
      <c r="P557" s="1"/>
      <c r="Q557" s="1"/>
      <c r="R557" s="1"/>
      <c r="S557" s="1"/>
      <c r="T557" s="1"/>
      <c r="U557" s="1"/>
      <c r="V557" s="1"/>
    </row>
    <row r="558" spans="7:22">
      <c r="G558" s="1"/>
      <c r="H558" s="1"/>
      <c r="K558" s="1"/>
      <c r="L558" s="1"/>
      <c r="O558" s="1"/>
      <c r="P558" s="1"/>
      <c r="Q558" s="1"/>
      <c r="R558" s="1"/>
      <c r="S558" s="1"/>
      <c r="T558" s="1"/>
      <c r="U558" s="1"/>
      <c r="V558" s="1"/>
    </row>
    <row r="559" spans="7:22">
      <c r="G559" s="1"/>
      <c r="H559" s="1"/>
      <c r="K559" s="1"/>
      <c r="L559" s="1"/>
      <c r="O559" s="1"/>
      <c r="P559" s="1"/>
      <c r="Q559" s="1"/>
      <c r="R559" s="1"/>
      <c r="S559" s="1"/>
      <c r="T559" s="1"/>
      <c r="U559" s="1"/>
      <c r="V559" s="1"/>
    </row>
    <row r="560" spans="7:22">
      <c r="G560" s="1"/>
      <c r="H560" s="1"/>
      <c r="K560" s="1"/>
      <c r="L560" s="1"/>
      <c r="O560" s="1"/>
      <c r="P560" s="1"/>
      <c r="Q560" s="1"/>
      <c r="R560" s="1"/>
      <c r="S560" s="1"/>
      <c r="T560" s="1"/>
      <c r="U560" s="1"/>
      <c r="V560" s="1"/>
    </row>
    <row r="561" spans="7:22">
      <c r="G561" s="1"/>
      <c r="H561" s="1"/>
      <c r="K561" s="1"/>
      <c r="L561" s="1"/>
      <c r="O561" s="1"/>
      <c r="P561" s="1"/>
      <c r="Q561" s="1"/>
      <c r="R561" s="1"/>
      <c r="S561" s="1"/>
      <c r="T561" s="1"/>
      <c r="U561" s="1"/>
      <c r="V561" s="1"/>
    </row>
    <row r="562" spans="7:22">
      <c r="G562" s="1"/>
      <c r="H562" s="1"/>
      <c r="K562" s="1"/>
      <c r="L562" s="1"/>
      <c r="O562" s="1"/>
      <c r="P562" s="1"/>
      <c r="Q562" s="1"/>
      <c r="R562" s="1"/>
      <c r="S562" s="1"/>
      <c r="T562" s="1"/>
      <c r="U562" s="1"/>
      <c r="V562" s="1"/>
    </row>
    <row r="563" spans="7:22">
      <c r="G563" s="1"/>
      <c r="H563" s="1"/>
      <c r="K563" s="1"/>
      <c r="L563" s="1"/>
      <c r="O563" s="1"/>
      <c r="P563" s="1"/>
      <c r="Q563" s="1"/>
      <c r="R563" s="1"/>
      <c r="S563" s="1"/>
      <c r="T563" s="1"/>
      <c r="U563" s="1"/>
      <c r="V563" s="1"/>
    </row>
    <row r="564" spans="7:22">
      <c r="G564" s="1"/>
      <c r="H564" s="1"/>
      <c r="K564" s="1"/>
      <c r="L564" s="1"/>
      <c r="O564" s="1"/>
      <c r="P564" s="1"/>
      <c r="Q564" s="1"/>
      <c r="R564" s="1"/>
      <c r="S564" s="1"/>
      <c r="T564" s="1"/>
      <c r="U564" s="1"/>
      <c r="V564" s="1"/>
    </row>
    <row r="565" spans="7:22">
      <c r="G565" s="1"/>
      <c r="H565" s="1"/>
      <c r="K565" s="1"/>
      <c r="L565" s="1"/>
      <c r="O565" s="1"/>
      <c r="P565" s="1"/>
      <c r="Q565" s="1"/>
      <c r="R565" s="1"/>
      <c r="S565" s="1"/>
      <c r="T565" s="1"/>
      <c r="U565" s="1"/>
      <c r="V565" s="1"/>
    </row>
    <row r="566" spans="7:22">
      <c r="G566" s="1"/>
      <c r="H566" s="1"/>
      <c r="K566" s="1"/>
      <c r="L566" s="1"/>
      <c r="O566" s="1"/>
      <c r="P566" s="1"/>
      <c r="Q566" s="1"/>
      <c r="R566" s="1"/>
      <c r="S566" s="1"/>
      <c r="T566" s="1"/>
      <c r="U566" s="1"/>
      <c r="V566" s="1"/>
    </row>
    <row r="567" spans="7:22">
      <c r="G567" s="1"/>
      <c r="H567" s="1"/>
      <c r="K567" s="1"/>
      <c r="L567" s="1"/>
      <c r="O567" s="1"/>
      <c r="P567" s="1"/>
      <c r="Q567" s="1"/>
      <c r="R567" s="1"/>
      <c r="S567" s="1"/>
      <c r="T567" s="1"/>
      <c r="U567" s="1"/>
      <c r="V567" s="1"/>
    </row>
    <row r="568" spans="7:22">
      <c r="G568" s="1"/>
      <c r="H568" s="1"/>
      <c r="K568" s="1"/>
      <c r="L568" s="1"/>
      <c r="O568" s="1"/>
      <c r="P568" s="1"/>
      <c r="Q568" s="1"/>
      <c r="R568" s="1"/>
      <c r="S568" s="1"/>
      <c r="T568" s="1"/>
      <c r="U568" s="1"/>
      <c r="V568" s="1"/>
    </row>
    <row r="569" spans="7:22">
      <c r="G569" s="1"/>
      <c r="H569" s="1"/>
      <c r="K569" s="1"/>
      <c r="L569" s="1"/>
      <c r="O569" s="1"/>
      <c r="P569" s="1"/>
      <c r="Q569" s="1"/>
      <c r="R569" s="1"/>
      <c r="S569" s="1"/>
      <c r="T569" s="1"/>
      <c r="U569" s="1"/>
      <c r="V569" s="1"/>
    </row>
    <row r="570" spans="7:22">
      <c r="G570" s="1"/>
      <c r="H570" s="1"/>
      <c r="K570" s="1"/>
      <c r="L570" s="1"/>
      <c r="O570" s="1"/>
      <c r="P570" s="1"/>
      <c r="Q570" s="1"/>
      <c r="R570" s="1"/>
      <c r="S570" s="1"/>
      <c r="T570" s="1"/>
      <c r="U570" s="1"/>
      <c r="V570" s="1"/>
    </row>
    <row r="571" spans="7:22">
      <c r="G571" s="1"/>
      <c r="H571" s="1"/>
      <c r="K571" s="1"/>
      <c r="L571" s="1"/>
      <c r="O571" s="1"/>
      <c r="P571" s="1"/>
      <c r="Q571" s="1"/>
      <c r="R571" s="1"/>
      <c r="S571" s="1"/>
      <c r="T571" s="1"/>
      <c r="U571" s="1"/>
      <c r="V571" s="1"/>
    </row>
    <row r="572" spans="7:22">
      <c r="G572" s="1"/>
      <c r="H572" s="1"/>
      <c r="K572" s="1"/>
      <c r="L572" s="1"/>
      <c r="O572" s="1"/>
      <c r="P572" s="1"/>
      <c r="Q572" s="1"/>
      <c r="R572" s="1"/>
      <c r="S572" s="1"/>
      <c r="T572" s="1"/>
      <c r="U572" s="1"/>
      <c r="V572" s="1"/>
    </row>
    <row r="573" spans="7:22">
      <c r="G573" s="1"/>
      <c r="H573" s="1"/>
      <c r="K573" s="1"/>
      <c r="L573" s="1"/>
      <c r="O573" s="1"/>
      <c r="P573" s="1"/>
      <c r="Q573" s="1"/>
      <c r="R573" s="1"/>
      <c r="S573" s="1"/>
      <c r="T573" s="1"/>
      <c r="U573" s="1"/>
      <c r="V573" s="1"/>
    </row>
    <row r="574" spans="7:22">
      <c r="G574" s="1"/>
      <c r="H574" s="1"/>
      <c r="K574" s="1"/>
      <c r="L574" s="1"/>
      <c r="O574" s="1"/>
      <c r="P574" s="1"/>
      <c r="Q574" s="1"/>
      <c r="R574" s="1"/>
      <c r="S574" s="1"/>
      <c r="T574" s="1"/>
      <c r="U574" s="1"/>
      <c r="V574" s="1"/>
    </row>
    <row r="575" spans="7:22">
      <c r="G575" s="1"/>
      <c r="H575" s="1"/>
      <c r="K575" s="1"/>
      <c r="L575" s="1"/>
      <c r="O575" s="1"/>
      <c r="P575" s="1"/>
      <c r="Q575" s="1"/>
      <c r="R575" s="1"/>
      <c r="S575" s="1"/>
      <c r="T575" s="1"/>
      <c r="U575" s="1"/>
      <c r="V575" s="1"/>
    </row>
    <row r="576" spans="7:22">
      <c r="G576" s="1"/>
      <c r="H576" s="1"/>
      <c r="K576" s="1"/>
      <c r="L576" s="1"/>
      <c r="O576" s="1"/>
      <c r="P576" s="1"/>
      <c r="Q576" s="1"/>
      <c r="R576" s="1"/>
      <c r="S576" s="1"/>
      <c r="T576" s="1"/>
      <c r="U576" s="1"/>
      <c r="V576" s="1"/>
    </row>
    <row r="577" spans="7:22">
      <c r="G577" s="1"/>
      <c r="H577" s="1"/>
      <c r="K577" s="1"/>
      <c r="L577" s="1"/>
      <c r="O577" s="1"/>
      <c r="P577" s="1"/>
      <c r="Q577" s="1"/>
      <c r="R577" s="1"/>
      <c r="S577" s="1"/>
      <c r="T577" s="1"/>
      <c r="U577" s="1"/>
      <c r="V577" s="1"/>
    </row>
    <row r="578" spans="7:22">
      <c r="G578" s="1"/>
      <c r="H578" s="1"/>
      <c r="K578" s="1"/>
      <c r="L578" s="1"/>
      <c r="O578" s="1"/>
      <c r="P578" s="1"/>
      <c r="Q578" s="1"/>
      <c r="R578" s="1"/>
      <c r="S578" s="1"/>
      <c r="T578" s="1"/>
      <c r="U578" s="1"/>
      <c r="V578" s="1"/>
    </row>
    <row r="579" spans="7:22">
      <c r="G579" s="1"/>
      <c r="H579" s="1"/>
      <c r="K579" s="1"/>
      <c r="L579" s="1"/>
      <c r="O579" s="1"/>
      <c r="P579" s="1"/>
      <c r="Q579" s="1"/>
      <c r="R579" s="1"/>
      <c r="S579" s="1"/>
      <c r="T579" s="1"/>
      <c r="U579" s="1"/>
      <c r="V579" s="1"/>
    </row>
    <row r="580" spans="7:22">
      <c r="G580" s="1"/>
      <c r="H580" s="1"/>
      <c r="K580" s="1"/>
      <c r="L580" s="1"/>
      <c r="O580" s="1"/>
      <c r="P580" s="1"/>
      <c r="Q580" s="1"/>
      <c r="R580" s="1"/>
      <c r="S580" s="1"/>
      <c r="T580" s="1"/>
      <c r="U580" s="1"/>
      <c r="V580" s="1"/>
    </row>
    <row r="581" spans="7:22">
      <c r="G581" s="1"/>
      <c r="H581" s="1"/>
      <c r="K581" s="1"/>
      <c r="L581" s="1"/>
      <c r="O581" s="1"/>
      <c r="P581" s="1"/>
      <c r="Q581" s="1"/>
      <c r="R581" s="1"/>
      <c r="S581" s="1"/>
      <c r="T581" s="1"/>
      <c r="U581" s="1"/>
      <c r="V581" s="1"/>
    </row>
    <row r="582" spans="7:22">
      <c r="G582" s="1"/>
      <c r="H582" s="1"/>
      <c r="K582" s="1"/>
      <c r="L582" s="1"/>
      <c r="O582" s="1"/>
      <c r="P582" s="1"/>
      <c r="Q582" s="1"/>
      <c r="R582" s="1"/>
      <c r="S582" s="1"/>
      <c r="T582" s="1"/>
      <c r="U582" s="1"/>
      <c r="V582" s="1"/>
    </row>
    <row r="583" spans="7:22">
      <c r="G583" s="1"/>
      <c r="H583" s="1"/>
      <c r="K583" s="1"/>
      <c r="L583" s="1"/>
      <c r="O583" s="1"/>
      <c r="P583" s="1"/>
      <c r="Q583" s="1"/>
      <c r="R583" s="1"/>
      <c r="S583" s="1"/>
      <c r="T583" s="1"/>
      <c r="U583" s="1"/>
      <c r="V583" s="1"/>
    </row>
    <row r="584" spans="7:22">
      <c r="G584" s="1"/>
      <c r="H584" s="1"/>
      <c r="K584" s="1"/>
      <c r="L584" s="1"/>
      <c r="O584" s="1"/>
      <c r="P584" s="1"/>
      <c r="Q584" s="1"/>
      <c r="R584" s="1"/>
      <c r="S584" s="1"/>
      <c r="T584" s="1"/>
      <c r="U584" s="1"/>
      <c r="V584" s="1"/>
    </row>
    <row r="585" spans="7:22">
      <c r="G585" s="1"/>
      <c r="H585" s="1"/>
      <c r="K585" s="1"/>
      <c r="L585" s="1"/>
      <c r="O585" s="1"/>
      <c r="P585" s="1"/>
      <c r="Q585" s="1"/>
      <c r="R585" s="1"/>
      <c r="S585" s="1"/>
      <c r="T585" s="1"/>
      <c r="U585" s="1"/>
      <c r="V585" s="1"/>
    </row>
    <row r="586" spans="7:22">
      <c r="G586" s="1"/>
      <c r="H586" s="1"/>
      <c r="K586" s="1"/>
      <c r="L586" s="1"/>
      <c r="O586" s="1"/>
      <c r="P586" s="1"/>
      <c r="Q586" s="1"/>
      <c r="R586" s="1"/>
      <c r="S586" s="1"/>
      <c r="T586" s="1"/>
      <c r="U586" s="1"/>
      <c r="V586" s="1"/>
    </row>
    <row r="587" spans="7:22">
      <c r="G587" s="1"/>
      <c r="H587" s="1"/>
      <c r="K587" s="1"/>
      <c r="L587" s="1"/>
      <c r="O587" s="1"/>
      <c r="P587" s="1"/>
      <c r="Q587" s="1"/>
      <c r="R587" s="1"/>
      <c r="S587" s="1"/>
      <c r="T587" s="1"/>
      <c r="U587" s="1"/>
      <c r="V587" s="1"/>
    </row>
    <row r="588" spans="7:22">
      <c r="G588" s="1"/>
      <c r="H588" s="1"/>
      <c r="K588" s="1"/>
      <c r="L588" s="1"/>
      <c r="O588" s="1"/>
      <c r="P588" s="1"/>
      <c r="Q588" s="1"/>
      <c r="R588" s="1"/>
      <c r="S588" s="1"/>
      <c r="T588" s="1"/>
      <c r="U588" s="1"/>
      <c r="V588" s="1"/>
    </row>
    <row r="589" spans="7:22">
      <c r="G589" s="1"/>
      <c r="H589" s="1"/>
      <c r="K589" s="1"/>
      <c r="L589" s="1"/>
      <c r="O589" s="1"/>
      <c r="P589" s="1"/>
      <c r="Q589" s="1"/>
      <c r="R589" s="1"/>
      <c r="S589" s="1"/>
      <c r="T589" s="1"/>
      <c r="U589" s="1"/>
      <c r="V589" s="1"/>
    </row>
    <row r="590" spans="7:22">
      <c r="G590" s="1"/>
      <c r="H590" s="1"/>
      <c r="K590" s="1"/>
      <c r="L590" s="1"/>
      <c r="O590" s="1"/>
      <c r="P590" s="1"/>
      <c r="Q590" s="1"/>
      <c r="R590" s="1"/>
      <c r="S590" s="1"/>
      <c r="T590" s="1"/>
      <c r="U590" s="1"/>
      <c r="V590" s="1"/>
    </row>
    <row r="591" spans="7:22">
      <c r="G591" s="1"/>
      <c r="H591" s="1"/>
      <c r="K591" s="1"/>
      <c r="L591" s="1"/>
      <c r="O591" s="1"/>
      <c r="P591" s="1"/>
      <c r="Q591" s="1"/>
      <c r="R591" s="1"/>
      <c r="S591" s="1"/>
      <c r="T591" s="1"/>
      <c r="U591" s="1"/>
      <c r="V591" s="1"/>
    </row>
    <row r="592" spans="7:22">
      <c r="G592" s="1"/>
      <c r="H592" s="1"/>
      <c r="K592" s="1"/>
      <c r="L592" s="1"/>
      <c r="O592" s="1"/>
      <c r="P592" s="1"/>
      <c r="Q592" s="1"/>
      <c r="R592" s="1"/>
      <c r="S592" s="1"/>
      <c r="T592" s="1"/>
      <c r="U592" s="1"/>
      <c r="V592" s="1"/>
    </row>
    <row r="593" spans="7:22">
      <c r="G593" s="1"/>
      <c r="H593" s="1"/>
      <c r="K593" s="1"/>
      <c r="L593" s="1"/>
      <c r="O593" s="1"/>
      <c r="P593" s="1"/>
      <c r="Q593" s="1"/>
      <c r="R593" s="1"/>
      <c r="S593" s="1"/>
      <c r="T593" s="1"/>
      <c r="U593" s="1"/>
      <c r="V593" s="1"/>
    </row>
    <row r="594" spans="7:22">
      <c r="G594" s="1"/>
      <c r="H594" s="1"/>
      <c r="K594" s="1"/>
      <c r="L594" s="1"/>
      <c r="O594" s="1"/>
      <c r="P594" s="1"/>
      <c r="Q594" s="1"/>
      <c r="R594" s="1"/>
      <c r="S594" s="1"/>
      <c r="T594" s="1"/>
      <c r="U594" s="1"/>
      <c r="V594" s="1"/>
    </row>
    <row r="595" spans="7:22">
      <c r="G595" s="1"/>
      <c r="H595" s="1"/>
      <c r="K595" s="1"/>
      <c r="L595" s="1"/>
      <c r="O595" s="1"/>
      <c r="P595" s="1"/>
      <c r="Q595" s="1"/>
      <c r="R595" s="1"/>
      <c r="S595" s="1"/>
      <c r="T595" s="1"/>
      <c r="U595" s="1"/>
      <c r="V595" s="1"/>
    </row>
    <row r="596" spans="7:22">
      <c r="G596" s="1"/>
      <c r="H596" s="1"/>
      <c r="K596" s="1"/>
      <c r="L596" s="1"/>
      <c r="O596" s="1"/>
      <c r="P596" s="1"/>
      <c r="Q596" s="1"/>
      <c r="R596" s="1"/>
      <c r="S596" s="1"/>
      <c r="T596" s="1"/>
      <c r="U596" s="1"/>
      <c r="V596" s="1"/>
    </row>
    <row r="597" spans="7:22">
      <c r="G597" s="1"/>
      <c r="H597" s="1"/>
      <c r="K597" s="1"/>
      <c r="L597" s="1"/>
      <c r="O597" s="1"/>
      <c r="P597" s="1"/>
      <c r="Q597" s="1"/>
      <c r="R597" s="1"/>
      <c r="S597" s="1"/>
      <c r="T597" s="1"/>
      <c r="U597" s="1"/>
      <c r="V597" s="1"/>
    </row>
    <row r="598" spans="7:22">
      <c r="G598" s="1"/>
      <c r="H598" s="1"/>
      <c r="K598" s="1"/>
      <c r="L598" s="1"/>
      <c r="O598" s="1"/>
      <c r="P598" s="1"/>
      <c r="Q598" s="1"/>
      <c r="R598" s="1"/>
      <c r="S598" s="1"/>
      <c r="T598" s="1"/>
      <c r="U598" s="1"/>
      <c r="V598" s="1"/>
    </row>
    <row r="599" spans="7:22">
      <c r="G599" s="1"/>
      <c r="H599" s="1"/>
      <c r="K599" s="1"/>
      <c r="L599" s="1"/>
      <c r="O599" s="1"/>
      <c r="P599" s="1"/>
      <c r="Q599" s="1"/>
      <c r="R599" s="1"/>
      <c r="S599" s="1"/>
      <c r="T599" s="1"/>
      <c r="U599" s="1"/>
      <c r="V599" s="1"/>
    </row>
    <row r="600" spans="7:22">
      <c r="G600" s="1"/>
      <c r="H600" s="1"/>
      <c r="K600" s="1"/>
      <c r="L600" s="1"/>
      <c r="O600" s="1"/>
      <c r="P600" s="1"/>
      <c r="Q600" s="1"/>
      <c r="R600" s="1"/>
      <c r="S600" s="1"/>
      <c r="T600" s="1"/>
      <c r="U600" s="1"/>
      <c r="V600" s="1"/>
    </row>
    <row r="601" spans="7:22">
      <c r="G601" s="1"/>
      <c r="H601" s="1"/>
      <c r="K601" s="1"/>
      <c r="L601" s="1"/>
      <c r="O601" s="1"/>
      <c r="P601" s="1"/>
      <c r="Q601" s="1"/>
      <c r="R601" s="1"/>
      <c r="S601" s="1"/>
      <c r="T601" s="1"/>
      <c r="U601" s="1"/>
      <c r="V601" s="1"/>
    </row>
    <row r="602" spans="7:22">
      <c r="G602" s="1"/>
      <c r="H602" s="1"/>
      <c r="K602" s="1"/>
      <c r="L602" s="1"/>
      <c r="O602" s="1"/>
      <c r="P602" s="1"/>
      <c r="Q602" s="1"/>
      <c r="R602" s="1"/>
      <c r="S602" s="1"/>
      <c r="T602" s="1"/>
      <c r="U602" s="1"/>
      <c r="V602" s="1"/>
    </row>
    <row r="603" spans="7:22">
      <c r="G603" s="1"/>
      <c r="H603" s="1"/>
      <c r="K603" s="1"/>
      <c r="L603" s="1"/>
      <c r="O603" s="1"/>
      <c r="P603" s="1"/>
      <c r="Q603" s="1"/>
      <c r="R603" s="1"/>
      <c r="S603" s="1"/>
      <c r="T603" s="1"/>
      <c r="U603" s="1"/>
      <c r="V603" s="1"/>
    </row>
    <row r="604" spans="7:22">
      <c r="G604" s="1"/>
      <c r="H604" s="1"/>
      <c r="K604" s="1"/>
      <c r="L604" s="1"/>
      <c r="O604" s="1"/>
      <c r="P604" s="1"/>
      <c r="Q604" s="1"/>
      <c r="R604" s="1"/>
      <c r="S604" s="1"/>
      <c r="T604" s="1"/>
      <c r="U604" s="1"/>
      <c r="V604" s="1"/>
    </row>
    <row r="605" spans="7:22">
      <c r="G605" s="1"/>
      <c r="H605" s="1"/>
      <c r="K605" s="1"/>
      <c r="L605" s="1"/>
      <c r="O605" s="1"/>
      <c r="P605" s="1"/>
      <c r="Q605" s="1"/>
      <c r="R605" s="1"/>
      <c r="S605" s="1"/>
      <c r="T605" s="1"/>
      <c r="U605" s="1"/>
      <c r="V605" s="1"/>
    </row>
    <row r="606" spans="7:22">
      <c r="G606" s="1"/>
      <c r="H606" s="1"/>
      <c r="K606" s="1"/>
      <c r="L606" s="1"/>
      <c r="O606" s="1"/>
      <c r="P606" s="1"/>
      <c r="Q606" s="1"/>
      <c r="R606" s="1"/>
      <c r="S606" s="1"/>
      <c r="T606" s="1"/>
      <c r="U606" s="1"/>
      <c r="V606" s="1"/>
    </row>
    <row r="607" spans="7:22">
      <c r="G607" s="1"/>
      <c r="H607" s="1"/>
      <c r="K607" s="1"/>
      <c r="L607" s="1"/>
      <c r="O607" s="1"/>
      <c r="P607" s="1"/>
      <c r="Q607" s="1"/>
      <c r="R607" s="1"/>
      <c r="S607" s="1"/>
      <c r="T607" s="1"/>
      <c r="U607" s="1"/>
      <c r="V607" s="1"/>
    </row>
    <row r="608" spans="7:22">
      <c r="G608" s="1"/>
      <c r="H608" s="1"/>
      <c r="K608" s="1"/>
      <c r="L608" s="1"/>
      <c r="O608" s="1"/>
      <c r="P608" s="1"/>
      <c r="Q608" s="1"/>
      <c r="R608" s="1"/>
      <c r="S608" s="1"/>
      <c r="T608" s="1"/>
      <c r="U608" s="1"/>
      <c r="V608" s="1"/>
    </row>
    <row r="609" spans="7:22">
      <c r="G609" s="1"/>
      <c r="H609" s="1"/>
      <c r="K609" s="1"/>
      <c r="L609" s="1"/>
      <c r="O609" s="1"/>
      <c r="P609" s="1"/>
      <c r="Q609" s="1"/>
      <c r="R609" s="1"/>
      <c r="S609" s="1"/>
      <c r="T609" s="1"/>
      <c r="U609" s="1"/>
      <c r="V609" s="1"/>
    </row>
    <row r="610" spans="7:22">
      <c r="G610" s="1"/>
      <c r="H610" s="1"/>
      <c r="K610" s="1"/>
      <c r="L610" s="1"/>
      <c r="O610" s="1"/>
      <c r="P610" s="1"/>
      <c r="Q610" s="1"/>
      <c r="R610" s="1"/>
      <c r="S610" s="1"/>
      <c r="T610" s="1"/>
      <c r="U610" s="1"/>
      <c r="V610" s="1"/>
    </row>
    <row r="611" spans="7:22">
      <c r="G611" s="1"/>
      <c r="H611" s="1"/>
      <c r="K611" s="1"/>
      <c r="L611" s="1"/>
      <c r="O611" s="1"/>
      <c r="P611" s="1"/>
      <c r="Q611" s="1"/>
      <c r="R611" s="1"/>
      <c r="S611" s="1"/>
      <c r="T611" s="1"/>
      <c r="U611" s="1"/>
      <c r="V611" s="1"/>
    </row>
    <row r="612" spans="7:22">
      <c r="G612" s="1"/>
      <c r="H612" s="1"/>
      <c r="K612" s="1"/>
      <c r="L612" s="1"/>
      <c r="O612" s="1"/>
      <c r="P612" s="1"/>
      <c r="Q612" s="1"/>
      <c r="R612" s="1"/>
      <c r="S612" s="1"/>
      <c r="T612" s="1"/>
      <c r="U612" s="1"/>
      <c r="V612" s="1"/>
    </row>
    <row r="613" spans="7:22">
      <c r="G613" s="1"/>
      <c r="H613" s="1"/>
      <c r="K613" s="1"/>
      <c r="L613" s="1"/>
      <c r="O613" s="1"/>
      <c r="P613" s="1"/>
      <c r="Q613" s="1"/>
      <c r="R613" s="1"/>
      <c r="S613" s="1"/>
      <c r="T613" s="1"/>
      <c r="U613" s="1"/>
      <c r="V613" s="1"/>
    </row>
    <row r="614" spans="7:22">
      <c r="G614" s="1"/>
      <c r="H614" s="1"/>
      <c r="K614" s="1"/>
      <c r="L614" s="1"/>
      <c r="O614" s="1"/>
      <c r="P614" s="1"/>
      <c r="Q614" s="1"/>
      <c r="R614" s="1"/>
      <c r="S614" s="1"/>
      <c r="T614" s="1"/>
      <c r="U614" s="1"/>
      <c r="V614" s="1"/>
    </row>
    <row r="615" spans="7:22">
      <c r="G615" s="1"/>
      <c r="H615" s="1"/>
      <c r="K615" s="1"/>
      <c r="L615" s="1"/>
      <c r="O615" s="1"/>
      <c r="P615" s="1"/>
      <c r="Q615" s="1"/>
      <c r="R615" s="1"/>
      <c r="S615" s="1"/>
      <c r="T615" s="1"/>
      <c r="U615" s="1"/>
      <c r="V615" s="1"/>
    </row>
    <row r="616" spans="7:22">
      <c r="G616" s="1"/>
      <c r="H616" s="1"/>
      <c r="K616" s="1"/>
      <c r="L616" s="1"/>
      <c r="O616" s="1"/>
      <c r="P616" s="1"/>
      <c r="Q616" s="1"/>
      <c r="R616" s="1"/>
      <c r="S616" s="1"/>
      <c r="T616" s="1"/>
      <c r="U616" s="1"/>
      <c r="V616" s="1"/>
    </row>
    <row r="617" spans="7:22">
      <c r="G617" s="1"/>
      <c r="H617" s="1"/>
      <c r="K617" s="1"/>
      <c r="L617" s="1"/>
      <c r="O617" s="1"/>
      <c r="P617" s="1"/>
      <c r="Q617" s="1"/>
      <c r="R617" s="1"/>
      <c r="S617" s="1"/>
      <c r="T617" s="1"/>
      <c r="U617" s="1"/>
      <c r="V617" s="1"/>
    </row>
    <row r="618" spans="7:22">
      <c r="G618" s="1"/>
      <c r="H618" s="1"/>
      <c r="K618" s="1"/>
      <c r="L618" s="1"/>
      <c r="O618" s="1"/>
      <c r="P618" s="1"/>
      <c r="Q618" s="1"/>
      <c r="R618" s="1"/>
      <c r="S618" s="1"/>
      <c r="T618" s="1"/>
      <c r="U618" s="1"/>
      <c r="V618" s="1"/>
    </row>
    <row r="619" spans="7:22">
      <c r="G619" s="1"/>
      <c r="H619" s="1"/>
      <c r="K619" s="1"/>
      <c r="L619" s="1"/>
      <c r="O619" s="1"/>
      <c r="P619" s="1"/>
      <c r="Q619" s="1"/>
      <c r="R619" s="1"/>
      <c r="S619" s="1"/>
      <c r="T619" s="1"/>
      <c r="U619" s="1"/>
      <c r="V619" s="1"/>
    </row>
    <row r="620" spans="7:22">
      <c r="G620" s="1"/>
      <c r="H620" s="1"/>
      <c r="K620" s="1"/>
      <c r="L620" s="1"/>
      <c r="O620" s="1"/>
      <c r="P620" s="1"/>
      <c r="Q620" s="1"/>
      <c r="R620" s="1"/>
      <c r="S620" s="1"/>
      <c r="T620" s="1"/>
      <c r="U620" s="1"/>
      <c r="V620" s="1"/>
    </row>
    <row r="621" spans="7:22">
      <c r="G621" s="1"/>
      <c r="H621" s="1"/>
      <c r="K621" s="1"/>
      <c r="L621" s="1"/>
      <c r="O621" s="1"/>
      <c r="P621" s="1"/>
      <c r="Q621" s="1"/>
      <c r="R621" s="1"/>
      <c r="S621" s="1"/>
      <c r="T621" s="1"/>
      <c r="U621" s="1"/>
      <c r="V621" s="1"/>
    </row>
    <row r="622" spans="7:22">
      <c r="G622" s="1"/>
      <c r="H622" s="1"/>
      <c r="K622" s="1"/>
      <c r="L622" s="1"/>
      <c r="O622" s="1"/>
      <c r="P622" s="1"/>
      <c r="Q622" s="1"/>
      <c r="R622" s="1"/>
      <c r="S622" s="1"/>
      <c r="T622" s="1"/>
      <c r="U622" s="1"/>
      <c r="V622" s="1"/>
    </row>
    <row r="623" spans="7:22">
      <c r="G623" s="1"/>
      <c r="H623" s="1"/>
      <c r="K623" s="1"/>
      <c r="L623" s="1"/>
      <c r="O623" s="1"/>
      <c r="P623" s="1"/>
      <c r="Q623" s="1"/>
      <c r="R623" s="1"/>
      <c r="S623" s="1"/>
      <c r="T623" s="1"/>
      <c r="U623" s="1"/>
      <c r="V623" s="1"/>
    </row>
    <row r="624" spans="7:22">
      <c r="G624" s="1"/>
      <c r="H624" s="1"/>
      <c r="K624" s="1"/>
      <c r="L624" s="1"/>
      <c r="O624" s="1"/>
      <c r="P624" s="1"/>
      <c r="Q624" s="1"/>
      <c r="R624" s="1"/>
      <c r="S624" s="1"/>
      <c r="T624" s="1"/>
      <c r="U624" s="1"/>
      <c r="V624" s="1"/>
    </row>
    <row r="625" spans="7:22">
      <c r="G625" s="1"/>
      <c r="H625" s="1"/>
      <c r="K625" s="1"/>
      <c r="L625" s="1"/>
      <c r="O625" s="1"/>
      <c r="P625" s="1"/>
      <c r="Q625" s="1"/>
      <c r="R625" s="1"/>
      <c r="S625" s="1"/>
      <c r="T625" s="1"/>
      <c r="U625" s="1"/>
      <c r="V625" s="1"/>
    </row>
    <row r="626" spans="7:22">
      <c r="G626" s="1"/>
      <c r="H626" s="1"/>
      <c r="K626" s="1"/>
      <c r="L626" s="1"/>
      <c r="O626" s="1"/>
      <c r="P626" s="1"/>
      <c r="Q626" s="1"/>
      <c r="R626" s="1"/>
      <c r="S626" s="1"/>
      <c r="T626" s="1"/>
      <c r="U626" s="1"/>
      <c r="V626" s="1"/>
    </row>
    <row r="627" spans="7:22">
      <c r="G627" s="1"/>
      <c r="H627" s="1"/>
      <c r="K627" s="1"/>
      <c r="L627" s="1"/>
      <c r="O627" s="1"/>
      <c r="P627" s="1"/>
      <c r="Q627" s="1"/>
      <c r="R627" s="1"/>
      <c r="S627" s="1"/>
      <c r="T627" s="1"/>
      <c r="U627" s="1"/>
      <c r="V627" s="1"/>
    </row>
    <row r="628" spans="7:22">
      <c r="G628" s="1"/>
      <c r="H628" s="1"/>
      <c r="K628" s="1"/>
      <c r="L628" s="1"/>
      <c r="O628" s="1"/>
      <c r="P628" s="1"/>
      <c r="Q628" s="1"/>
      <c r="R628" s="1"/>
      <c r="S628" s="1"/>
      <c r="T628" s="1"/>
      <c r="U628" s="1"/>
      <c r="V628" s="1"/>
    </row>
    <row r="629" spans="7:22">
      <c r="G629" s="1"/>
      <c r="H629" s="1"/>
      <c r="K629" s="1"/>
      <c r="L629" s="1"/>
      <c r="O629" s="1"/>
      <c r="P629" s="1"/>
      <c r="Q629" s="1"/>
      <c r="R629" s="1"/>
      <c r="S629" s="1"/>
      <c r="T629" s="1"/>
      <c r="U629" s="1"/>
      <c r="V629" s="1"/>
    </row>
    <row r="630" spans="7:22">
      <c r="G630" s="1"/>
      <c r="H630" s="1"/>
      <c r="K630" s="1"/>
      <c r="L630" s="1"/>
      <c r="O630" s="1"/>
      <c r="P630" s="1"/>
      <c r="Q630" s="1"/>
      <c r="R630" s="1"/>
      <c r="S630" s="1"/>
      <c r="T630" s="1"/>
      <c r="U630" s="1"/>
      <c r="V630" s="1"/>
    </row>
    <row r="631" spans="7:22">
      <c r="G631" s="1"/>
      <c r="H631" s="1"/>
      <c r="K631" s="1"/>
      <c r="L631" s="1"/>
      <c r="O631" s="1"/>
      <c r="P631" s="1"/>
      <c r="Q631" s="1"/>
      <c r="R631" s="1"/>
      <c r="S631" s="1"/>
      <c r="T631" s="1"/>
      <c r="U631" s="1"/>
      <c r="V631" s="1"/>
    </row>
    <row r="632" spans="7:22">
      <c r="G632" s="1"/>
      <c r="H632" s="1"/>
      <c r="K632" s="1"/>
      <c r="L632" s="1"/>
      <c r="O632" s="1"/>
      <c r="P632" s="1"/>
      <c r="Q632" s="1"/>
      <c r="R632" s="1"/>
      <c r="S632" s="1"/>
      <c r="T632" s="1"/>
      <c r="U632" s="1"/>
      <c r="V632" s="1"/>
    </row>
    <row r="633" spans="7:22">
      <c r="G633" s="1"/>
      <c r="H633" s="1"/>
      <c r="K633" s="1"/>
      <c r="L633" s="1"/>
      <c r="O633" s="1"/>
      <c r="P633" s="1"/>
      <c r="Q633" s="1"/>
      <c r="R633" s="1"/>
      <c r="S633" s="1"/>
      <c r="T633" s="1"/>
      <c r="U633" s="1"/>
      <c r="V633" s="1"/>
    </row>
    <row r="634" spans="7:22">
      <c r="G634" s="1"/>
      <c r="H634" s="1"/>
      <c r="K634" s="1"/>
      <c r="L634" s="1"/>
      <c r="O634" s="1"/>
      <c r="P634" s="1"/>
      <c r="Q634" s="1"/>
      <c r="R634" s="1"/>
      <c r="S634" s="1"/>
      <c r="T634" s="1"/>
      <c r="U634" s="1"/>
      <c r="V634" s="1"/>
    </row>
    <row r="635" spans="7:22">
      <c r="G635" s="1"/>
      <c r="H635" s="1"/>
      <c r="K635" s="1"/>
      <c r="L635" s="1"/>
      <c r="O635" s="1"/>
      <c r="P635" s="1"/>
      <c r="Q635" s="1"/>
      <c r="R635" s="1"/>
      <c r="S635" s="1"/>
      <c r="T635" s="1"/>
      <c r="U635" s="1"/>
      <c r="V635" s="1"/>
    </row>
    <row r="636" spans="7:22">
      <c r="G636" s="1"/>
      <c r="H636" s="1"/>
      <c r="K636" s="1"/>
      <c r="L636" s="1"/>
      <c r="O636" s="1"/>
      <c r="P636" s="1"/>
      <c r="Q636" s="1"/>
      <c r="R636" s="1"/>
      <c r="S636" s="1"/>
      <c r="T636" s="1"/>
      <c r="U636" s="1"/>
      <c r="V636" s="1"/>
    </row>
    <row r="637" spans="7:22">
      <c r="G637" s="1"/>
      <c r="H637" s="1"/>
      <c r="K637" s="1"/>
      <c r="L637" s="1"/>
      <c r="O637" s="1"/>
      <c r="P637" s="1"/>
      <c r="Q637" s="1"/>
      <c r="R637" s="1"/>
      <c r="S637" s="1"/>
      <c r="T637" s="1"/>
      <c r="U637" s="1"/>
      <c r="V637" s="1"/>
    </row>
    <row r="638" spans="7:22">
      <c r="G638" s="1"/>
      <c r="H638" s="1"/>
      <c r="K638" s="1"/>
      <c r="L638" s="1"/>
      <c r="O638" s="1"/>
      <c r="P638" s="1"/>
      <c r="Q638" s="1"/>
      <c r="R638" s="1"/>
      <c r="S638" s="1"/>
      <c r="T638" s="1"/>
      <c r="U638" s="1"/>
      <c r="V638" s="1"/>
    </row>
    <row r="639" spans="7:22">
      <c r="G639" s="1"/>
      <c r="H639" s="1"/>
      <c r="K639" s="1"/>
      <c r="L639" s="1"/>
      <c r="O639" s="1"/>
      <c r="P639" s="1"/>
      <c r="Q639" s="1"/>
      <c r="R639" s="1"/>
      <c r="S639" s="1"/>
      <c r="T639" s="1"/>
      <c r="U639" s="1"/>
      <c r="V639" s="1"/>
    </row>
    <row r="640" spans="7:22">
      <c r="G640" s="1"/>
      <c r="H640" s="1"/>
      <c r="K640" s="1"/>
      <c r="L640" s="1"/>
      <c r="O640" s="1"/>
      <c r="P640" s="1"/>
      <c r="Q640" s="1"/>
      <c r="R640" s="1"/>
      <c r="S640" s="1"/>
      <c r="T640" s="1"/>
      <c r="U640" s="1"/>
      <c r="V640" s="1"/>
    </row>
    <row r="641" spans="7:22">
      <c r="G641" s="1"/>
      <c r="H641" s="1"/>
      <c r="K641" s="1"/>
      <c r="L641" s="1"/>
      <c r="O641" s="1"/>
      <c r="P641" s="1"/>
      <c r="Q641" s="1"/>
      <c r="R641" s="1"/>
      <c r="S641" s="1"/>
      <c r="T641" s="1"/>
      <c r="U641" s="1"/>
      <c r="V641" s="1"/>
    </row>
    <row r="642" spans="7:22">
      <c r="G642" s="1"/>
      <c r="H642" s="1"/>
      <c r="K642" s="1"/>
      <c r="L642" s="1"/>
      <c r="O642" s="1"/>
      <c r="P642" s="1"/>
      <c r="Q642" s="1"/>
      <c r="R642" s="1"/>
      <c r="S642" s="1"/>
      <c r="T642" s="1"/>
      <c r="U642" s="1"/>
      <c r="V642" s="1"/>
    </row>
    <row r="643" spans="7:22">
      <c r="G643" s="1"/>
      <c r="H643" s="1"/>
      <c r="K643" s="1"/>
      <c r="L643" s="1"/>
      <c r="O643" s="1"/>
      <c r="P643" s="1"/>
      <c r="Q643" s="1"/>
      <c r="R643" s="1"/>
      <c r="S643" s="1"/>
      <c r="T643" s="1"/>
      <c r="U643" s="1"/>
      <c r="V643" s="1"/>
    </row>
    <row r="644" spans="7:22">
      <c r="G644" s="1"/>
      <c r="H644" s="1"/>
      <c r="K644" s="1"/>
      <c r="L644" s="1"/>
      <c r="O644" s="1"/>
      <c r="P644" s="1"/>
      <c r="Q644" s="1"/>
      <c r="R644" s="1"/>
      <c r="S644" s="1"/>
      <c r="T644" s="1"/>
      <c r="U644" s="1"/>
      <c r="V644" s="1"/>
    </row>
    <row r="645" spans="7:22">
      <c r="G645" s="1"/>
      <c r="H645" s="1"/>
      <c r="K645" s="1"/>
      <c r="L645" s="1"/>
      <c r="O645" s="1"/>
      <c r="P645" s="1"/>
      <c r="Q645" s="1"/>
      <c r="R645" s="1"/>
      <c r="S645" s="1"/>
      <c r="T645" s="1"/>
      <c r="U645" s="1"/>
      <c r="V645" s="1"/>
    </row>
    <row r="646" spans="7:22">
      <c r="G646" s="1"/>
      <c r="H646" s="1"/>
      <c r="K646" s="1"/>
      <c r="L646" s="1"/>
      <c r="O646" s="1"/>
      <c r="P646" s="1"/>
      <c r="Q646" s="1"/>
      <c r="R646" s="1"/>
      <c r="S646" s="1"/>
      <c r="T646" s="1"/>
      <c r="U646" s="1"/>
      <c r="V646" s="1"/>
    </row>
    <row r="647" spans="7:22">
      <c r="G647" s="1"/>
      <c r="H647" s="1"/>
      <c r="K647" s="1"/>
      <c r="L647" s="1"/>
      <c r="O647" s="1"/>
      <c r="P647" s="1"/>
      <c r="Q647" s="1"/>
      <c r="R647" s="1"/>
      <c r="S647" s="1"/>
      <c r="T647" s="1"/>
      <c r="U647" s="1"/>
      <c r="V647" s="1"/>
    </row>
    <row r="648" spans="7:22">
      <c r="G648" s="1"/>
      <c r="H648" s="1"/>
      <c r="K648" s="1"/>
      <c r="L648" s="1"/>
      <c r="O648" s="1"/>
      <c r="P648" s="1"/>
      <c r="Q648" s="1"/>
      <c r="R648" s="1"/>
      <c r="S648" s="1"/>
      <c r="T648" s="1"/>
      <c r="U648" s="1"/>
      <c r="V648" s="1"/>
    </row>
    <row r="649" spans="7:22">
      <c r="G649" s="1"/>
      <c r="H649" s="1"/>
      <c r="K649" s="1"/>
      <c r="L649" s="1"/>
      <c r="O649" s="1"/>
      <c r="P649" s="1"/>
      <c r="Q649" s="1"/>
      <c r="R649" s="1"/>
      <c r="S649" s="1"/>
      <c r="T649" s="1"/>
      <c r="U649" s="1"/>
      <c r="V649" s="1"/>
    </row>
    <row r="650" spans="7:22">
      <c r="G650" s="1"/>
      <c r="H650" s="1"/>
      <c r="K650" s="1"/>
      <c r="L650" s="1"/>
      <c r="O650" s="1"/>
      <c r="P650" s="1"/>
      <c r="Q650" s="1"/>
      <c r="R650" s="1"/>
      <c r="S650" s="1"/>
      <c r="T650" s="1"/>
      <c r="U650" s="1"/>
      <c r="V650" s="1"/>
    </row>
    <row r="651" spans="7:22">
      <c r="G651" s="1"/>
      <c r="H651" s="1"/>
      <c r="K651" s="1"/>
      <c r="L651" s="1"/>
      <c r="O651" s="1"/>
      <c r="P651" s="1"/>
      <c r="Q651" s="1"/>
      <c r="R651" s="1"/>
      <c r="S651" s="1"/>
      <c r="T651" s="1"/>
      <c r="U651" s="1"/>
      <c r="V651" s="1"/>
    </row>
    <row r="652" spans="7:22">
      <c r="G652" s="1"/>
      <c r="H652" s="1"/>
      <c r="K652" s="1"/>
      <c r="L652" s="1"/>
      <c r="O652" s="1"/>
      <c r="P652" s="1"/>
      <c r="Q652" s="1"/>
      <c r="R652" s="1"/>
      <c r="S652" s="1"/>
      <c r="T652" s="1"/>
      <c r="U652" s="1"/>
      <c r="V652" s="1"/>
    </row>
    <row r="653" spans="7:22">
      <c r="G653" s="1"/>
      <c r="H653" s="1"/>
      <c r="K653" s="1"/>
      <c r="L653" s="1"/>
      <c r="O653" s="1"/>
      <c r="P653" s="1"/>
      <c r="Q653" s="1"/>
      <c r="R653" s="1"/>
      <c r="S653" s="1"/>
      <c r="T653" s="1"/>
      <c r="U653" s="1"/>
      <c r="V653" s="1"/>
    </row>
    <row r="654" spans="7:22">
      <c r="G654" s="1"/>
      <c r="H654" s="1"/>
      <c r="K654" s="1"/>
      <c r="L654" s="1"/>
      <c r="O654" s="1"/>
      <c r="P654" s="1"/>
      <c r="Q654" s="1"/>
      <c r="R654" s="1"/>
      <c r="S654" s="1"/>
      <c r="T654" s="1"/>
      <c r="U654" s="1"/>
      <c r="V654" s="1"/>
    </row>
    <row r="655" spans="7:22">
      <c r="G655" s="1"/>
      <c r="H655" s="1"/>
      <c r="K655" s="1"/>
      <c r="L655" s="1"/>
      <c r="O655" s="1"/>
      <c r="P655" s="1"/>
      <c r="Q655" s="1"/>
      <c r="R655" s="1"/>
      <c r="S655" s="1"/>
      <c r="T655" s="1"/>
      <c r="U655" s="1"/>
      <c r="V655" s="1"/>
    </row>
    <row r="656" spans="7:22">
      <c r="G656" s="1"/>
      <c r="H656" s="1"/>
      <c r="K656" s="1"/>
      <c r="L656" s="1"/>
      <c r="O656" s="1"/>
      <c r="P656" s="1"/>
      <c r="Q656" s="1"/>
      <c r="R656" s="1"/>
      <c r="S656" s="1"/>
      <c r="T656" s="1"/>
      <c r="U656" s="1"/>
      <c r="V656" s="1"/>
    </row>
    <row r="657" spans="7:22">
      <c r="G657" s="1"/>
      <c r="H657" s="1"/>
      <c r="K657" s="1"/>
      <c r="L657" s="1"/>
      <c r="O657" s="1"/>
      <c r="P657" s="1"/>
      <c r="Q657" s="1"/>
      <c r="R657" s="1"/>
      <c r="S657" s="1"/>
      <c r="T657" s="1"/>
      <c r="U657" s="1"/>
      <c r="V657" s="1"/>
    </row>
    <row r="658" spans="7:22">
      <c r="G658" s="1"/>
      <c r="H658" s="1"/>
      <c r="K658" s="1"/>
      <c r="L658" s="1"/>
      <c r="O658" s="1"/>
      <c r="P658" s="1"/>
      <c r="Q658" s="1"/>
      <c r="R658" s="1"/>
      <c r="S658" s="1"/>
      <c r="T658" s="1"/>
      <c r="U658" s="1"/>
      <c r="V658" s="1"/>
    </row>
    <row r="659" spans="7:22">
      <c r="G659" s="1"/>
      <c r="H659" s="1"/>
      <c r="K659" s="1"/>
      <c r="L659" s="1"/>
      <c r="O659" s="1"/>
      <c r="P659" s="1"/>
      <c r="Q659" s="1"/>
      <c r="R659" s="1"/>
      <c r="S659" s="1"/>
      <c r="T659" s="1"/>
      <c r="U659" s="1"/>
      <c r="V659" s="1"/>
    </row>
    <row r="660" spans="7:22">
      <c r="G660" s="1"/>
      <c r="H660" s="1"/>
      <c r="K660" s="1"/>
      <c r="L660" s="1"/>
      <c r="O660" s="1"/>
      <c r="P660" s="1"/>
      <c r="Q660" s="1"/>
      <c r="R660" s="1"/>
      <c r="S660" s="1"/>
      <c r="T660" s="1"/>
      <c r="U660" s="1"/>
      <c r="V660" s="1"/>
    </row>
    <row r="661" spans="7:22">
      <c r="G661" s="1"/>
      <c r="H661" s="1"/>
      <c r="K661" s="1"/>
      <c r="L661" s="1"/>
      <c r="O661" s="1"/>
      <c r="P661" s="1"/>
      <c r="Q661" s="1"/>
      <c r="R661" s="1"/>
      <c r="S661" s="1"/>
      <c r="T661" s="1"/>
      <c r="U661" s="1"/>
      <c r="V661" s="1"/>
    </row>
    <row r="662" spans="7:22">
      <c r="G662" s="1"/>
      <c r="H662" s="1"/>
      <c r="K662" s="1"/>
      <c r="L662" s="1"/>
      <c r="O662" s="1"/>
      <c r="P662" s="1"/>
      <c r="Q662" s="1"/>
      <c r="R662" s="1"/>
      <c r="S662" s="1"/>
      <c r="T662" s="1"/>
      <c r="U662" s="1"/>
      <c r="V662" s="1"/>
    </row>
    <row r="663" spans="7:22">
      <c r="G663" s="1"/>
      <c r="H663" s="1"/>
      <c r="K663" s="1"/>
      <c r="L663" s="1"/>
      <c r="O663" s="1"/>
      <c r="P663" s="1"/>
      <c r="Q663" s="1"/>
      <c r="R663" s="1"/>
      <c r="S663" s="1"/>
      <c r="T663" s="1"/>
      <c r="U663" s="1"/>
      <c r="V663" s="1"/>
    </row>
    <row r="664" spans="7:22">
      <c r="G664" s="1"/>
      <c r="H664" s="1"/>
      <c r="K664" s="1"/>
      <c r="L664" s="1"/>
      <c r="O664" s="1"/>
      <c r="P664" s="1"/>
      <c r="Q664" s="1"/>
      <c r="R664" s="1"/>
      <c r="S664" s="1"/>
      <c r="T664" s="1"/>
      <c r="U664" s="1"/>
      <c r="V664" s="1"/>
    </row>
    <row r="665" spans="7:22">
      <c r="G665" s="1"/>
      <c r="H665" s="1"/>
      <c r="K665" s="1"/>
      <c r="L665" s="1"/>
      <c r="O665" s="1"/>
      <c r="P665" s="1"/>
      <c r="Q665" s="1"/>
      <c r="R665" s="1"/>
      <c r="S665" s="1"/>
      <c r="T665" s="1"/>
      <c r="U665" s="1"/>
      <c r="V665" s="1"/>
    </row>
    <row r="666" spans="7:22">
      <c r="G666" s="1"/>
      <c r="H666" s="1"/>
      <c r="K666" s="1"/>
      <c r="L666" s="1"/>
      <c r="O666" s="1"/>
      <c r="P666" s="1"/>
      <c r="Q666" s="1"/>
      <c r="R666" s="1"/>
      <c r="S666" s="1"/>
      <c r="T666" s="1"/>
      <c r="U666" s="1"/>
      <c r="V666" s="1"/>
    </row>
    <row r="667" spans="7:22">
      <c r="G667" s="1"/>
      <c r="H667" s="1"/>
      <c r="K667" s="1"/>
      <c r="L667" s="1"/>
      <c r="O667" s="1"/>
      <c r="P667" s="1"/>
      <c r="Q667" s="1"/>
      <c r="R667" s="1"/>
      <c r="S667" s="1"/>
      <c r="T667" s="1"/>
      <c r="U667" s="1"/>
      <c r="V667" s="1"/>
    </row>
    <row r="668" spans="7:22">
      <c r="G668" s="1"/>
      <c r="H668" s="1"/>
      <c r="K668" s="1"/>
      <c r="L668" s="1"/>
      <c r="O668" s="1"/>
      <c r="P668" s="1"/>
      <c r="Q668" s="1"/>
      <c r="R668" s="1"/>
      <c r="S668" s="1"/>
      <c r="T668" s="1"/>
      <c r="U668" s="1"/>
      <c r="V668" s="1"/>
    </row>
    <row r="669" spans="7:22">
      <c r="G669" s="1"/>
      <c r="H669" s="1"/>
      <c r="K669" s="1"/>
      <c r="L669" s="1"/>
      <c r="O669" s="1"/>
      <c r="P669" s="1"/>
      <c r="Q669" s="1"/>
      <c r="R669" s="1"/>
      <c r="S669" s="1"/>
      <c r="T669" s="1"/>
      <c r="U669" s="1"/>
      <c r="V669" s="1"/>
    </row>
    <row r="670" spans="7:22">
      <c r="G670" s="1"/>
      <c r="H670" s="1"/>
      <c r="K670" s="1"/>
      <c r="L670" s="1"/>
      <c r="O670" s="1"/>
      <c r="P670" s="1"/>
      <c r="Q670" s="1"/>
      <c r="R670" s="1"/>
      <c r="S670" s="1"/>
      <c r="T670" s="1"/>
      <c r="U670" s="1"/>
      <c r="V670" s="1"/>
    </row>
    <row r="671" spans="7:22">
      <c r="G671" s="1"/>
      <c r="H671" s="1"/>
      <c r="K671" s="1"/>
      <c r="L671" s="1"/>
      <c r="O671" s="1"/>
      <c r="P671" s="1"/>
      <c r="Q671" s="1"/>
      <c r="R671" s="1"/>
      <c r="S671" s="1"/>
      <c r="T671" s="1"/>
      <c r="U671" s="1"/>
      <c r="V671" s="1"/>
    </row>
    <row r="672" spans="7:22">
      <c r="G672" s="1"/>
      <c r="H672" s="1"/>
      <c r="K672" s="1"/>
      <c r="L672" s="1"/>
      <c r="O672" s="1"/>
      <c r="P672" s="1"/>
      <c r="Q672" s="1"/>
      <c r="R672" s="1"/>
      <c r="S672" s="1"/>
      <c r="T672" s="1"/>
      <c r="U672" s="1"/>
      <c r="V672" s="1"/>
    </row>
    <row r="673" spans="7:22">
      <c r="G673" s="1"/>
      <c r="H673" s="1"/>
      <c r="K673" s="1"/>
      <c r="L673" s="1"/>
      <c r="O673" s="1"/>
      <c r="P673" s="1"/>
      <c r="Q673" s="1"/>
      <c r="R673" s="1"/>
      <c r="S673" s="1"/>
      <c r="T673" s="1"/>
      <c r="U673" s="1"/>
      <c r="V673" s="1"/>
    </row>
    <row r="674" spans="7:22">
      <c r="G674" s="1"/>
      <c r="H674" s="1"/>
      <c r="K674" s="1"/>
      <c r="L674" s="1"/>
      <c r="O674" s="1"/>
      <c r="P674" s="1"/>
      <c r="Q674" s="1"/>
      <c r="R674" s="1"/>
      <c r="S674" s="1"/>
      <c r="T674" s="1"/>
      <c r="U674" s="1"/>
      <c r="V674" s="1"/>
    </row>
    <row r="675" spans="7:22">
      <c r="G675" s="1"/>
      <c r="H675" s="1"/>
      <c r="K675" s="1"/>
      <c r="L675" s="1"/>
      <c r="O675" s="1"/>
      <c r="P675" s="1"/>
      <c r="Q675" s="1"/>
      <c r="R675" s="1"/>
      <c r="S675" s="1"/>
      <c r="T675" s="1"/>
      <c r="U675" s="1"/>
      <c r="V675" s="1"/>
    </row>
    <row r="676" spans="7:22">
      <c r="G676" s="1"/>
      <c r="H676" s="1"/>
      <c r="K676" s="1"/>
      <c r="L676" s="1"/>
      <c r="O676" s="1"/>
      <c r="P676" s="1"/>
      <c r="Q676" s="1"/>
      <c r="R676" s="1"/>
      <c r="S676" s="1"/>
      <c r="T676" s="1"/>
      <c r="U676" s="1"/>
      <c r="V676" s="1"/>
    </row>
    <row r="677" spans="7:22">
      <c r="G677" s="1"/>
      <c r="H677" s="1"/>
      <c r="K677" s="1"/>
      <c r="L677" s="1"/>
      <c r="O677" s="1"/>
      <c r="P677" s="1"/>
      <c r="Q677" s="1"/>
      <c r="R677" s="1"/>
      <c r="S677" s="1"/>
      <c r="T677" s="1"/>
      <c r="U677" s="1"/>
      <c r="V677" s="1"/>
    </row>
    <row r="678" spans="7:22">
      <c r="G678" s="1"/>
      <c r="H678" s="1"/>
      <c r="K678" s="1"/>
      <c r="L678" s="1"/>
      <c r="O678" s="1"/>
      <c r="P678" s="1"/>
      <c r="Q678" s="1"/>
      <c r="R678" s="1"/>
      <c r="S678" s="1"/>
      <c r="T678" s="1"/>
      <c r="U678" s="1"/>
      <c r="V678" s="1"/>
    </row>
    <row r="679" spans="7:22">
      <c r="G679" s="1"/>
      <c r="H679" s="1"/>
      <c r="K679" s="1"/>
      <c r="L679" s="1"/>
      <c r="O679" s="1"/>
      <c r="P679" s="1"/>
      <c r="Q679" s="1"/>
      <c r="R679" s="1"/>
      <c r="S679" s="1"/>
      <c r="T679" s="1"/>
      <c r="U679" s="1"/>
      <c r="V679" s="1"/>
    </row>
    <row r="680" spans="7:22">
      <c r="G680" s="1"/>
      <c r="H680" s="1"/>
      <c r="K680" s="1"/>
      <c r="L680" s="1"/>
      <c r="O680" s="1"/>
      <c r="P680" s="1"/>
      <c r="Q680" s="1"/>
      <c r="R680" s="1"/>
      <c r="S680" s="1"/>
      <c r="T680" s="1"/>
      <c r="U680" s="1"/>
      <c r="V680" s="1"/>
    </row>
    <row r="681" spans="7:22">
      <c r="G681" s="1"/>
      <c r="H681" s="1"/>
      <c r="K681" s="1"/>
      <c r="L681" s="1"/>
      <c r="O681" s="1"/>
      <c r="P681" s="1"/>
      <c r="Q681" s="1"/>
      <c r="R681" s="1"/>
      <c r="S681" s="1"/>
      <c r="T681" s="1"/>
      <c r="U681" s="1"/>
      <c r="V681" s="1"/>
    </row>
    <row r="682" spans="7:22">
      <c r="G682" s="1"/>
      <c r="H682" s="1"/>
      <c r="K682" s="1"/>
      <c r="L682" s="1"/>
      <c r="O682" s="1"/>
      <c r="P682" s="1"/>
      <c r="Q682" s="1"/>
      <c r="R682" s="1"/>
      <c r="S682" s="1"/>
      <c r="T682" s="1"/>
      <c r="U682" s="1"/>
      <c r="V682" s="1"/>
    </row>
    <row r="683" spans="7:22">
      <c r="G683" s="1"/>
      <c r="H683" s="1"/>
      <c r="K683" s="1"/>
      <c r="L683" s="1"/>
      <c r="O683" s="1"/>
      <c r="P683" s="1"/>
      <c r="Q683" s="1"/>
      <c r="R683" s="1"/>
      <c r="S683" s="1"/>
      <c r="T683" s="1"/>
      <c r="U683" s="1"/>
      <c r="V683" s="1"/>
    </row>
    <row r="684" spans="7:22">
      <c r="G684" s="1"/>
      <c r="H684" s="1"/>
      <c r="K684" s="1"/>
      <c r="L684" s="1"/>
      <c r="O684" s="1"/>
      <c r="P684" s="1"/>
      <c r="Q684" s="1"/>
      <c r="R684" s="1"/>
      <c r="S684" s="1"/>
      <c r="T684" s="1"/>
      <c r="U684" s="1"/>
      <c r="V684" s="1"/>
    </row>
    <row r="685" spans="7:22">
      <c r="G685" s="1"/>
      <c r="H685" s="1"/>
      <c r="K685" s="1"/>
      <c r="L685" s="1"/>
      <c r="O685" s="1"/>
      <c r="P685" s="1"/>
      <c r="Q685" s="1"/>
      <c r="R685" s="1"/>
      <c r="S685" s="1"/>
      <c r="T685" s="1"/>
      <c r="U685" s="1"/>
      <c r="V685" s="1"/>
    </row>
    <row r="686" spans="7:22">
      <c r="G686" s="1"/>
      <c r="H686" s="1"/>
      <c r="K686" s="1"/>
      <c r="L686" s="1"/>
      <c r="O686" s="1"/>
      <c r="P686" s="1"/>
      <c r="Q686" s="1"/>
      <c r="R686" s="1"/>
      <c r="S686" s="1"/>
      <c r="T686" s="1"/>
      <c r="U686" s="1"/>
      <c r="V686" s="1"/>
    </row>
    <row r="687" spans="7:22">
      <c r="G687" s="1"/>
      <c r="H687" s="1"/>
      <c r="K687" s="1"/>
      <c r="L687" s="1"/>
      <c r="O687" s="1"/>
      <c r="P687" s="1"/>
      <c r="Q687" s="1"/>
      <c r="R687" s="1"/>
      <c r="S687" s="1"/>
      <c r="T687" s="1"/>
      <c r="U687" s="1"/>
      <c r="V687" s="1"/>
    </row>
    <row r="688" spans="7:22">
      <c r="G688" s="1"/>
      <c r="H688" s="1"/>
      <c r="K688" s="1"/>
      <c r="L688" s="1"/>
      <c r="O688" s="1"/>
      <c r="P688" s="1"/>
      <c r="Q688" s="1"/>
      <c r="R688" s="1"/>
      <c r="S688" s="1"/>
      <c r="T688" s="1"/>
      <c r="U688" s="1"/>
      <c r="V688" s="1"/>
    </row>
    <row r="689" spans="7:22">
      <c r="G689" s="1"/>
      <c r="H689" s="1"/>
      <c r="K689" s="1"/>
      <c r="L689" s="1"/>
      <c r="O689" s="1"/>
      <c r="P689" s="1"/>
      <c r="Q689" s="1"/>
      <c r="R689" s="1"/>
      <c r="S689" s="1"/>
      <c r="T689" s="1"/>
      <c r="U689" s="1"/>
      <c r="V689" s="1"/>
    </row>
    <row r="690" spans="7:22">
      <c r="G690" s="1"/>
      <c r="H690" s="1"/>
      <c r="K690" s="1"/>
      <c r="L690" s="1"/>
      <c r="O690" s="1"/>
      <c r="P690" s="1"/>
      <c r="Q690" s="1"/>
      <c r="R690" s="1"/>
      <c r="S690" s="1"/>
      <c r="T690" s="1"/>
      <c r="U690" s="1"/>
      <c r="V690" s="1"/>
    </row>
    <row r="691" spans="7:22">
      <c r="G691" s="1"/>
      <c r="H691" s="1"/>
      <c r="K691" s="1"/>
      <c r="L691" s="1"/>
      <c r="O691" s="1"/>
      <c r="P691" s="1"/>
      <c r="Q691" s="1"/>
      <c r="R691" s="1"/>
      <c r="S691" s="1"/>
      <c r="T691" s="1"/>
      <c r="U691" s="1"/>
      <c r="V691" s="1"/>
    </row>
    <row r="692" spans="7:22">
      <c r="G692" s="1"/>
      <c r="H692" s="1"/>
      <c r="K692" s="1"/>
      <c r="L692" s="1"/>
      <c r="O692" s="1"/>
      <c r="P692" s="1"/>
      <c r="Q692" s="1"/>
      <c r="R692" s="1"/>
      <c r="S692" s="1"/>
      <c r="T692" s="1"/>
      <c r="U692" s="1"/>
      <c r="V692" s="1"/>
    </row>
    <row r="693" spans="7:22">
      <c r="G693" s="1"/>
      <c r="H693" s="1"/>
      <c r="K693" s="1"/>
      <c r="L693" s="1"/>
      <c r="O693" s="1"/>
      <c r="P693" s="1"/>
      <c r="Q693" s="1"/>
      <c r="R693" s="1"/>
      <c r="S693" s="1"/>
      <c r="T693" s="1"/>
      <c r="U693" s="1"/>
      <c r="V693" s="1"/>
    </row>
    <row r="694" spans="7:22">
      <c r="G694" s="1"/>
      <c r="H694" s="1"/>
      <c r="K694" s="1"/>
      <c r="L694" s="1"/>
      <c r="O694" s="1"/>
      <c r="P694" s="1"/>
      <c r="Q694" s="1"/>
      <c r="R694" s="1"/>
      <c r="S694" s="1"/>
      <c r="T694" s="1"/>
      <c r="U694" s="1"/>
      <c r="V694" s="1"/>
    </row>
    <row r="695" spans="7:22">
      <c r="G695" s="1"/>
      <c r="H695" s="1"/>
      <c r="K695" s="1"/>
      <c r="L695" s="1"/>
      <c r="O695" s="1"/>
      <c r="P695" s="1"/>
      <c r="Q695" s="1"/>
      <c r="R695" s="1"/>
      <c r="S695" s="1"/>
      <c r="T695" s="1"/>
      <c r="U695" s="1"/>
      <c r="V695" s="1"/>
    </row>
    <row r="696" spans="7:22">
      <c r="G696" s="1"/>
      <c r="H696" s="1"/>
      <c r="K696" s="1"/>
      <c r="L696" s="1"/>
      <c r="O696" s="1"/>
      <c r="P696" s="1"/>
      <c r="Q696" s="1"/>
      <c r="R696" s="1"/>
      <c r="S696" s="1"/>
      <c r="T696" s="1"/>
      <c r="U696" s="1"/>
      <c r="V696" s="1"/>
    </row>
    <row r="697" spans="7:22">
      <c r="G697" s="1"/>
      <c r="H697" s="1"/>
      <c r="K697" s="1"/>
      <c r="L697" s="1"/>
      <c r="O697" s="1"/>
      <c r="P697" s="1"/>
      <c r="Q697" s="1"/>
      <c r="R697" s="1"/>
      <c r="S697" s="1"/>
      <c r="T697" s="1"/>
      <c r="U697" s="1"/>
      <c r="V697" s="1"/>
    </row>
    <row r="698" spans="7:22">
      <c r="G698" s="1"/>
      <c r="H698" s="1"/>
      <c r="K698" s="1"/>
      <c r="L698" s="1"/>
      <c r="O698" s="1"/>
      <c r="P698" s="1"/>
      <c r="Q698" s="1"/>
      <c r="R698" s="1"/>
      <c r="S698" s="1"/>
      <c r="T698" s="1"/>
      <c r="U698" s="1"/>
      <c r="V698" s="1"/>
    </row>
    <row r="699" spans="7:22">
      <c r="G699" s="1"/>
      <c r="H699" s="1"/>
      <c r="K699" s="1"/>
      <c r="L699" s="1"/>
      <c r="O699" s="1"/>
      <c r="P699" s="1"/>
      <c r="Q699" s="1"/>
      <c r="R699" s="1"/>
      <c r="S699" s="1"/>
      <c r="T699" s="1"/>
      <c r="U699" s="1"/>
      <c r="V699" s="1"/>
    </row>
    <row r="700" spans="7:22">
      <c r="G700" s="1"/>
      <c r="H700" s="1"/>
      <c r="K700" s="1"/>
      <c r="L700" s="1"/>
      <c r="O700" s="1"/>
      <c r="P700" s="1"/>
      <c r="Q700" s="1"/>
      <c r="R700" s="1"/>
      <c r="S700" s="1"/>
      <c r="T700" s="1"/>
      <c r="U700" s="1"/>
      <c r="V700" s="1"/>
    </row>
    <row r="701" spans="7:22">
      <c r="G701" s="1"/>
      <c r="H701" s="1"/>
      <c r="K701" s="1"/>
      <c r="L701" s="1"/>
      <c r="O701" s="1"/>
      <c r="P701" s="1"/>
      <c r="Q701" s="1"/>
      <c r="R701" s="1"/>
      <c r="S701" s="1"/>
      <c r="T701" s="1"/>
      <c r="U701" s="1"/>
      <c r="V701" s="1"/>
    </row>
    <row r="702" spans="7:22">
      <c r="G702" s="1"/>
      <c r="H702" s="1"/>
      <c r="K702" s="1"/>
      <c r="L702" s="1"/>
      <c r="O702" s="1"/>
      <c r="P702" s="1"/>
      <c r="Q702" s="1"/>
      <c r="R702" s="1"/>
      <c r="S702" s="1"/>
      <c r="T702" s="1"/>
      <c r="U702" s="1"/>
      <c r="V702" s="1"/>
    </row>
    <row r="703" spans="7:22">
      <c r="G703" s="1"/>
      <c r="H703" s="1"/>
      <c r="K703" s="1"/>
      <c r="L703" s="1"/>
      <c r="O703" s="1"/>
      <c r="P703" s="1"/>
      <c r="Q703" s="1"/>
      <c r="R703" s="1"/>
      <c r="S703" s="1"/>
      <c r="T703" s="1"/>
      <c r="U703" s="1"/>
      <c r="V703" s="1"/>
    </row>
    <row r="704" spans="7:22">
      <c r="G704" s="1"/>
      <c r="H704" s="1"/>
      <c r="K704" s="1"/>
      <c r="L704" s="1"/>
      <c r="O704" s="1"/>
      <c r="P704" s="1"/>
      <c r="Q704" s="1"/>
      <c r="R704" s="1"/>
      <c r="S704" s="1"/>
      <c r="T704" s="1"/>
      <c r="U704" s="1"/>
      <c r="V704" s="1"/>
    </row>
    <row r="705" spans="7:22">
      <c r="G705" s="1"/>
      <c r="H705" s="1"/>
      <c r="K705" s="1"/>
      <c r="L705" s="1"/>
      <c r="O705" s="1"/>
      <c r="P705" s="1"/>
      <c r="Q705" s="1"/>
      <c r="R705" s="1"/>
      <c r="S705" s="1"/>
      <c r="T705" s="1"/>
      <c r="U705" s="1"/>
      <c r="V705" s="1"/>
    </row>
    <row r="706" spans="7:22">
      <c r="G706" s="1"/>
      <c r="H706" s="1"/>
      <c r="K706" s="1"/>
      <c r="L706" s="1"/>
      <c r="O706" s="1"/>
      <c r="P706" s="1"/>
      <c r="Q706" s="1"/>
      <c r="R706" s="1"/>
      <c r="S706" s="1"/>
      <c r="T706" s="1"/>
      <c r="U706" s="1"/>
      <c r="V706" s="1"/>
    </row>
    <row r="707" spans="7:22">
      <c r="G707" s="1"/>
      <c r="H707" s="1"/>
      <c r="K707" s="1"/>
      <c r="L707" s="1"/>
      <c r="O707" s="1"/>
      <c r="P707" s="1"/>
      <c r="Q707" s="1"/>
      <c r="R707" s="1"/>
      <c r="S707" s="1"/>
      <c r="T707" s="1"/>
      <c r="U707" s="1"/>
      <c r="V707" s="1"/>
    </row>
    <row r="708" spans="7:22">
      <c r="G708" s="1"/>
      <c r="H708" s="1"/>
      <c r="K708" s="1"/>
      <c r="L708" s="1"/>
      <c r="O708" s="1"/>
      <c r="P708" s="1"/>
      <c r="Q708" s="1"/>
      <c r="R708" s="1"/>
      <c r="S708" s="1"/>
      <c r="T708" s="1"/>
      <c r="U708" s="1"/>
      <c r="V708" s="1"/>
    </row>
    <row r="709" spans="7:22">
      <c r="G709" s="1"/>
      <c r="H709" s="1"/>
      <c r="K709" s="1"/>
      <c r="L709" s="1"/>
      <c r="O709" s="1"/>
      <c r="P709" s="1"/>
      <c r="Q709" s="1"/>
      <c r="R709" s="1"/>
      <c r="S709" s="1"/>
      <c r="T709" s="1"/>
      <c r="U709" s="1"/>
      <c r="V709" s="1"/>
    </row>
    <row r="710" spans="7:22">
      <c r="G710" s="1"/>
      <c r="H710" s="1"/>
      <c r="K710" s="1"/>
      <c r="L710" s="1"/>
      <c r="O710" s="1"/>
      <c r="P710" s="1"/>
      <c r="Q710" s="1"/>
      <c r="R710" s="1"/>
      <c r="S710" s="1"/>
      <c r="T710" s="1"/>
      <c r="U710" s="1"/>
      <c r="V710" s="1"/>
    </row>
    <row r="711" spans="7:22">
      <c r="G711" s="1"/>
      <c r="H711" s="1"/>
      <c r="K711" s="1"/>
      <c r="L711" s="1"/>
      <c r="O711" s="1"/>
      <c r="P711" s="1"/>
      <c r="Q711" s="1"/>
      <c r="R711" s="1"/>
      <c r="S711" s="1"/>
      <c r="T711" s="1"/>
      <c r="U711" s="1"/>
      <c r="V711" s="1"/>
    </row>
    <row r="712" spans="7:22">
      <c r="G712" s="1"/>
      <c r="H712" s="1"/>
      <c r="K712" s="1"/>
      <c r="L712" s="1"/>
      <c r="O712" s="1"/>
      <c r="P712" s="1"/>
      <c r="Q712" s="1"/>
      <c r="R712" s="1"/>
      <c r="S712" s="1"/>
      <c r="T712" s="1"/>
      <c r="U712" s="1"/>
      <c r="V712" s="1"/>
    </row>
    <row r="713" spans="7:22">
      <c r="G713" s="1"/>
      <c r="H713" s="1"/>
      <c r="K713" s="1"/>
      <c r="L713" s="1"/>
      <c r="O713" s="1"/>
      <c r="P713" s="1"/>
      <c r="Q713" s="1"/>
      <c r="R713" s="1"/>
      <c r="S713" s="1"/>
      <c r="T713" s="1"/>
      <c r="U713" s="1"/>
      <c r="V713" s="1"/>
    </row>
    <row r="714" spans="7:22">
      <c r="G714" s="1"/>
      <c r="H714" s="1"/>
      <c r="K714" s="1"/>
      <c r="L714" s="1"/>
      <c r="O714" s="1"/>
      <c r="P714" s="1"/>
      <c r="Q714" s="1"/>
      <c r="R714" s="1"/>
      <c r="S714" s="1"/>
      <c r="T714" s="1"/>
      <c r="U714" s="1"/>
      <c r="V714" s="1"/>
    </row>
    <row r="715" spans="7:22">
      <c r="G715" s="1"/>
      <c r="H715" s="1"/>
      <c r="K715" s="1"/>
      <c r="L715" s="1"/>
      <c r="O715" s="1"/>
      <c r="P715" s="1"/>
      <c r="Q715" s="1"/>
      <c r="R715" s="1"/>
      <c r="S715" s="1"/>
      <c r="T715" s="1"/>
      <c r="U715" s="1"/>
      <c r="V715" s="1"/>
    </row>
    <row r="716" spans="7:22">
      <c r="G716" s="1"/>
      <c r="H716" s="1"/>
      <c r="K716" s="1"/>
      <c r="L716" s="1"/>
      <c r="O716" s="1"/>
      <c r="P716" s="1"/>
      <c r="Q716" s="1"/>
      <c r="R716" s="1"/>
      <c r="S716" s="1"/>
      <c r="T716" s="1"/>
      <c r="U716" s="1"/>
      <c r="V716" s="1"/>
    </row>
    <row r="717" spans="7:22">
      <c r="G717" s="1"/>
      <c r="H717" s="1"/>
      <c r="K717" s="1"/>
      <c r="L717" s="1"/>
      <c r="O717" s="1"/>
      <c r="P717" s="1"/>
      <c r="Q717" s="1"/>
      <c r="R717" s="1"/>
      <c r="S717" s="1"/>
      <c r="T717" s="1"/>
      <c r="U717" s="1"/>
      <c r="V717" s="1"/>
    </row>
    <row r="718" spans="7:22">
      <c r="G718" s="1"/>
      <c r="H718" s="1"/>
      <c r="K718" s="1"/>
      <c r="L718" s="1"/>
      <c r="O718" s="1"/>
      <c r="P718" s="1"/>
      <c r="Q718" s="1"/>
      <c r="R718" s="1"/>
      <c r="S718" s="1"/>
      <c r="T718" s="1"/>
      <c r="U718" s="1"/>
      <c r="V718" s="1"/>
    </row>
    <row r="719" spans="7:22">
      <c r="G719" s="1"/>
      <c r="H719" s="1"/>
      <c r="K719" s="1"/>
      <c r="L719" s="1"/>
      <c r="O719" s="1"/>
      <c r="P719" s="1"/>
      <c r="Q719" s="1"/>
      <c r="R719" s="1"/>
      <c r="S719" s="1"/>
      <c r="T719" s="1"/>
      <c r="U719" s="1"/>
      <c r="V719" s="1"/>
    </row>
    <row r="720" spans="7:22">
      <c r="G720" s="1"/>
      <c r="H720" s="1"/>
      <c r="K720" s="1"/>
      <c r="L720" s="1"/>
      <c r="O720" s="1"/>
      <c r="P720" s="1"/>
      <c r="Q720" s="1"/>
      <c r="R720" s="1"/>
      <c r="S720" s="1"/>
      <c r="T720" s="1"/>
      <c r="U720" s="1"/>
      <c r="V720" s="1"/>
    </row>
    <row r="721" spans="7:22">
      <c r="G721" s="1"/>
      <c r="H721" s="1"/>
      <c r="K721" s="1"/>
      <c r="L721" s="1"/>
      <c r="O721" s="1"/>
      <c r="P721" s="1"/>
      <c r="Q721" s="1"/>
      <c r="R721" s="1"/>
      <c r="S721" s="1"/>
      <c r="T721" s="1"/>
      <c r="U721" s="1"/>
      <c r="V721" s="1"/>
    </row>
    <row r="722" spans="7:22">
      <c r="G722" s="1"/>
      <c r="H722" s="1"/>
      <c r="K722" s="1"/>
      <c r="L722" s="1"/>
      <c r="O722" s="1"/>
      <c r="P722" s="1"/>
      <c r="Q722" s="1"/>
      <c r="R722" s="1"/>
      <c r="S722" s="1"/>
      <c r="T722" s="1"/>
      <c r="U722" s="1"/>
      <c r="V722" s="1"/>
    </row>
    <row r="723" spans="7:22">
      <c r="G723" s="1"/>
      <c r="H723" s="1"/>
      <c r="K723" s="1"/>
      <c r="L723" s="1"/>
      <c r="O723" s="1"/>
      <c r="P723" s="1"/>
      <c r="Q723" s="1"/>
      <c r="R723" s="1"/>
      <c r="S723" s="1"/>
      <c r="T723" s="1"/>
      <c r="U723" s="1"/>
      <c r="V723" s="1"/>
    </row>
    <row r="724" spans="7:22">
      <c r="G724" s="1"/>
      <c r="H724" s="1"/>
      <c r="K724" s="1"/>
      <c r="L724" s="1"/>
      <c r="O724" s="1"/>
      <c r="P724" s="1"/>
      <c r="Q724" s="1"/>
      <c r="R724" s="1"/>
      <c r="S724" s="1"/>
      <c r="T724" s="1"/>
      <c r="U724" s="1"/>
      <c r="V724" s="1"/>
    </row>
    <row r="725" spans="7:22">
      <c r="G725" s="1"/>
      <c r="H725" s="1"/>
      <c r="K725" s="1"/>
      <c r="L725" s="1"/>
      <c r="O725" s="1"/>
      <c r="P725" s="1"/>
      <c r="Q725" s="1"/>
      <c r="R725" s="1"/>
      <c r="S725" s="1"/>
      <c r="T725" s="1"/>
      <c r="U725" s="1"/>
      <c r="V725" s="1"/>
    </row>
    <row r="726" spans="7:22">
      <c r="G726" s="1"/>
      <c r="H726" s="1"/>
      <c r="K726" s="1"/>
      <c r="L726" s="1"/>
      <c r="O726" s="1"/>
      <c r="P726" s="1"/>
      <c r="Q726" s="1"/>
      <c r="R726" s="1"/>
      <c r="S726" s="1"/>
      <c r="T726" s="1"/>
      <c r="U726" s="1"/>
      <c r="V726" s="1"/>
    </row>
    <row r="727" spans="7:22">
      <c r="G727" s="1"/>
      <c r="H727" s="1"/>
      <c r="K727" s="1"/>
      <c r="L727" s="1"/>
      <c r="O727" s="1"/>
      <c r="P727" s="1"/>
      <c r="Q727" s="1"/>
      <c r="R727" s="1"/>
      <c r="S727" s="1"/>
      <c r="T727" s="1"/>
      <c r="U727" s="1"/>
      <c r="V727" s="1"/>
    </row>
    <row r="728" spans="7:22">
      <c r="G728" s="1"/>
      <c r="H728" s="1"/>
      <c r="K728" s="1"/>
      <c r="L728" s="1"/>
      <c r="O728" s="1"/>
      <c r="P728" s="1"/>
      <c r="Q728" s="1"/>
      <c r="R728" s="1"/>
      <c r="S728" s="1"/>
      <c r="T728" s="1"/>
      <c r="U728" s="1"/>
      <c r="V728" s="1"/>
    </row>
    <row r="729" spans="7:22">
      <c r="G729" s="1"/>
      <c r="H729" s="1"/>
      <c r="K729" s="1"/>
      <c r="L729" s="1"/>
      <c r="O729" s="1"/>
      <c r="P729" s="1"/>
      <c r="Q729" s="1"/>
      <c r="R729" s="1"/>
      <c r="S729" s="1"/>
      <c r="T729" s="1"/>
      <c r="U729" s="1"/>
      <c r="V729" s="1"/>
    </row>
    <row r="730" spans="7:22">
      <c r="G730" s="1"/>
      <c r="H730" s="1"/>
      <c r="K730" s="1"/>
      <c r="L730" s="1"/>
      <c r="O730" s="1"/>
      <c r="P730" s="1"/>
      <c r="Q730" s="1"/>
      <c r="R730" s="1"/>
      <c r="S730" s="1"/>
      <c r="T730" s="1"/>
      <c r="U730" s="1"/>
      <c r="V730" s="1"/>
    </row>
    <row r="731" spans="7:22">
      <c r="G731" s="1"/>
      <c r="H731" s="1"/>
      <c r="K731" s="1"/>
      <c r="L731" s="1"/>
      <c r="O731" s="1"/>
      <c r="P731" s="1"/>
      <c r="Q731" s="1"/>
      <c r="R731" s="1"/>
      <c r="S731" s="1"/>
      <c r="T731" s="1"/>
      <c r="U731" s="1"/>
      <c r="V731" s="1"/>
    </row>
    <row r="732" spans="7:22">
      <c r="G732" s="1"/>
      <c r="H732" s="1"/>
      <c r="K732" s="1"/>
      <c r="L732" s="1"/>
      <c r="O732" s="1"/>
      <c r="P732" s="1"/>
      <c r="Q732" s="1"/>
      <c r="R732" s="1"/>
      <c r="S732" s="1"/>
      <c r="T732" s="1"/>
      <c r="U732" s="1"/>
      <c r="V732" s="1"/>
    </row>
    <row r="733" spans="7:22">
      <c r="G733" s="1"/>
      <c r="H733" s="1"/>
      <c r="K733" s="1"/>
      <c r="L733" s="1"/>
      <c r="O733" s="1"/>
      <c r="P733" s="1"/>
      <c r="Q733" s="1"/>
      <c r="R733" s="1"/>
      <c r="S733" s="1"/>
      <c r="T733" s="1"/>
      <c r="U733" s="1"/>
      <c r="V733" s="1"/>
    </row>
    <row r="734" spans="7:22">
      <c r="G734" s="1"/>
      <c r="H734" s="1"/>
      <c r="K734" s="1"/>
      <c r="L734" s="1"/>
      <c r="O734" s="1"/>
      <c r="P734" s="1"/>
      <c r="Q734" s="1"/>
      <c r="R734" s="1"/>
      <c r="S734" s="1"/>
      <c r="T734" s="1"/>
      <c r="U734" s="1"/>
      <c r="V734" s="1"/>
    </row>
    <row r="735" spans="7:22">
      <c r="G735" s="1"/>
      <c r="H735" s="1"/>
      <c r="K735" s="1"/>
      <c r="L735" s="1"/>
      <c r="O735" s="1"/>
      <c r="P735" s="1"/>
      <c r="Q735" s="1"/>
      <c r="R735" s="1"/>
      <c r="S735" s="1"/>
      <c r="T735" s="1"/>
      <c r="U735" s="1"/>
      <c r="V735" s="1"/>
    </row>
    <row r="736" spans="7:22">
      <c r="G736" s="1"/>
      <c r="H736" s="1"/>
      <c r="K736" s="1"/>
      <c r="L736" s="1"/>
      <c r="O736" s="1"/>
      <c r="P736" s="1"/>
      <c r="Q736" s="1"/>
      <c r="R736" s="1"/>
      <c r="S736" s="1"/>
      <c r="T736" s="1"/>
      <c r="U736" s="1"/>
      <c r="V736" s="1"/>
    </row>
    <row r="737" spans="7:22">
      <c r="G737" s="1"/>
      <c r="H737" s="1"/>
      <c r="K737" s="1"/>
      <c r="L737" s="1"/>
      <c r="O737" s="1"/>
      <c r="P737" s="1"/>
      <c r="Q737" s="1"/>
      <c r="R737" s="1"/>
      <c r="S737" s="1"/>
      <c r="T737" s="1"/>
      <c r="U737" s="1"/>
      <c r="V737" s="1"/>
    </row>
    <row r="738" spans="7:22">
      <c r="G738" s="1"/>
      <c r="H738" s="1"/>
      <c r="K738" s="1"/>
      <c r="L738" s="1"/>
      <c r="O738" s="1"/>
      <c r="P738" s="1"/>
      <c r="Q738" s="1"/>
      <c r="R738" s="1"/>
      <c r="S738" s="1"/>
      <c r="T738" s="1"/>
      <c r="U738" s="1"/>
      <c r="V738" s="1"/>
    </row>
    <row r="739" spans="7:22">
      <c r="G739" s="1"/>
      <c r="H739" s="1"/>
      <c r="K739" s="1"/>
      <c r="L739" s="1"/>
      <c r="O739" s="1"/>
      <c r="P739" s="1"/>
      <c r="Q739" s="1"/>
      <c r="R739" s="1"/>
      <c r="S739" s="1"/>
      <c r="T739" s="1"/>
      <c r="U739" s="1"/>
      <c r="V739" s="1"/>
    </row>
    <row r="740" spans="7:22">
      <c r="G740" s="1"/>
      <c r="H740" s="1"/>
      <c r="K740" s="1"/>
      <c r="L740" s="1"/>
      <c r="O740" s="1"/>
      <c r="P740" s="1"/>
      <c r="Q740" s="1"/>
      <c r="R740" s="1"/>
      <c r="S740" s="1"/>
      <c r="T740" s="1"/>
      <c r="U740" s="1"/>
      <c r="V740" s="1"/>
    </row>
    <row r="741" spans="7:22">
      <c r="G741" s="1"/>
      <c r="H741" s="1"/>
      <c r="K741" s="1"/>
      <c r="L741" s="1"/>
      <c r="O741" s="1"/>
      <c r="P741" s="1"/>
      <c r="Q741" s="1"/>
      <c r="R741" s="1"/>
      <c r="S741" s="1"/>
      <c r="T741" s="1"/>
      <c r="U741" s="1"/>
      <c r="V741" s="1"/>
    </row>
    <row r="742" spans="7:22">
      <c r="G742" s="1"/>
      <c r="H742" s="1"/>
      <c r="K742" s="1"/>
      <c r="L742" s="1"/>
      <c r="O742" s="1"/>
      <c r="P742" s="1"/>
      <c r="Q742" s="1"/>
      <c r="R742" s="1"/>
      <c r="S742" s="1"/>
      <c r="T742" s="1"/>
      <c r="U742" s="1"/>
      <c r="V742" s="1"/>
    </row>
    <row r="743" spans="7:22">
      <c r="G743" s="1"/>
      <c r="H743" s="1"/>
      <c r="K743" s="1"/>
      <c r="L743" s="1"/>
      <c r="O743" s="1"/>
      <c r="P743" s="1"/>
      <c r="Q743" s="1"/>
      <c r="R743" s="1"/>
      <c r="S743" s="1"/>
      <c r="T743" s="1"/>
      <c r="U743" s="1"/>
      <c r="V743" s="1"/>
    </row>
    <row r="744" spans="7:22">
      <c r="G744" s="1"/>
      <c r="H744" s="1"/>
      <c r="K744" s="1"/>
      <c r="L744" s="1"/>
      <c r="O744" s="1"/>
      <c r="P744" s="1"/>
      <c r="Q744" s="1"/>
      <c r="R744" s="1"/>
      <c r="S744" s="1"/>
      <c r="T744" s="1"/>
      <c r="U744" s="1"/>
      <c r="V744" s="1"/>
    </row>
    <row r="745" spans="7:22">
      <c r="G745" s="1"/>
      <c r="H745" s="1"/>
      <c r="K745" s="1"/>
      <c r="L745" s="1"/>
      <c r="O745" s="1"/>
      <c r="P745" s="1"/>
      <c r="Q745" s="1"/>
      <c r="R745" s="1"/>
      <c r="S745" s="1"/>
      <c r="T745" s="1"/>
      <c r="U745" s="1"/>
      <c r="V745" s="1"/>
    </row>
    <row r="746" spans="7:22">
      <c r="G746" s="1"/>
      <c r="H746" s="1"/>
      <c r="K746" s="1"/>
      <c r="L746" s="1"/>
      <c r="O746" s="1"/>
      <c r="P746" s="1"/>
      <c r="Q746" s="1"/>
      <c r="R746" s="1"/>
      <c r="S746" s="1"/>
      <c r="T746" s="1"/>
      <c r="U746" s="1"/>
      <c r="V746" s="1"/>
    </row>
    <row r="747" spans="7:22">
      <c r="G747" s="1"/>
      <c r="H747" s="1"/>
      <c r="K747" s="1"/>
      <c r="L747" s="1"/>
      <c r="O747" s="1"/>
      <c r="P747" s="1"/>
      <c r="Q747" s="1"/>
      <c r="R747" s="1"/>
      <c r="S747" s="1"/>
      <c r="T747" s="1"/>
      <c r="U747" s="1"/>
      <c r="V747" s="1"/>
    </row>
    <row r="748" spans="7:22">
      <c r="G748" s="1"/>
      <c r="H748" s="1"/>
      <c r="K748" s="1"/>
      <c r="L748" s="1"/>
      <c r="O748" s="1"/>
      <c r="P748" s="1"/>
      <c r="Q748" s="1"/>
      <c r="R748" s="1"/>
      <c r="S748" s="1"/>
      <c r="T748" s="1"/>
      <c r="U748" s="1"/>
      <c r="V748" s="1"/>
    </row>
    <row r="749" spans="7:22">
      <c r="G749" s="1"/>
      <c r="H749" s="1"/>
      <c r="K749" s="1"/>
      <c r="L749" s="1"/>
      <c r="O749" s="1"/>
      <c r="P749" s="1"/>
      <c r="Q749" s="1"/>
      <c r="R749" s="1"/>
      <c r="S749" s="1"/>
      <c r="T749" s="1"/>
      <c r="U749" s="1"/>
      <c r="V749" s="1"/>
    </row>
    <row r="750" spans="7:22">
      <c r="G750" s="1"/>
      <c r="H750" s="1"/>
      <c r="K750" s="1"/>
      <c r="L750" s="1"/>
      <c r="O750" s="1"/>
      <c r="P750" s="1"/>
      <c r="Q750" s="1"/>
      <c r="R750" s="1"/>
      <c r="S750" s="1"/>
      <c r="T750" s="1"/>
      <c r="U750" s="1"/>
      <c r="V750" s="1"/>
    </row>
    <row r="751" spans="7:22">
      <c r="G751" s="1"/>
      <c r="H751" s="1"/>
      <c r="K751" s="1"/>
      <c r="L751" s="1"/>
      <c r="O751" s="1"/>
      <c r="P751" s="1"/>
      <c r="Q751" s="1"/>
      <c r="R751" s="1"/>
      <c r="S751" s="1"/>
      <c r="T751" s="1"/>
      <c r="U751" s="1"/>
      <c r="V751" s="1"/>
    </row>
    <row r="752" spans="7:22">
      <c r="G752" s="1"/>
      <c r="H752" s="1"/>
      <c r="K752" s="1"/>
      <c r="L752" s="1"/>
      <c r="O752" s="1"/>
      <c r="P752" s="1"/>
      <c r="Q752" s="1"/>
      <c r="R752" s="1"/>
      <c r="S752" s="1"/>
      <c r="T752" s="1"/>
      <c r="U752" s="1"/>
      <c r="V752" s="1"/>
    </row>
    <row r="753" spans="7:22">
      <c r="G753" s="1"/>
      <c r="H753" s="1"/>
      <c r="K753" s="1"/>
      <c r="L753" s="1"/>
      <c r="O753" s="1"/>
      <c r="P753" s="1"/>
      <c r="Q753" s="1"/>
      <c r="R753" s="1"/>
      <c r="S753" s="1"/>
      <c r="T753" s="1"/>
      <c r="U753" s="1"/>
      <c r="V753" s="1"/>
    </row>
    <row r="754" spans="7:22">
      <c r="G754" s="1"/>
      <c r="H754" s="1"/>
      <c r="K754" s="1"/>
      <c r="L754" s="1"/>
      <c r="O754" s="1"/>
      <c r="P754" s="1"/>
      <c r="Q754" s="1"/>
      <c r="R754" s="1"/>
      <c r="S754" s="1"/>
      <c r="T754" s="1"/>
      <c r="U754" s="1"/>
      <c r="V754" s="1"/>
    </row>
    <row r="755" spans="7:22">
      <c r="G755" s="1"/>
      <c r="H755" s="1"/>
      <c r="K755" s="1"/>
      <c r="L755" s="1"/>
      <c r="O755" s="1"/>
      <c r="P755" s="1"/>
      <c r="Q755" s="1"/>
      <c r="R755" s="1"/>
      <c r="S755" s="1"/>
      <c r="T755" s="1"/>
      <c r="U755" s="1"/>
      <c r="V755" s="1"/>
    </row>
    <row r="756" spans="7:22">
      <c r="G756" s="1"/>
      <c r="H756" s="1"/>
      <c r="K756" s="1"/>
      <c r="L756" s="1"/>
      <c r="O756" s="1"/>
      <c r="P756" s="1"/>
      <c r="Q756" s="1"/>
      <c r="R756" s="1"/>
      <c r="S756" s="1"/>
      <c r="T756" s="1"/>
      <c r="U756" s="1"/>
      <c r="V756" s="1"/>
    </row>
    <row r="757" spans="7:22">
      <c r="G757" s="1"/>
      <c r="H757" s="1"/>
      <c r="K757" s="1"/>
      <c r="L757" s="1"/>
      <c r="O757" s="1"/>
      <c r="P757" s="1"/>
      <c r="Q757" s="1"/>
      <c r="R757" s="1"/>
      <c r="S757" s="1"/>
      <c r="T757" s="1"/>
      <c r="U757" s="1"/>
      <c r="V757" s="1"/>
    </row>
    <row r="758" spans="7:22">
      <c r="G758" s="1"/>
      <c r="H758" s="1"/>
      <c r="K758" s="1"/>
      <c r="L758" s="1"/>
      <c r="O758" s="1"/>
      <c r="P758" s="1"/>
      <c r="Q758" s="1"/>
      <c r="R758" s="1"/>
      <c r="S758" s="1"/>
      <c r="T758" s="1"/>
      <c r="U758" s="1"/>
      <c r="V758" s="1"/>
    </row>
    <row r="759" spans="7:22">
      <c r="G759" s="1"/>
      <c r="H759" s="1"/>
      <c r="K759" s="1"/>
      <c r="L759" s="1"/>
      <c r="O759" s="1"/>
      <c r="P759" s="1"/>
      <c r="Q759" s="1"/>
      <c r="R759" s="1"/>
      <c r="S759" s="1"/>
      <c r="T759" s="1"/>
      <c r="U759" s="1"/>
      <c r="V759" s="1"/>
    </row>
    <row r="760" spans="7:22">
      <c r="G760" s="1"/>
      <c r="H760" s="1"/>
      <c r="K760" s="1"/>
      <c r="L760" s="1"/>
      <c r="O760" s="1"/>
      <c r="P760" s="1"/>
      <c r="Q760" s="1"/>
      <c r="R760" s="1"/>
      <c r="S760" s="1"/>
      <c r="T760" s="1"/>
      <c r="U760" s="1"/>
      <c r="V760" s="1"/>
    </row>
    <row r="761" spans="7:22">
      <c r="G761" s="1"/>
      <c r="H761" s="1"/>
      <c r="K761" s="1"/>
      <c r="L761" s="1"/>
      <c r="O761" s="1"/>
      <c r="P761" s="1"/>
      <c r="Q761" s="1"/>
      <c r="R761" s="1"/>
      <c r="S761" s="1"/>
      <c r="T761" s="1"/>
      <c r="U761" s="1"/>
      <c r="V761" s="1"/>
    </row>
    <row r="762" spans="7:22">
      <c r="G762" s="1"/>
      <c r="H762" s="1"/>
      <c r="K762" s="1"/>
      <c r="L762" s="1"/>
      <c r="O762" s="1"/>
      <c r="P762" s="1"/>
      <c r="Q762" s="1"/>
      <c r="R762" s="1"/>
      <c r="S762" s="1"/>
      <c r="T762" s="1"/>
      <c r="U762" s="1"/>
      <c r="V762" s="1"/>
    </row>
    <row r="763" spans="7:22">
      <c r="G763" s="1"/>
      <c r="H763" s="1"/>
      <c r="K763" s="1"/>
      <c r="L763" s="1"/>
      <c r="O763" s="1"/>
      <c r="P763" s="1"/>
      <c r="Q763" s="1"/>
      <c r="R763" s="1"/>
      <c r="S763" s="1"/>
      <c r="T763" s="1"/>
      <c r="U763" s="1"/>
      <c r="V763" s="1"/>
    </row>
    <row r="764" spans="7:22">
      <c r="G764" s="1"/>
      <c r="H764" s="1"/>
      <c r="K764" s="1"/>
      <c r="L764" s="1"/>
      <c r="O764" s="1"/>
      <c r="P764" s="1"/>
      <c r="Q764" s="1"/>
      <c r="R764" s="1"/>
      <c r="S764" s="1"/>
      <c r="T764" s="1"/>
      <c r="U764" s="1"/>
      <c r="V764" s="1"/>
    </row>
    <row r="765" spans="7:22">
      <c r="G765" s="1"/>
      <c r="H765" s="1"/>
      <c r="K765" s="1"/>
      <c r="L765" s="1"/>
      <c r="O765" s="1"/>
      <c r="P765" s="1"/>
      <c r="Q765" s="1"/>
      <c r="R765" s="1"/>
      <c r="S765" s="1"/>
      <c r="T765" s="1"/>
      <c r="U765" s="1"/>
      <c r="V765" s="1"/>
    </row>
    <row r="766" spans="7:22">
      <c r="G766" s="1"/>
      <c r="H766" s="1"/>
      <c r="K766" s="1"/>
      <c r="L766" s="1"/>
      <c r="O766" s="1"/>
      <c r="P766" s="1"/>
      <c r="Q766" s="1"/>
      <c r="R766" s="1"/>
      <c r="S766" s="1"/>
      <c r="T766" s="1"/>
      <c r="U766" s="1"/>
      <c r="V766" s="1"/>
    </row>
    <row r="767" spans="7:22">
      <c r="G767" s="1"/>
      <c r="H767" s="1"/>
      <c r="K767" s="1"/>
      <c r="L767" s="1"/>
      <c r="O767" s="1"/>
      <c r="P767" s="1"/>
      <c r="Q767" s="1"/>
      <c r="R767" s="1"/>
      <c r="S767" s="1"/>
      <c r="T767" s="1"/>
      <c r="U767" s="1"/>
      <c r="V767" s="1"/>
    </row>
    <row r="768" spans="7:22">
      <c r="G768" s="1"/>
      <c r="H768" s="1"/>
      <c r="K768" s="1"/>
      <c r="L768" s="1"/>
      <c r="O768" s="1"/>
      <c r="P768" s="1"/>
      <c r="Q768" s="1"/>
      <c r="R768" s="1"/>
      <c r="S768" s="1"/>
      <c r="T768" s="1"/>
      <c r="U768" s="1"/>
      <c r="V768" s="1"/>
    </row>
    <row r="769" spans="7:22">
      <c r="G769" s="1"/>
      <c r="H769" s="1"/>
      <c r="K769" s="1"/>
      <c r="L769" s="1"/>
      <c r="O769" s="1"/>
      <c r="P769" s="1"/>
      <c r="Q769" s="1"/>
      <c r="R769" s="1"/>
      <c r="S769" s="1"/>
      <c r="T769" s="1"/>
      <c r="U769" s="1"/>
      <c r="V769" s="1"/>
    </row>
    <row r="770" spans="7:22">
      <c r="G770" s="1"/>
      <c r="H770" s="1"/>
      <c r="K770" s="1"/>
      <c r="L770" s="1"/>
      <c r="O770" s="1"/>
      <c r="P770" s="1"/>
      <c r="Q770" s="1"/>
      <c r="R770" s="1"/>
      <c r="S770" s="1"/>
      <c r="T770" s="1"/>
      <c r="U770" s="1"/>
      <c r="V770" s="1"/>
    </row>
    <row r="771" spans="7:22">
      <c r="G771" s="1"/>
      <c r="H771" s="1"/>
      <c r="K771" s="1"/>
      <c r="L771" s="1"/>
      <c r="O771" s="1"/>
      <c r="P771" s="1"/>
      <c r="Q771" s="1"/>
      <c r="R771" s="1"/>
      <c r="S771" s="1"/>
      <c r="T771" s="1"/>
      <c r="U771" s="1"/>
      <c r="V771" s="1"/>
    </row>
    <row r="772" spans="7:22">
      <c r="G772" s="1"/>
      <c r="H772" s="1"/>
      <c r="K772" s="1"/>
      <c r="L772" s="1"/>
      <c r="O772" s="1"/>
      <c r="P772" s="1"/>
      <c r="Q772" s="1"/>
      <c r="R772" s="1"/>
      <c r="S772" s="1"/>
      <c r="T772" s="1"/>
      <c r="U772" s="1"/>
      <c r="V772" s="1"/>
    </row>
    <row r="773" spans="7:22">
      <c r="G773" s="1"/>
      <c r="H773" s="1"/>
      <c r="K773" s="1"/>
      <c r="L773" s="1"/>
      <c r="O773" s="1"/>
      <c r="P773" s="1"/>
      <c r="Q773" s="1"/>
      <c r="R773" s="1"/>
      <c r="S773" s="1"/>
      <c r="T773" s="1"/>
      <c r="U773" s="1"/>
      <c r="V773" s="1"/>
    </row>
    <row r="774" spans="7:22">
      <c r="G774" s="1"/>
      <c r="H774" s="1"/>
      <c r="K774" s="1"/>
      <c r="L774" s="1"/>
      <c r="O774" s="1"/>
      <c r="P774" s="1"/>
      <c r="Q774" s="1"/>
      <c r="R774" s="1"/>
      <c r="S774" s="1"/>
      <c r="T774" s="1"/>
      <c r="U774" s="1"/>
      <c r="V774" s="1"/>
    </row>
    <row r="775" spans="7:22">
      <c r="G775" s="1"/>
      <c r="H775" s="1"/>
      <c r="K775" s="1"/>
      <c r="L775" s="1"/>
      <c r="O775" s="1"/>
      <c r="P775" s="1"/>
      <c r="Q775" s="1"/>
      <c r="R775" s="1"/>
      <c r="S775" s="1"/>
      <c r="T775" s="1"/>
      <c r="U775" s="1"/>
      <c r="V775" s="1"/>
    </row>
    <row r="776" spans="7:22">
      <c r="G776" s="1"/>
      <c r="H776" s="1"/>
      <c r="K776" s="1"/>
      <c r="L776" s="1"/>
      <c r="O776" s="1"/>
      <c r="P776" s="1"/>
      <c r="Q776" s="1"/>
      <c r="R776" s="1"/>
      <c r="S776" s="1"/>
      <c r="T776" s="1"/>
      <c r="U776" s="1"/>
      <c r="V776" s="1"/>
    </row>
    <row r="777" spans="7:22">
      <c r="G777" s="1"/>
      <c r="H777" s="1"/>
      <c r="K777" s="1"/>
      <c r="L777" s="1"/>
      <c r="O777" s="1"/>
      <c r="P777" s="1"/>
      <c r="Q777" s="1"/>
      <c r="R777" s="1"/>
      <c r="S777" s="1"/>
      <c r="T777" s="1"/>
      <c r="U777" s="1"/>
      <c r="V777" s="1"/>
    </row>
    <row r="778" spans="7:22">
      <c r="G778" s="1"/>
      <c r="H778" s="1"/>
      <c r="K778" s="1"/>
      <c r="L778" s="1"/>
      <c r="O778" s="1"/>
      <c r="P778" s="1"/>
      <c r="Q778" s="1"/>
      <c r="R778" s="1"/>
      <c r="S778" s="1"/>
      <c r="T778" s="1"/>
      <c r="U778" s="1"/>
      <c r="V778" s="1"/>
    </row>
    <row r="779" spans="7:22">
      <c r="G779" s="1"/>
      <c r="H779" s="1"/>
      <c r="K779" s="1"/>
      <c r="L779" s="1"/>
      <c r="O779" s="1"/>
      <c r="P779" s="1"/>
      <c r="Q779" s="1"/>
      <c r="R779" s="1"/>
      <c r="S779" s="1"/>
      <c r="T779" s="1"/>
      <c r="U779" s="1"/>
      <c r="V779" s="1"/>
    </row>
    <row r="780" spans="7:22">
      <c r="G780" s="1"/>
      <c r="H780" s="1"/>
      <c r="K780" s="1"/>
      <c r="L780" s="1"/>
      <c r="O780" s="1"/>
      <c r="P780" s="1"/>
      <c r="Q780" s="1"/>
      <c r="R780" s="1"/>
      <c r="S780" s="1"/>
      <c r="T780" s="1"/>
      <c r="U780" s="1"/>
      <c r="V780" s="1"/>
    </row>
    <row r="781" spans="7:22">
      <c r="G781" s="1"/>
      <c r="H781" s="1"/>
      <c r="K781" s="1"/>
      <c r="L781" s="1"/>
      <c r="O781" s="1"/>
      <c r="P781" s="1"/>
      <c r="Q781" s="1"/>
      <c r="R781" s="1"/>
      <c r="S781" s="1"/>
      <c r="T781" s="1"/>
      <c r="U781" s="1"/>
      <c r="V781" s="1"/>
    </row>
    <row r="782" spans="7:22">
      <c r="G782" s="1"/>
      <c r="H782" s="1"/>
      <c r="K782" s="1"/>
      <c r="L782" s="1"/>
      <c r="O782" s="1"/>
      <c r="P782" s="1"/>
      <c r="Q782" s="1"/>
      <c r="R782" s="1"/>
      <c r="S782" s="1"/>
      <c r="T782" s="1"/>
      <c r="U782" s="1"/>
      <c r="V782" s="1"/>
    </row>
    <row r="783" spans="7:22">
      <c r="G783" s="1"/>
      <c r="H783" s="1"/>
      <c r="K783" s="1"/>
      <c r="L783" s="1"/>
      <c r="O783" s="1"/>
      <c r="P783" s="1"/>
      <c r="Q783" s="1"/>
      <c r="R783" s="1"/>
      <c r="S783" s="1"/>
      <c r="T783" s="1"/>
      <c r="U783" s="1"/>
      <c r="V783" s="1"/>
    </row>
    <row r="784" spans="7:22">
      <c r="G784" s="1"/>
      <c r="H784" s="1"/>
      <c r="K784" s="1"/>
      <c r="L784" s="1"/>
      <c r="O784" s="1"/>
      <c r="P784" s="1"/>
      <c r="Q784" s="1"/>
      <c r="R784" s="1"/>
      <c r="S784" s="1"/>
      <c r="T784" s="1"/>
      <c r="U784" s="1"/>
      <c r="V784" s="1"/>
    </row>
    <row r="785" spans="7:22">
      <c r="G785" s="1"/>
      <c r="H785" s="1"/>
      <c r="K785" s="1"/>
      <c r="L785" s="1"/>
      <c r="O785" s="1"/>
      <c r="P785" s="1"/>
      <c r="Q785" s="1"/>
      <c r="R785" s="1"/>
      <c r="S785" s="1"/>
      <c r="T785" s="1"/>
      <c r="U785" s="1"/>
      <c r="V785" s="1"/>
    </row>
    <row r="786" spans="7:22">
      <c r="G786" s="1"/>
      <c r="H786" s="1"/>
      <c r="K786" s="1"/>
      <c r="L786" s="1"/>
      <c r="O786" s="1"/>
      <c r="P786" s="1"/>
      <c r="Q786" s="1"/>
      <c r="R786" s="1"/>
      <c r="S786" s="1"/>
      <c r="T786" s="1"/>
      <c r="U786" s="1"/>
      <c r="V786" s="1"/>
    </row>
    <row r="787" spans="7:22">
      <c r="G787" s="1"/>
      <c r="H787" s="1"/>
      <c r="K787" s="1"/>
      <c r="L787" s="1"/>
      <c r="O787" s="1"/>
      <c r="P787" s="1"/>
      <c r="Q787" s="1"/>
      <c r="R787" s="1"/>
      <c r="S787" s="1"/>
      <c r="T787" s="1"/>
      <c r="U787" s="1"/>
      <c r="V787" s="1"/>
    </row>
    <row r="788" spans="7:22">
      <c r="G788" s="1"/>
      <c r="H788" s="1"/>
      <c r="K788" s="1"/>
      <c r="L788" s="1"/>
      <c r="O788" s="1"/>
      <c r="P788" s="1"/>
      <c r="Q788" s="1"/>
      <c r="R788" s="1"/>
      <c r="S788" s="1"/>
      <c r="T788" s="1"/>
      <c r="U788" s="1"/>
      <c r="V788" s="1"/>
    </row>
    <row r="789" spans="7:22">
      <c r="G789" s="1"/>
      <c r="H789" s="1"/>
      <c r="K789" s="1"/>
      <c r="L789" s="1"/>
      <c r="O789" s="1"/>
      <c r="P789" s="1"/>
      <c r="Q789" s="1"/>
      <c r="R789" s="1"/>
      <c r="S789" s="1"/>
      <c r="T789" s="1"/>
      <c r="U789" s="1"/>
      <c r="V789" s="1"/>
    </row>
    <row r="790" spans="7:22">
      <c r="G790" s="1"/>
      <c r="H790" s="1"/>
      <c r="K790" s="1"/>
      <c r="L790" s="1"/>
      <c r="O790" s="1"/>
      <c r="P790" s="1"/>
      <c r="Q790" s="1"/>
      <c r="R790" s="1"/>
      <c r="S790" s="1"/>
      <c r="T790" s="1"/>
      <c r="U790" s="1"/>
      <c r="V790" s="1"/>
    </row>
    <row r="791" spans="7:22">
      <c r="G791" s="1"/>
      <c r="H791" s="1"/>
      <c r="K791" s="1"/>
      <c r="L791" s="1"/>
      <c r="O791" s="1"/>
      <c r="P791" s="1"/>
      <c r="Q791" s="1"/>
      <c r="R791" s="1"/>
      <c r="S791" s="1"/>
      <c r="T791" s="1"/>
      <c r="U791" s="1"/>
      <c r="V791" s="1"/>
    </row>
    <row r="792" spans="7:22">
      <c r="G792" s="1"/>
      <c r="H792" s="1"/>
      <c r="K792" s="1"/>
      <c r="L792" s="1"/>
      <c r="O792" s="1"/>
      <c r="P792" s="1"/>
      <c r="Q792" s="1"/>
      <c r="R792" s="1"/>
      <c r="S792" s="1"/>
      <c r="T792" s="1"/>
      <c r="U792" s="1"/>
      <c r="V792" s="1"/>
    </row>
    <row r="793" spans="7:22">
      <c r="G793" s="1"/>
      <c r="H793" s="1"/>
      <c r="K793" s="1"/>
      <c r="L793" s="1"/>
      <c r="O793" s="1"/>
      <c r="P793" s="1"/>
      <c r="Q793" s="1"/>
      <c r="R793" s="1"/>
      <c r="S793" s="1"/>
      <c r="T793" s="1"/>
      <c r="U793" s="1"/>
      <c r="V793" s="1"/>
    </row>
    <row r="794" spans="7:22">
      <c r="G794" s="1"/>
      <c r="H794" s="1"/>
      <c r="K794" s="1"/>
      <c r="L794" s="1"/>
      <c r="O794" s="1"/>
      <c r="P794" s="1"/>
      <c r="Q794" s="1"/>
      <c r="R794" s="1"/>
      <c r="S794" s="1"/>
      <c r="T794" s="1"/>
      <c r="U794" s="1"/>
      <c r="V794" s="1"/>
    </row>
    <row r="795" spans="7:22">
      <c r="G795" s="1"/>
      <c r="H795" s="1"/>
      <c r="K795" s="1"/>
      <c r="L795" s="1"/>
      <c r="O795" s="1"/>
      <c r="P795" s="1"/>
      <c r="Q795" s="1"/>
      <c r="R795" s="1"/>
      <c r="S795" s="1"/>
      <c r="T795" s="1"/>
      <c r="U795" s="1"/>
      <c r="V795" s="1"/>
    </row>
    <row r="796" spans="7:22">
      <c r="G796" s="1"/>
      <c r="H796" s="1"/>
      <c r="K796" s="1"/>
      <c r="L796" s="1"/>
      <c r="O796" s="1"/>
      <c r="P796" s="1"/>
      <c r="Q796" s="1"/>
      <c r="R796" s="1"/>
      <c r="S796" s="1"/>
      <c r="T796" s="1"/>
      <c r="U796" s="1"/>
      <c r="V796" s="1"/>
    </row>
    <row r="797" spans="7:22">
      <c r="G797" s="1"/>
      <c r="H797" s="1"/>
      <c r="K797" s="1"/>
      <c r="L797" s="1"/>
      <c r="O797" s="1"/>
      <c r="P797" s="1"/>
      <c r="Q797" s="1"/>
      <c r="R797" s="1"/>
      <c r="S797" s="1"/>
      <c r="T797" s="1"/>
      <c r="U797" s="1"/>
      <c r="V797" s="1"/>
    </row>
    <row r="798" spans="7:22">
      <c r="G798" s="1"/>
      <c r="H798" s="1"/>
      <c r="K798" s="1"/>
      <c r="L798" s="1"/>
      <c r="O798" s="1"/>
      <c r="P798" s="1"/>
      <c r="Q798" s="1"/>
      <c r="R798" s="1"/>
      <c r="S798" s="1"/>
      <c r="T798" s="1"/>
      <c r="U798" s="1"/>
      <c r="V798" s="1"/>
    </row>
    <row r="799" spans="7:22">
      <c r="G799" s="1"/>
      <c r="H799" s="1"/>
      <c r="K799" s="1"/>
      <c r="L799" s="1"/>
      <c r="O799" s="1"/>
      <c r="P799" s="1"/>
      <c r="Q799" s="1"/>
      <c r="R799" s="1"/>
      <c r="S799" s="1"/>
      <c r="T799" s="1"/>
      <c r="U799" s="1"/>
      <c r="V799" s="1"/>
    </row>
    <row r="800" spans="7:22">
      <c r="G800" s="1"/>
      <c r="H800" s="1"/>
      <c r="K800" s="1"/>
      <c r="L800" s="1"/>
      <c r="O800" s="1"/>
      <c r="P800" s="1"/>
      <c r="Q800" s="1"/>
      <c r="R800" s="1"/>
      <c r="S800" s="1"/>
      <c r="T800" s="1"/>
      <c r="U800" s="1"/>
      <c r="V800" s="1"/>
    </row>
    <row r="801" spans="7:22">
      <c r="G801" s="1"/>
      <c r="H801" s="1"/>
      <c r="K801" s="1"/>
      <c r="L801" s="1"/>
      <c r="O801" s="1"/>
      <c r="P801" s="1"/>
      <c r="Q801" s="1"/>
      <c r="R801" s="1"/>
      <c r="S801" s="1"/>
      <c r="T801" s="1"/>
      <c r="U801" s="1"/>
      <c r="V801" s="1"/>
    </row>
    <row r="802" spans="7:22">
      <c r="G802" s="1"/>
      <c r="H802" s="1"/>
      <c r="K802" s="1"/>
      <c r="L802" s="1"/>
      <c r="O802" s="1"/>
      <c r="P802" s="1"/>
      <c r="Q802" s="1"/>
      <c r="R802" s="1"/>
      <c r="S802" s="1"/>
      <c r="T802" s="1"/>
      <c r="U802" s="1"/>
      <c r="V802" s="1"/>
    </row>
    <row r="803" spans="7:22">
      <c r="G803" s="1"/>
      <c r="H803" s="1"/>
      <c r="K803" s="1"/>
      <c r="L803" s="1"/>
      <c r="O803" s="1"/>
      <c r="P803" s="1"/>
      <c r="Q803" s="1"/>
      <c r="R803" s="1"/>
      <c r="S803" s="1"/>
      <c r="T803" s="1"/>
      <c r="U803" s="1"/>
      <c r="V803" s="1"/>
    </row>
    <row r="804" spans="7:22">
      <c r="G804" s="1"/>
      <c r="H804" s="1"/>
      <c r="K804" s="1"/>
      <c r="L804" s="1"/>
      <c r="O804" s="1"/>
      <c r="P804" s="1"/>
      <c r="Q804" s="1"/>
      <c r="R804" s="1"/>
      <c r="S804" s="1"/>
      <c r="T804" s="1"/>
      <c r="U804" s="1"/>
      <c r="V804" s="1"/>
    </row>
    <row r="805" spans="7:22">
      <c r="G805" s="1"/>
      <c r="H805" s="1"/>
      <c r="K805" s="1"/>
      <c r="L805" s="1"/>
      <c r="O805" s="1"/>
      <c r="P805" s="1"/>
      <c r="Q805" s="1"/>
      <c r="R805" s="1"/>
      <c r="S805" s="1"/>
      <c r="T805" s="1"/>
      <c r="U805" s="1"/>
      <c r="V805" s="1"/>
    </row>
    <row r="806" spans="7:22">
      <c r="G806" s="1"/>
      <c r="H806" s="1"/>
      <c r="K806" s="1"/>
      <c r="L806" s="1"/>
      <c r="O806" s="1"/>
      <c r="P806" s="1"/>
      <c r="Q806" s="1"/>
      <c r="R806" s="1"/>
      <c r="S806" s="1"/>
      <c r="T806" s="1"/>
      <c r="U806" s="1"/>
      <c r="V806" s="1"/>
    </row>
    <row r="807" spans="7:22">
      <c r="G807" s="1"/>
      <c r="H807" s="1"/>
      <c r="K807" s="1"/>
      <c r="L807" s="1"/>
      <c r="O807" s="1"/>
      <c r="P807" s="1"/>
      <c r="Q807" s="1"/>
      <c r="R807" s="1"/>
      <c r="S807" s="1"/>
      <c r="T807" s="1"/>
      <c r="U807" s="1"/>
      <c r="V807" s="1"/>
    </row>
    <row r="808" spans="7:22">
      <c r="G808" s="1"/>
      <c r="H808" s="1"/>
      <c r="K808" s="1"/>
      <c r="L808" s="1"/>
      <c r="O808" s="1"/>
      <c r="P808" s="1"/>
      <c r="Q808" s="1"/>
      <c r="R808" s="1"/>
      <c r="S808" s="1"/>
      <c r="T808" s="1"/>
      <c r="U808" s="1"/>
      <c r="V808" s="1"/>
    </row>
    <row r="809" spans="7:22">
      <c r="G809" s="1"/>
      <c r="H809" s="1"/>
      <c r="K809" s="1"/>
      <c r="L809" s="1"/>
      <c r="O809" s="1"/>
      <c r="P809" s="1"/>
      <c r="Q809" s="1"/>
      <c r="R809" s="1"/>
      <c r="S809" s="1"/>
      <c r="T809" s="1"/>
      <c r="U809" s="1"/>
      <c r="V809" s="1"/>
    </row>
    <row r="810" spans="7:22">
      <c r="G810" s="1"/>
      <c r="H810" s="1"/>
      <c r="K810" s="1"/>
      <c r="L810" s="1"/>
      <c r="O810" s="1"/>
      <c r="P810" s="1"/>
      <c r="Q810" s="1"/>
      <c r="R810" s="1"/>
      <c r="S810" s="1"/>
      <c r="T810" s="1"/>
      <c r="U810" s="1"/>
      <c r="V810" s="1"/>
    </row>
    <row r="811" spans="7:22">
      <c r="G811" s="1"/>
      <c r="H811" s="1"/>
      <c r="K811" s="1"/>
      <c r="L811" s="1"/>
      <c r="O811" s="1"/>
      <c r="P811" s="1"/>
      <c r="Q811" s="1"/>
      <c r="R811" s="1"/>
      <c r="S811" s="1"/>
      <c r="T811" s="1"/>
      <c r="U811" s="1"/>
      <c r="V811" s="1"/>
    </row>
    <row r="812" spans="7:22">
      <c r="G812" s="1"/>
      <c r="H812" s="1"/>
      <c r="K812" s="1"/>
      <c r="L812" s="1"/>
      <c r="O812" s="1"/>
      <c r="P812" s="1"/>
      <c r="Q812" s="1"/>
      <c r="R812" s="1"/>
      <c r="S812" s="1"/>
      <c r="T812" s="1"/>
      <c r="U812" s="1"/>
      <c r="V812" s="1"/>
    </row>
    <row r="813" spans="7:22">
      <c r="G813" s="1"/>
      <c r="H813" s="1"/>
      <c r="K813" s="1"/>
      <c r="L813" s="1"/>
      <c r="O813" s="1"/>
      <c r="P813" s="1"/>
      <c r="Q813" s="1"/>
      <c r="R813" s="1"/>
      <c r="S813" s="1"/>
      <c r="T813" s="1"/>
      <c r="U813" s="1"/>
      <c r="V813" s="1"/>
    </row>
    <row r="814" spans="7:22">
      <c r="G814" s="1"/>
      <c r="H814" s="1"/>
      <c r="K814" s="1"/>
      <c r="L814" s="1"/>
      <c r="O814" s="1"/>
      <c r="P814" s="1"/>
      <c r="Q814" s="1"/>
      <c r="R814" s="1"/>
      <c r="S814" s="1"/>
      <c r="T814" s="1"/>
      <c r="U814" s="1"/>
      <c r="V814" s="1"/>
    </row>
    <row r="815" spans="7:22">
      <c r="G815" s="1"/>
      <c r="H815" s="1"/>
      <c r="K815" s="1"/>
      <c r="L815" s="1"/>
      <c r="O815" s="1"/>
      <c r="P815" s="1"/>
      <c r="Q815" s="1"/>
      <c r="R815" s="1"/>
      <c r="S815" s="1"/>
      <c r="T815" s="1"/>
      <c r="U815" s="1"/>
      <c r="V815" s="1"/>
    </row>
    <row r="816" spans="7:22">
      <c r="G816" s="1"/>
      <c r="H816" s="1"/>
      <c r="K816" s="1"/>
      <c r="L816" s="1"/>
      <c r="O816" s="1"/>
      <c r="P816" s="1"/>
      <c r="Q816" s="1"/>
      <c r="R816" s="1"/>
      <c r="S816" s="1"/>
      <c r="T816" s="1"/>
      <c r="U816" s="1"/>
      <c r="V816" s="1"/>
    </row>
    <row r="817" spans="7:22">
      <c r="G817" s="1"/>
      <c r="H817" s="1"/>
      <c r="K817" s="1"/>
      <c r="L817" s="1"/>
      <c r="O817" s="1"/>
      <c r="P817" s="1"/>
      <c r="Q817" s="1"/>
      <c r="R817" s="1"/>
      <c r="S817" s="1"/>
      <c r="T817" s="1"/>
      <c r="U817" s="1"/>
      <c r="V817" s="1"/>
    </row>
    <row r="818" spans="7:22">
      <c r="G818" s="1"/>
      <c r="H818" s="1"/>
      <c r="K818" s="1"/>
      <c r="L818" s="1"/>
      <c r="O818" s="1"/>
      <c r="P818" s="1"/>
      <c r="Q818" s="1"/>
      <c r="R818" s="1"/>
      <c r="S818" s="1"/>
      <c r="T818" s="1"/>
      <c r="U818" s="1"/>
      <c r="V818" s="1"/>
    </row>
    <row r="819" spans="7:22">
      <c r="G819" s="1"/>
      <c r="H819" s="1"/>
      <c r="K819" s="1"/>
      <c r="L819" s="1"/>
      <c r="O819" s="1"/>
      <c r="P819" s="1"/>
      <c r="Q819" s="1"/>
      <c r="R819" s="1"/>
      <c r="S819" s="1"/>
      <c r="T819" s="1"/>
      <c r="U819" s="1"/>
      <c r="V819" s="1"/>
    </row>
    <row r="820" spans="7:22">
      <c r="G820" s="1"/>
      <c r="H820" s="1"/>
      <c r="K820" s="1"/>
      <c r="L820" s="1"/>
      <c r="O820" s="1"/>
      <c r="P820" s="1"/>
      <c r="Q820" s="1"/>
      <c r="R820" s="1"/>
      <c r="S820" s="1"/>
      <c r="T820" s="1"/>
      <c r="U820" s="1"/>
      <c r="V820" s="1"/>
    </row>
    <row r="821" spans="7:22">
      <c r="G821" s="1"/>
      <c r="H821" s="1"/>
      <c r="K821" s="1"/>
      <c r="L821" s="1"/>
      <c r="O821" s="1"/>
      <c r="P821" s="1"/>
      <c r="Q821" s="1"/>
      <c r="R821" s="1"/>
      <c r="S821" s="1"/>
      <c r="T821" s="1"/>
      <c r="U821" s="1"/>
      <c r="V821" s="1"/>
    </row>
    <row r="822" spans="7:22">
      <c r="G822" s="1"/>
      <c r="H822" s="1"/>
      <c r="K822" s="1"/>
      <c r="L822" s="1"/>
      <c r="O822" s="1"/>
      <c r="P822" s="1"/>
      <c r="Q822" s="1"/>
      <c r="R822" s="1"/>
      <c r="S822" s="1"/>
      <c r="T822" s="1"/>
      <c r="U822" s="1"/>
      <c r="V822" s="1"/>
    </row>
    <row r="823" spans="7:22">
      <c r="G823" s="1"/>
      <c r="H823" s="1"/>
      <c r="K823" s="1"/>
      <c r="L823" s="1"/>
      <c r="O823" s="1"/>
      <c r="P823" s="1"/>
      <c r="Q823" s="1"/>
      <c r="R823" s="1"/>
      <c r="S823" s="1"/>
      <c r="T823" s="1"/>
      <c r="U823" s="1"/>
      <c r="V823" s="1"/>
    </row>
    <row r="824" spans="7:22">
      <c r="G824" s="1"/>
      <c r="H824" s="1"/>
      <c r="K824" s="1"/>
      <c r="L824" s="1"/>
      <c r="O824" s="1"/>
      <c r="P824" s="1"/>
      <c r="Q824" s="1"/>
      <c r="R824" s="1"/>
      <c r="S824" s="1"/>
      <c r="T824" s="1"/>
      <c r="U824" s="1"/>
      <c r="V824" s="1"/>
    </row>
    <row r="825" spans="7:22">
      <c r="G825" s="1"/>
      <c r="H825" s="1"/>
      <c r="K825" s="1"/>
      <c r="L825" s="1"/>
      <c r="O825" s="1"/>
      <c r="P825" s="1"/>
      <c r="Q825" s="1"/>
      <c r="R825" s="1"/>
      <c r="S825" s="1"/>
      <c r="T825" s="1"/>
      <c r="U825" s="1"/>
      <c r="V825" s="1"/>
    </row>
    <row r="826" spans="7:22">
      <c r="G826" s="1"/>
      <c r="H826" s="1"/>
      <c r="K826" s="1"/>
      <c r="L826" s="1"/>
      <c r="O826" s="1"/>
      <c r="P826" s="1"/>
      <c r="Q826" s="1"/>
      <c r="R826" s="1"/>
      <c r="S826" s="1"/>
      <c r="T826" s="1"/>
      <c r="U826" s="1"/>
      <c r="V826" s="1"/>
    </row>
    <row r="827" spans="7:22">
      <c r="G827" s="1"/>
      <c r="H827" s="1"/>
      <c r="K827" s="1"/>
      <c r="L827" s="1"/>
      <c r="O827" s="1"/>
      <c r="P827" s="1"/>
      <c r="Q827" s="1"/>
      <c r="R827" s="1"/>
      <c r="S827" s="1"/>
      <c r="T827" s="1"/>
      <c r="U827" s="1"/>
      <c r="V827" s="1"/>
    </row>
    <row r="828" spans="7:22">
      <c r="G828" s="1"/>
      <c r="H828" s="1"/>
      <c r="K828" s="1"/>
      <c r="L828" s="1"/>
      <c r="O828" s="1"/>
      <c r="P828" s="1"/>
      <c r="Q828" s="1"/>
      <c r="R828" s="1"/>
      <c r="S828" s="1"/>
      <c r="T828" s="1"/>
      <c r="U828" s="1"/>
      <c r="V828" s="1"/>
    </row>
    <row r="829" spans="7:22">
      <c r="G829" s="1"/>
      <c r="H829" s="1"/>
      <c r="K829" s="1"/>
      <c r="L829" s="1"/>
      <c r="O829" s="1"/>
      <c r="P829" s="1"/>
      <c r="Q829" s="1"/>
      <c r="R829" s="1"/>
      <c r="S829" s="1"/>
      <c r="T829" s="1"/>
      <c r="U829" s="1"/>
      <c r="V829" s="1"/>
    </row>
    <row r="830" spans="7:22">
      <c r="G830" s="1"/>
      <c r="H830" s="1"/>
      <c r="K830" s="1"/>
      <c r="L830" s="1"/>
      <c r="O830" s="1"/>
      <c r="P830" s="1"/>
      <c r="Q830" s="1"/>
      <c r="R830" s="1"/>
      <c r="S830" s="1"/>
      <c r="T830" s="1"/>
      <c r="U830" s="1"/>
      <c r="V830" s="1"/>
    </row>
    <row r="831" spans="7:22">
      <c r="G831" s="1"/>
      <c r="H831" s="1"/>
      <c r="K831" s="1"/>
      <c r="L831" s="1"/>
      <c r="O831" s="1"/>
      <c r="P831" s="1"/>
      <c r="Q831" s="1"/>
      <c r="R831" s="1"/>
      <c r="S831" s="1"/>
      <c r="T831" s="1"/>
      <c r="U831" s="1"/>
      <c r="V831" s="1"/>
    </row>
    <row r="832" spans="7:22">
      <c r="G832" s="1"/>
      <c r="H832" s="1"/>
      <c r="K832" s="1"/>
      <c r="L832" s="1"/>
      <c r="O832" s="1"/>
      <c r="P832" s="1"/>
      <c r="Q832" s="1"/>
      <c r="R832" s="1"/>
      <c r="S832" s="1"/>
      <c r="T832" s="1"/>
      <c r="U832" s="1"/>
      <c r="V832" s="1"/>
    </row>
    <row r="833" spans="7:22">
      <c r="G833" s="1"/>
      <c r="H833" s="1"/>
      <c r="K833" s="1"/>
      <c r="L833" s="1"/>
      <c r="O833" s="1"/>
      <c r="P833" s="1"/>
      <c r="Q833" s="1"/>
      <c r="R833" s="1"/>
      <c r="S833" s="1"/>
      <c r="T833" s="1"/>
      <c r="U833" s="1"/>
      <c r="V833" s="1"/>
    </row>
    <row r="834" spans="7:22">
      <c r="G834" s="1"/>
      <c r="H834" s="1"/>
      <c r="K834" s="1"/>
      <c r="L834" s="1"/>
      <c r="O834" s="1"/>
      <c r="P834" s="1"/>
      <c r="Q834" s="1"/>
      <c r="R834" s="1"/>
      <c r="S834" s="1"/>
      <c r="T834" s="1"/>
      <c r="U834" s="1"/>
      <c r="V834" s="1"/>
    </row>
    <row r="835" spans="7:22">
      <c r="G835" s="1"/>
      <c r="H835" s="1"/>
      <c r="K835" s="1"/>
      <c r="L835" s="1"/>
      <c r="O835" s="1"/>
      <c r="P835" s="1"/>
      <c r="Q835" s="1"/>
      <c r="R835" s="1"/>
      <c r="S835" s="1"/>
      <c r="T835" s="1"/>
      <c r="U835" s="1"/>
      <c r="V835" s="1"/>
    </row>
    <row r="836" spans="7:22">
      <c r="G836" s="1"/>
      <c r="H836" s="1"/>
      <c r="K836" s="1"/>
      <c r="L836" s="1"/>
      <c r="O836" s="1"/>
      <c r="P836" s="1"/>
      <c r="Q836" s="1"/>
      <c r="R836" s="1"/>
      <c r="S836" s="1"/>
      <c r="T836" s="1"/>
      <c r="U836" s="1"/>
      <c r="V836" s="1"/>
    </row>
    <row r="837" spans="7:22">
      <c r="G837" s="1"/>
      <c r="H837" s="1"/>
      <c r="K837" s="1"/>
      <c r="L837" s="1"/>
      <c r="O837" s="1"/>
      <c r="P837" s="1"/>
      <c r="Q837" s="1"/>
      <c r="R837" s="1"/>
      <c r="S837" s="1"/>
      <c r="T837" s="1"/>
      <c r="U837" s="1"/>
      <c r="V837" s="1"/>
    </row>
    <row r="838" spans="7:22">
      <c r="G838" s="1"/>
      <c r="H838" s="1"/>
      <c r="K838" s="1"/>
      <c r="L838" s="1"/>
      <c r="O838" s="1"/>
      <c r="P838" s="1"/>
      <c r="Q838" s="1"/>
      <c r="R838" s="1"/>
      <c r="S838" s="1"/>
      <c r="T838" s="1"/>
      <c r="U838" s="1"/>
      <c r="V838" s="1"/>
    </row>
    <row r="839" spans="7:22">
      <c r="G839" s="1"/>
      <c r="H839" s="1"/>
      <c r="K839" s="1"/>
      <c r="L839" s="1"/>
      <c r="O839" s="1"/>
      <c r="P839" s="1"/>
      <c r="Q839" s="1"/>
      <c r="R839" s="1"/>
      <c r="S839" s="1"/>
      <c r="T839" s="1"/>
      <c r="U839" s="1"/>
      <c r="V839" s="1"/>
    </row>
    <row r="840" spans="7:22">
      <c r="G840" s="1"/>
      <c r="H840" s="1"/>
      <c r="K840" s="1"/>
      <c r="L840" s="1"/>
      <c r="O840" s="1"/>
      <c r="P840" s="1"/>
      <c r="Q840" s="1"/>
      <c r="R840" s="1"/>
      <c r="S840" s="1"/>
      <c r="T840" s="1"/>
      <c r="U840" s="1"/>
      <c r="V840" s="1"/>
    </row>
    <row r="841" spans="7:22">
      <c r="G841" s="1"/>
      <c r="H841" s="1"/>
      <c r="K841" s="1"/>
      <c r="L841" s="1"/>
      <c r="O841" s="1"/>
      <c r="P841" s="1"/>
      <c r="Q841" s="1"/>
      <c r="R841" s="1"/>
      <c r="S841" s="1"/>
      <c r="T841" s="1"/>
      <c r="U841" s="1"/>
      <c r="V841" s="1"/>
    </row>
    <row r="842" spans="7:22">
      <c r="G842" s="1"/>
      <c r="H842" s="1"/>
      <c r="K842" s="1"/>
      <c r="L842" s="1"/>
      <c r="O842" s="1"/>
      <c r="P842" s="1"/>
      <c r="Q842" s="1"/>
      <c r="R842" s="1"/>
      <c r="S842" s="1"/>
      <c r="T842" s="1"/>
      <c r="U842" s="1"/>
      <c r="V842" s="1"/>
    </row>
    <row r="843" spans="7:22">
      <c r="G843" s="1"/>
      <c r="H843" s="1"/>
      <c r="K843" s="1"/>
      <c r="L843" s="1"/>
      <c r="O843" s="1"/>
      <c r="P843" s="1"/>
      <c r="Q843" s="1"/>
      <c r="R843" s="1"/>
      <c r="S843" s="1"/>
      <c r="T843" s="1"/>
      <c r="U843" s="1"/>
      <c r="V843" s="1"/>
    </row>
    <row r="844" spans="7:22">
      <c r="G844" s="1"/>
      <c r="H844" s="1"/>
      <c r="K844" s="1"/>
      <c r="L844" s="1"/>
      <c r="O844" s="1"/>
      <c r="P844" s="1"/>
      <c r="Q844" s="1"/>
      <c r="R844" s="1"/>
      <c r="S844" s="1"/>
      <c r="T844" s="1"/>
      <c r="U844" s="1"/>
      <c r="V844" s="1"/>
    </row>
    <row r="845" spans="7:22">
      <c r="G845" s="1"/>
      <c r="H845" s="1"/>
      <c r="K845" s="1"/>
      <c r="L845" s="1"/>
      <c r="O845" s="1"/>
      <c r="P845" s="1"/>
      <c r="Q845" s="1"/>
      <c r="R845" s="1"/>
      <c r="S845" s="1"/>
      <c r="T845" s="1"/>
      <c r="U845" s="1"/>
      <c r="V845" s="1"/>
    </row>
    <row r="846" spans="7:22">
      <c r="G846" s="1"/>
      <c r="H846" s="1"/>
      <c r="K846" s="1"/>
      <c r="L846" s="1"/>
      <c r="O846" s="1"/>
      <c r="P846" s="1"/>
      <c r="Q846" s="1"/>
      <c r="R846" s="1"/>
      <c r="S846" s="1"/>
      <c r="T846" s="1"/>
      <c r="U846" s="1"/>
      <c r="V846" s="1"/>
    </row>
    <row r="847" spans="7:22">
      <c r="G847" s="1"/>
      <c r="H847" s="1"/>
      <c r="K847" s="1"/>
      <c r="L847" s="1"/>
      <c r="O847" s="1"/>
      <c r="P847" s="1"/>
      <c r="Q847" s="1"/>
      <c r="R847" s="1"/>
      <c r="S847" s="1"/>
      <c r="T847" s="1"/>
      <c r="U847" s="1"/>
      <c r="V847" s="1"/>
    </row>
    <row r="848" spans="7:22">
      <c r="G848" s="1"/>
      <c r="H848" s="1"/>
      <c r="K848" s="1"/>
      <c r="L848" s="1"/>
      <c r="O848" s="1"/>
      <c r="P848" s="1"/>
      <c r="Q848" s="1"/>
      <c r="R848" s="1"/>
      <c r="S848" s="1"/>
      <c r="T848" s="1"/>
      <c r="U848" s="1"/>
      <c r="V848" s="1"/>
    </row>
    <row r="849" spans="7:22">
      <c r="G849" s="1"/>
      <c r="H849" s="1"/>
      <c r="K849" s="1"/>
      <c r="L849" s="1"/>
      <c r="O849" s="1"/>
      <c r="P849" s="1"/>
      <c r="Q849" s="1"/>
      <c r="R849" s="1"/>
      <c r="S849" s="1"/>
      <c r="T849" s="1"/>
      <c r="U849" s="1"/>
      <c r="V849" s="1"/>
    </row>
    <row r="850" spans="7:22">
      <c r="G850" s="1"/>
      <c r="H850" s="1"/>
      <c r="K850" s="1"/>
      <c r="L850" s="1"/>
      <c r="O850" s="1"/>
      <c r="P850" s="1"/>
      <c r="Q850" s="1"/>
      <c r="R850" s="1"/>
      <c r="S850" s="1"/>
      <c r="T850" s="1"/>
      <c r="U850" s="1"/>
      <c r="V850" s="1"/>
    </row>
    <row r="851" spans="7:22">
      <c r="G851" s="1"/>
      <c r="H851" s="1"/>
      <c r="K851" s="1"/>
      <c r="L851" s="1"/>
      <c r="O851" s="1"/>
      <c r="P851" s="1"/>
      <c r="Q851" s="1"/>
      <c r="R851" s="1"/>
      <c r="S851" s="1"/>
      <c r="T851" s="1"/>
      <c r="U851" s="1"/>
      <c r="V851" s="1"/>
    </row>
    <row r="852" spans="7:22">
      <c r="G852" s="1"/>
      <c r="H852" s="1"/>
      <c r="K852" s="1"/>
      <c r="L852" s="1"/>
      <c r="O852" s="1"/>
      <c r="P852" s="1"/>
      <c r="Q852" s="1"/>
      <c r="R852" s="1"/>
      <c r="S852" s="1"/>
      <c r="T852" s="1"/>
      <c r="U852" s="1"/>
      <c r="V852" s="1"/>
    </row>
    <row r="853" spans="7:22">
      <c r="G853" s="1"/>
      <c r="H853" s="1"/>
      <c r="K853" s="1"/>
      <c r="L853" s="1"/>
      <c r="O853" s="1"/>
      <c r="P853" s="1"/>
      <c r="Q853" s="1"/>
      <c r="R853" s="1"/>
      <c r="S853" s="1"/>
      <c r="T853" s="1"/>
      <c r="U853" s="1"/>
      <c r="V853" s="1"/>
    </row>
    <row r="854" spans="7:22">
      <c r="G854" s="1"/>
      <c r="H854" s="1"/>
      <c r="K854" s="1"/>
      <c r="L854" s="1"/>
      <c r="O854" s="1"/>
      <c r="P854" s="1"/>
      <c r="Q854" s="1"/>
      <c r="R854" s="1"/>
      <c r="S854" s="1"/>
      <c r="T854" s="1"/>
      <c r="U854" s="1"/>
      <c r="V854" s="1"/>
    </row>
    <row r="855" spans="7:22">
      <c r="G855" s="1"/>
      <c r="H855" s="1"/>
      <c r="K855" s="1"/>
      <c r="L855" s="1"/>
      <c r="O855" s="1"/>
      <c r="P855" s="1"/>
      <c r="Q855" s="1"/>
      <c r="R855" s="1"/>
      <c r="S855" s="1"/>
      <c r="T855" s="1"/>
      <c r="U855" s="1"/>
      <c r="V855" s="1"/>
    </row>
    <row r="856" spans="7:22">
      <c r="G856" s="1"/>
      <c r="H856" s="1"/>
      <c r="K856" s="1"/>
      <c r="L856" s="1"/>
      <c r="O856" s="1"/>
      <c r="P856" s="1"/>
      <c r="Q856" s="1"/>
      <c r="R856" s="1"/>
      <c r="S856" s="1"/>
      <c r="T856" s="1"/>
      <c r="U856" s="1"/>
      <c r="V856" s="1"/>
    </row>
    <row r="857" spans="7:22">
      <c r="G857" s="1"/>
      <c r="H857" s="1"/>
      <c r="K857" s="1"/>
      <c r="L857" s="1"/>
      <c r="O857" s="1"/>
      <c r="P857" s="1"/>
      <c r="Q857" s="1"/>
      <c r="R857" s="1"/>
      <c r="S857" s="1"/>
      <c r="T857" s="1"/>
      <c r="U857" s="1"/>
      <c r="V857" s="1"/>
    </row>
    <row r="858" spans="7:22">
      <c r="G858" s="1"/>
      <c r="H858" s="1"/>
      <c r="K858" s="1"/>
      <c r="L858" s="1"/>
      <c r="O858" s="1"/>
      <c r="P858" s="1"/>
      <c r="Q858" s="1"/>
      <c r="R858" s="1"/>
      <c r="S858" s="1"/>
      <c r="T858" s="1"/>
      <c r="U858" s="1"/>
      <c r="V858" s="1"/>
    </row>
    <row r="859" spans="7:22">
      <c r="G859" s="1"/>
      <c r="H859" s="1"/>
      <c r="K859" s="1"/>
      <c r="L859" s="1"/>
      <c r="O859" s="1"/>
      <c r="P859" s="1"/>
      <c r="Q859" s="1"/>
      <c r="R859" s="1"/>
      <c r="S859" s="1"/>
      <c r="T859" s="1"/>
      <c r="U859" s="1"/>
      <c r="V859" s="1"/>
    </row>
    <row r="860" spans="7:22">
      <c r="G860" s="1"/>
      <c r="H860" s="1"/>
      <c r="K860" s="1"/>
      <c r="L860" s="1"/>
      <c r="O860" s="1"/>
      <c r="P860" s="1"/>
      <c r="Q860" s="1"/>
      <c r="R860" s="1"/>
      <c r="S860" s="1"/>
      <c r="T860" s="1"/>
      <c r="U860" s="1"/>
      <c r="V860" s="1"/>
    </row>
    <row r="861" spans="7:22">
      <c r="G861" s="1"/>
      <c r="H861" s="1"/>
      <c r="K861" s="1"/>
      <c r="L861" s="1"/>
      <c r="O861" s="1"/>
      <c r="P861" s="1"/>
      <c r="Q861" s="1"/>
      <c r="R861" s="1"/>
      <c r="S861" s="1"/>
      <c r="T861" s="1"/>
      <c r="U861" s="1"/>
      <c r="V861" s="1"/>
    </row>
    <row r="862" spans="7:22">
      <c r="G862" s="1"/>
      <c r="H862" s="1"/>
      <c r="K862" s="1"/>
      <c r="L862" s="1"/>
      <c r="O862" s="1"/>
      <c r="P862" s="1"/>
      <c r="Q862" s="1"/>
      <c r="R862" s="1"/>
      <c r="S862" s="1"/>
      <c r="T862" s="1"/>
      <c r="U862" s="1"/>
      <c r="V862" s="1"/>
    </row>
    <row r="863" spans="7:22">
      <c r="G863" s="1"/>
      <c r="H863" s="1"/>
      <c r="K863" s="1"/>
      <c r="L863" s="1"/>
      <c r="O863" s="1"/>
      <c r="P863" s="1"/>
      <c r="Q863" s="1"/>
      <c r="R863" s="1"/>
      <c r="S863" s="1"/>
      <c r="T863" s="1"/>
      <c r="U863" s="1"/>
      <c r="V863" s="1"/>
    </row>
    <row r="864" spans="7:22">
      <c r="G864" s="1"/>
      <c r="H864" s="1"/>
      <c r="K864" s="1"/>
      <c r="L864" s="1"/>
      <c r="O864" s="1"/>
      <c r="P864" s="1"/>
      <c r="Q864" s="1"/>
      <c r="R864" s="1"/>
      <c r="S864" s="1"/>
      <c r="T864" s="1"/>
      <c r="U864" s="1"/>
      <c r="V864" s="1"/>
    </row>
    <row r="865" spans="7:22">
      <c r="G865" s="1"/>
      <c r="H865" s="1"/>
      <c r="K865" s="1"/>
      <c r="L865" s="1"/>
      <c r="O865" s="1"/>
      <c r="P865" s="1"/>
      <c r="Q865" s="1"/>
      <c r="R865" s="1"/>
      <c r="S865" s="1"/>
      <c r="T865" s="1"/>
      <c r="U865" s="1"/>
      <c r="V865" s="1"/>
    </row>
    <row r="866" spans="7:22">
      <c r="G866" s="1"/>
      <c r="H866" s="1"/>
      <c r="K866" s="1"/>
      <c r="L866" s="1"/>
      <c r="O866" s="1"/>
      <c r="P866" s="1"/>
      <c r="Q866" s="1"/>
      <c r="R866" s="1"/>
      <c r="S866" s="1"/>
      <c r="T866" s="1"/>
      <c r="U866" s="1"/>
      <c r="V866" s="1"/>
    </row>
    <row r="867" spans="7:22">
      <c r="G867" s="1"/>
      <c r="H867" s="1"/>
      <c r="K867" s="1"/>
      <c r="L867" s="1"/>
      <c r="O867" s="1"/>
      <c r="P867" s="1"/>
      <c r="Q867" s="1"/>
      <c r="R867" s="1"/>
      <c r="S867" s="1"/>
      <c r="T867" s="1"/>
      <c r="U867" s="1"/>
      <c r="V867" s="1"/>
    </row>
    <row r="868" spans="7:22">
      <c r="G868" s="1"/>
      <c r="H868" s="1"/>
      <c r="K868" s="1"/>
      <c r="L868" s="1"/>
      <c r="O868" s="1"/>
      <c r="P868" s="1"/>
      <c r="Q868" s="1"/>
      <c r="R868" s="1"/>
      <c r="S868" s="1"/>
      <c r="T868" s="1"/>
      <c r="U868" s="1"/>
      <c r="V868" s="1"/>
    </row>
    <row r="869" spans="7:22">
      <c r="G869" s="1"/>
      <c r="H869" s="1"/>
      <c r="K869" s="1"/>
      <c r="L869" s="1"/>
      <c r="O869" s="1"/>
      <c r="P869" s="1"/>
      <c r="Q869" s="1"/>
      <c r="R869" s="1"/>
      <c r="S869" s="1"/>
      <c r="T869" s="1"/>
      <c r="U869" s="1"/>
      <c r="V869" s="1"/>
    </row>
    <row r="870" spans="7:22">
      <c r="G870" s="1"/>
      <c r="H870" s="1"/>
      <c r="K870" s="1"/>
      <c r="L870" s="1"/>
      <c r="O870" s="1"/>
      <c r="P870" s="1"/>
      <c r="Q870" s="1"/>
      <c r="R870" s="1"/>
      <c r="S870" s="1"/>
      <c r="T870" s="1"/>
      <c r="U870" s="1"/>
      <c r="V870" s="1"/>
    </row>
    <row r="871" spans="7:22">
      <c r="G871" s="1"/>
      <c r="H871" s="1"/>
      <c r="K871" s="1"/>
      <c r="L871" s="1"/>
      <c r="O871" s="1"/>
      <c r="P871" s="1"/>
      <c r="Q871" s="1"/>
      <c r="R871" s="1"/>
      <c r="S871" s="1"/>
      <c r="T871" s="1"/>
      <c r="U871" s="1"/>
      <c r="V871" s="1"/>
    </row>
    <row r="872" spans="7:22">
      <c r="G872" s="1"/>
      <c r="H872" s="1"/>
      <c r="K872" s="1"/>
      <c r="L872" s="1"/>
      <c r="O872" s="1"/>
      <c r="P872" s="1"/>
      <c r="Q872" s="1"/>
      <c r="R872" s="1"/>
      <c r="S872" s="1"/>
      <c r="T872" s="1"/>
      <c r="U872" s="1"/>
      <c r="V872" s="1"/>
    </row>
    <row r="873" spans="7:22">
      <c r="G873" s="1"/>
      <c r="H873" s="1"/>
      <c r="K873" s="1"/>
      <c r="L873" s="1"/>
      <c r="O873" s="1"/>
      <c r="P873" s="1"/>
      <c r="Q873" s="1"/>
      <c r="R873" s="1"/>
      <c r="S873" s="1"/>
      <c r="T873" s="1"/>
      <c r="U873" s="1"/>
      <c r="V873" s="1"/>
    </row>
    <row r="874" spans="7:22">
      <c r="G874" s="1"/>
      <c r="H874" s="1"/>
      <c r="K874" s="1"/>
      <c r="L874" s="1"/>
      <c r="O874" s="1"/>
      <c r="P874" s="1"/>
      <c r="Q874" s="1"/>
      <c r="R874" s="1"/>
      <c r="S874" s="1"/>
      <c r="T874" s="1"/>
      <c r="U874" s="1"/>
      <c r="V874" s="1"/>
    </row>
    <row r="875" spans="7:22">
      <c r="G875" s="1"/>
      <c r="H875" s="1"/>
      <c r="K875" s="1"/>
      <c r="L875" s="1"/>
      <c r="O875" s="1"/>
      <c r="P875" s="1"/>
      <c r="Q875" s="1"/>
      <c r="R875" s="1"/>
      <c r="S875" s="1"/>
      <c r="T875" s="1"/>
      <c r="U875" s="1"/>
      <c r="V875" s="1"/>
    </row>
    <row r="876" spans="7:22">
      <c r="G876" s="1"/>
      <c r="H876" s="1"/>
      <c r="K876" s="1"/>
      <c r="L876" s="1"/>
      <c r="O876" s="1"/>
      <c r="P876" s="1"/>
      <c r="Q876" s="1"/>
      <c r="R876" s="1"/>
      <c r="S876" s="1"/>
      <c r="T876" s="1"/>
      <c r="U876" s="1"/>
      <c r="V876" s="1"/>
    </row>
    <row r="877" spans="7:22">
      <c r="G877" s="1"/>
      <c r="H877" s="1"/>
      <c r="K877" s="1"/>
      <c r="L877" s="1"/>
      <c r="O877" s="1"/>
      <c r="P877" s="1"/>
      <c r="Q877" s="1"/>
      <c r="R877" s="1"/>
      <c r="S877" s="1"/>
      <c r="T877" s="1"/>
      <c r="U877" s="1"/>
      <c r="V877" s="1"/>
    </row>
    <row r="878" spans="7:22">
      <c r="G878" s="1"/>
      <c r="H878" s="1"/>
      <c r="K878" s="1"/>
      <c r="L878" s="1"/>
      <c r="O878" s="1"/>
      <c r="P878" s="1"/>
      <c r="Q878" s="1"/>
      <c r="R878" s="1"/>
      <c r="S878" s="1"/>
      <c r="T878" s="1"/>
      <c r="U878" s="1"/>
      <c r="V878" s="1"/>
    </row>
    <row r="879" spans="7:22">
      <c r="G879" s="1"/>
      <c r="H879" s="1"/>
      <c r="K879" s="1"/>
      <c r="L879" s="1"/>
      <c r="O879" s="1"/>
      <c r="P879" s="1"/>
      <c r="Q879" s="1"/>
      <c r="R879" s="1"/>
      <c r="S879" s="1"/>
      <c r="T879" s="1"/>
      <c r="U879" s="1"/>
      <c r="V879" s="1"/>
    </row>
    <row r="880" spans="7:22">
      <c r="G880" s="1"/>
      <c r="H880" s="1"/>
      <c r="K880" s="1"/>
      <c r="L880" s="1"/>
      <c r="O880" s="1"/>
      <c r="P880" s="1"/>
      <c r="Q880" s="1"/>
      <c r="R880" s="1"/>
      <c r="S880" s="1"/>
      <c r="T880" s="1"/>
      <c r="U880" s="1"/>
      <c r="V880" s="1"/>
    </row>
    <row r="881" spans="7:22">
      <c r="G881" s="1"/>
      <c r="H881" s="1"/>
      <c r="K881" s="1"/>
      <c r="L881" s="1"/>
      <c r="O881" s="1"/>
      <c r="P881" s="1"/>
      <c r="Q881" s="1"/>
      <c r="R881" s="1"/>
      <c r="S881" s="1"/>
      <c r="T881" s="1"/>
      <c r="U881" s="1"/>
      <c r="V881" s="1"/>
    </row>
    <row r="882" spans="7:22">
      <c r="G882" s="1"/>
      <c r="H882" s="1"/>
      <c r="K882" s="1"/>
      <c r="L882" s="1"/>
      <c r="O882" s="1"/>
      <c r="P882" s="1"/>
      <c r="Q882" s="1"/>
      <c r="R882" s="1"/>
      <c r="S882" s="1"/>
      <c r="T882" s="1"/>
      <c r="U882" s="1"/>
      <c r="V882" s="1"/>
    </row>
    <row r="883" spans="7:22">
      <c r="G883" s="1"/>
      <c r="H883" s="1"/>
      <c r="K883" s="1"/>
      <c r="L883" s="1"/>
      <c r="O883" s="1"/>
      <c r="P883" s="1"/>
      <c r="Q883" s="1"/>
      <c r="R883" s="1"/>
      <c r="S883" s="1"/>
      <c r="T883" s="1"/>
      <c r="U883" s="1"/>
      <c r="V883" s="1"/>
    </row>
    <row r="884" spans="7:22">
      <c r="G884" s="1"/>
      <c r="H884" s="1"/>
      <c r="K884" s="1"/>
      <c r="L884" s="1"/>
      <c r="O884" s="1"/>
      <c r="P884" s="1"/>
      <c r="Q884" s="1"/>
      <c r="R884" s="1"/>
      <c r="S884" s="1"/>
      <c r="T884" s="1"/>
      <c r="U884" s="1"/>
      <c r="V884" s="1"/>
    </row>
    <row r="885" spans="7:22">
      <c r="G885" s="1"/>
      <c r="H885" s="1"/>
      <c r="K885" s="1"/>
      <c r="L885" s="1"/>
      <c r="O885" s="1"/>
      <c r="P885" s="1"/>
      <c r="Q885" s="1"/>
      <c r="R885" s="1"/>
      <c r="S885" s="1"/>
      <c r="T885" s="1"/>
      <c r="U885" s="1"/>
      <c r="V885" s="1"/>
    </row>
    <row r="886" spans="7:22">
      <c r="G886" s="1"/>
      <c r="H886" s="1"/>
      <c r="K886" s="1"/>
      <c r="L886" s="1"/>
      <c r="O886" s="1"/>
      <c r="P886" s="1"/>
      <c r="Q886" s="1"/>
      <c r="R886" s="1"/>
      <c r="S886" s="1"/>
      <c r="T886" s="1"/>
      <c r="U886" s="1"/>
      <c r="V886" s="1"/>
    </row>
    <row r="887" spans="7:22">
      <c r="G887" s="1"/>
      <c r="H887" s="1"/>
      <c r="K887" s="1"/>
      <c r="L887" s="1"/>
      <c r="O887" s="1"/>
      <c r="P887" s="1"/>
      <c r="Q887" s="1"/>
      <c r="R887" s="1"/>
      <c r="S887" s="1"/>
      <c r="T887" s="1"/>
      <c r="U887" s="1"/>
      <c r="V887" s="1"/>
    </row>
    <row r="888" spans="7:22">
      <c r="G888" s="1"/>
      <c r="H888" s="1"/>
      <c r="K888" s="1"/>
      <c r="L888" s="1"/>
      <c r="O888" s="1"/>
      <c r="P888" s="1"/>
      <c r="Q888" s="1"/>
      <c r="R888" s="1"/>
      <c r="S888" s="1"/>
      <c r="T888" s="1"/>
      <c r="U888" s="1"/>
      <c r="V888" s="1"/>
    </row>
    <row r="889" spans="7:22">
      <c r="G889" s="1"/>
      <c r="H889" s="1"/>
      <c r="K889" s="1"/>
      <c r="L889" s="1"/>
      <c r="O889" s="1"/>
      <c r="P889" s="1"/>
      <c r="Q889" s="1"/>
      <c r="R889" s="1"/>
      <c r="S889" s="1"/>
      <c r="T889" s="1"/>
      <c r="U889" s="1"/>
      <c r="V889" s="1"/>
    </row>
    <row r="890" spans="7:22">
      <c r="G890" s="1"/>
      <c r="H890" s="1"/>
      <c r="K890" s="1"/>
      <c r="L890" s="1"/>
      <c r="O890" s="1"/>
      <c r="P890" s="1"/>
      <c r="Q890" s="1"/>
      <c r="R890" s="1"/>
      <c r="S890" s="1"/>
      <c r="T890" s="1"/>
      <c r="U890" s="1"/>
      <c r="V890" s="1"/>
    </row>
    <row r="891" spans="7:22">
      <c r="G891" s="1"/>
      <c r="H891" s="1"/>
      <c r="K891" s="1"/>
      <c r="L891" s="1"/>
      <c r="O891" s="1"/>
      <c r="P891" s="1"/>
      <c r="Q891" s="1"/>
      <c r="R891" s="1"/>
      <c r="S891" s="1"/>
      <c r="T891" s="1"/>
      <c r="U891" s="1"/>
      <c r="V891" s="1"/>
    </row>
    <row r="892" spans="7:22">
      <c r="G892" s="1"/>
      <c r="H892" s="1"/>
      <c r="K892" s="1"/>
      <c r="L892" s="1"/>
      <c r="O892" s="1"/>
      <c r="P892" s="1"/>
      <c r="Q892" s="1"/>
      <c r="R892" s="1"/>
      <c r="S892" s="1"/>
      <c r="T892" s="1"/>
      <c r="U892" s="1"/>
      <c r="V892" s="1"/>
    </row>
    <row r="893" spans="7:22">
      <c r="G893" s="1"/>
      <c r="H893" s="1"/>
      <c r="K893" s="1"/>
      <c r="L893" s="1"/>
      <c r="O893" s="1"/>
      <c r="P893" s="1"/>
      <c r="Q893" s="1"/>
      <c r="R893" s="1"/>
      <c r="S893" s="1"/>
      <c r="T893" s="1"/>
      <c r="U893" s="1"/>
      <c r="V893" s="1"/>
    </row>
    <row r="894" spans="7:22">
      <c r="G894" s="1"/>
      <c r="H894" s="1"/>
      <c r="K894" s="1"/>
      <c r="L894" s="1"/>
      <c r="O894" s="1"/>
      <c r="P894" s="1"/>
      <c r="Q894" s="1"/>
      <c r="R894" s="1"/>
      <c r="S894" s="1"/>
      <c r="T894" s="1"/>
      <c r="U894" s="1"/>
      <c r="V894" s="1"/>
    </row>
    <row r="895" spans="7:22">
      <c r="G895" s="1"/>
      <c r="H895" s="1"/>
      <c r="K895" s="1"/>
      <c r="L895" s="1"/>
      <c r="O895" s="1"/>
      <c r="P895" s="1"/>
      <c r="Q895" s="1"/>
      <c r="R895" s="1"/>
      <c r="S895" s="1"/>
      <c r="T895" s="1"/>
      <c r="U895" s="1"/>
      <c r="V895" s="1"/>
    </row>
    <row r="896" spans="7:22">
      <c r="G896" s="1"/>
      <c r="H896" s="1"/>
      <c r="K896" s="1"/>
      <c r="L896" s="1"/>
      <c r="O896" s="1"/>
      <c r="P896" s="1"/>
      <c r="Q896" s="1"/>
      <c r="R896" s="1"/>
      <c r="S896" s="1"/>
      <c r="T896" s="1"/>
      <c r="U896" s="1"/>
      <c r="V896" s="1"/>
    </row>
    <row r="897" spans="7:22">
      <c r="G897" s="1"/>
      <c r="H897" s="1"/>
      <c r="K897" s="1"/>
      <c r="L897" s="1"/>
      <c r="O897" s="1"/>
      <c r="P897" s="1"/>
      <c r="Q897" s="1"/>
      <c r="R897" s="1"/>
      <c r="S897" s="1"/>
      <c r="T897" s="1"/>
      <c r="U897" s="1"/>
      <c r="V897" s="1"/>
    </row>
    <row r="898" spans="7:22">
      <c r="G898" s="1"/>
      <c r="H898" s="1"/>
      <c r="K898" s="1"/>
      <c r="L898" s="1"/>
      <c r="O898" s="1"/>
      <c r="P898" s="1"/>
      <c r="Q898" s="1"/>
      <c r="R898" s="1"/>
      <c r="S898" s="1"/>
      <c r="T898" s="1"/>
      <c r="U898" s="1"/>
      <c r="V898" s="1"/>
    </row>
    <row r="899" spans="7:22">
      <c r="G899" s="1"/>
      <c r="H899" s="1"/>
      <c r="K899" s="1"/>
      <c r="L899" s="1"/>
      <c r="O899" s="1"/>
      <c r="P899" s="1"/>
      <c r="Q899" s="1"/>
      <c r="R899" s="1"/>
      <c r="S899" s="1"/>
      <c r="T899" s="1"/>
      <c r="U899" s="1"/>
      <c r="V899" s="1"/>
    </row>
    <row r="900" spans="7:22">
      <c r="G900" s="1"/>
      <c r="H900" s="1"/>
      <c r="K900" s="1"/>
      <c r="L900" s="1"/>
      <c r="O900" s="1"/>
      <c r="P900" s="1"/>
      <c r="Q900" s="1"/>
      <c r="R900" s="1"/>
      <c r="S900" s="1"/>
      <c r="T900" s="1"/>
      <c r="U900" s="1"/>
      <c r="V900" s="1"/>
    </row>
    <row r="901" spans="7:22">
      <c r="G901" s="1"/>
      <c r="H901" s="1"/>
      <c r="K901" s="1"/>
      <c r="L901" s="1"/>
      <c r="O901" s="1"/>
      <c r="P901" s="1"/>
      <c r="Q901" s="1"/>
      <c r="R901" s="1"/>
      <c r="S901" s="1"/>
      <c r="T901" s="1"/>
      <c r="U901" s="1"/>
      <c r="V901" s="1"/>
    </row>
    <row r="902" spans="7:22">
      <c r="G902" s="1"/>
      <c r="H902" s="1"/>
      <c r="K902" s="1"/>
      <c r="L902" s="1"/>
      <c r="O902" s="1"/>
      <c r="P902" s="1"/>
      <c r="Q902" s="1"/>
      <c r="R902" s="1"/>
      <c r="S902" s="1"/>
      <c r="T902" s="1"/>
      <c r="U902" s="1"/>
      <c r="V902" s="1"/>
    </row>
    <row r="903" spans="7:22">
      <c r="G903" s="1"/>
      <c r="H903" s="1"/>
      <c r="K903" s="1"/>
      <c r="L903" s="1"/>
      <c r="O903" s="1"/>
      <c r="P903" s="1"/>
      <c r="Q903" s="1"/>
      <c r="R903" s="1"/>
      <c r="S903" s="1"/>
      <c r="T903" s="1"/>
      <c r="U903" s="1"/>
      <c r="V903" s="1"/>
    </row>
    <row r="904" spans="7:22">
      <c r="G904" s="1"/>
      <c r="H904" s="1"/>
      <c r="K904" s="1"/>
      <c r="L904" s="1"/>
      <c r="O904" s="1"/>
      <c r="P904" s="1"/>
      <c r="Q904" s="1"/>
      <c r="R904" s="1"/>
      <c r="S904" s="1"/>
      <c r="T904" s="1"/>
      <c r="U904" s="1"/>
      <c r="V904" s="1"/>
    </row>
    <row r="905" spans="7:22">
      <c r="G905" s="1"/>
      <c r="H905" s="1"/>
      <c r="K905" s="1"/>
      <c r="L905" s="1"/>
      <c r="O905" s="1"/>
      <c r="P905" s="1"/>
      <c r="Q905" s="1"/>
      <c r="R905" s="1"/>
      <c r="S905" s="1"/>
      <c r="T905" s="1"/>
      <c r="U905" s="1"/>
      <c r="V905" s="1"/>
    </row>
    <row r="906" spans="7:22">
      <c r="G906" s="1"/>
      <c r="H906" s="1"/>
      <c r="K906" s="1"/>
      <c r="L906" s="1"/>
      <c r="O906" s="1"/>
      <c r="P906" s="1"/>
      <c r="Q906" s="1"/>
      <c r="R906" s="1"/>
      <c r="S906" s="1"/>
      <c r="T906" s="1"/>
      <c r="U906" s="1"/>
      <c r="V906" s="1"/>
    </row>
    <row r="907" spans="7:22">
      <c r="G907" s="1"/>
      <c r="H907" s="1"/>
      <c r="K907" s="1"/>
      <c r="L907" s="1"/>
      <c r="O907" s="1"/>
      <c r="P907" s="1"/>
      <c r="Q907" s="1"/>
      <c r="R907" s="1"/>
      <c r="S907" s="1"/>
      <c r="T907" s="1"/>
      <c r="U907" s="1"/>
      <c r="V907" s="1"/>
    </row>
    <row r="908" spans="7:22">
      <c r="G908" s="1"/>
      <c r="H908" s="1"/>
      <c r="K908" s="1"/>
      <c r="L908" s="1"/>
      <c r="O908" s="1"/>
      <c r="P908" s="1"/>
      <c r="Q908" s="1"/>
      <c r="R908" s="1"/>
      <c r="S908" s="1"/>
      <c r="T908" s="1"/>
      <c r="U908" s="1"/>
      <c r="V908" s="1"/>
    </row>
    <row r="909" spans="7:22">
      <c r="G909" s="1"/>
      <c r="H909" s="1"/>
      <c r="K909" s="1"/>
      <c r="L909" s="1"/>
      <c r="O909" s="1"/>
      <c r="P909" s="1"/>
      <c r="Q909" s="1"/>
      <c r="R909" s="1"/>
      <c r="S909" s="1"/>
      <c r="T909" s="1"/>
      <c r="U909" s="1"/>
      <c r="V909" s="1"/>
    </row>
    <row r="910" spans="7:22">
      <c r="G910" s="1"/>
      <c r="H910" s="1"/>
      <c r="K910" s="1"/>
      <c r="L910" s="1"/>
      <c r="O910" s="1"/>
      <c r="P910" s="1"/>
      <c r="Q910" s="1"/>
      <c r="R910" s="1"/>
      <c r="S910" s="1"/>
      <c r="T910" s="1"/>
      <c r="U910" s="1"/>
      <c r="V910" s="1"/>
    </row>
    <row r="911" spans="7:22">
      <c r="G911" s="1"/>
      <c r="H911" s="1"/>
      <c r="K911" s="1"/>
      <c r="L911" s="1"/>
      <c r="O911" s="1"/>
      <c r="P911" s="1"/>
      <c r="Q911" s="1"/>
      <c r="R911" s="1"/>
      <c r="S911" s="1"/>
      <c r="T911" s="1"/>
      <c r="U911" s="1"/>
      <c r="V911" s="1"/>
    </row>
    <row r="912" spans="7:22">
      <c r="G912" s="1"/>
      <c r="H912" s="1"/>
      <c r="K912" s="1"/>
      <c r="L912" s="1"/>
      <c r="O912" s="1"/>
      <c r="P912" s="1"/>
      <c r="Q912" s="1"/>
      <c r="R912" s="1"/>
      <c r="S912" s="1"/>
      <c r="T912" s="1"/>
      <c r="U912" s="1"/>
      <c r="V912" s="1"/>
    </row>
    <row r="913" spans="7:22">
      <c r="G913" s="1"/>
      <c r="H913" s="1"/>
      <c r="K913" s="1"/>
      <c r="L913" s="1"/>
      <c r="O913" s="1"/>
      <c r="P913" s="1"/>
      <c r="Q913" s="1"/>
      <c r="R913" s="1"/>
      <c r="S913" s="1"/>
      <c r="T913" s="1"/>
      <c r="U913" s="1"/>
      <c r="V913" s="1"/>
    </row>
    <row r="914" spans="7:22">
      <c r="G914" s="1"/>
      <c r="H914" s="1"/>
      <c r="K914" s="1"/>
      <c r="L914" s="1"/>
      <c r="O914" s="1"/>
      <c r="P914" s="1"/>
      <c r="Q914" s="1"/>
      <c r="R914" s="1"/>
      <c r="S914" s="1"/>
      <c r="T914" s="1"/>
      <c r="U914" s="1"/>
      <c r="V914" s="1"/>
    </row>
    <row r="915" spans="7:22">
      <c r="G915" s="1"/>
      <c r="H915" s="1"/>
      <c r="K915" s="1"/>
      <c r="L915" s="1"/>
      <c r="O915" s="1"/>
      <c r="P915" s="1"/>
      <c r="Q915" s="1"/>
      <c r="R915" s="1"/>
      <c r="S915" s="1"/>
      <c r="T915" s="1"/>
      <c r="U915" s="1"/>
      <c r="V915" s="1"/>
    </row>
    <row r="916" spans="7:22">
      <c r="G916" s="1"/>
      <c r="H916" s="1"/>
      <c r="K916" s="1"/>
      <c r="L916" s="1"/>
      <c r="O916" s="1"/>
      <c r="P916" s="1"/>
      <c r="Q916" s="1"/>
      <c r="R916" s="1"/>
      <c r="S916" s="1"/>
      <c r="T916" s="1"/>
      <c r="U916" s="1"/>
      <c r="V916" s="1"/>
    </row>
    <row r="917" spans="7:22">
      <c r="G917" s="1"/>
      <c r="H917" s="1"/>
      <c r="K917" s="1"/>
      <c r="L917" s="1"/>
      <c r="O917" s="1"/>
      <c r="P917" s="1"/>
      <c r="Q917" s="1"/>
      <c r="R917" s="1"/>
      <c r="S917" s="1"/>
      <c r="T917" s="1"/>
      <c r="U917" s="1"/>
      <c r="V917" s="1"/>
    </row>
    <row r="918" spans="7:22">
      <c r="G918" s="1"/>
      <c r="H918" s="1"/>
      <c r="K918" s="1"/>
      <c r="L918" s="1"/>
      <c r="O918" s="1"/>
      <c r="P918" s="1"/>
      <c r="Q918" s="1"/>
      <c r="R918" s="1"/>
      <c r="S918" s="1"/>
      <c r="T918" s="1"/>
      <c r="U918" s="1"/>
      <c r="V918" s="1"/>
    </row>
    <row r="919" spans="7:22">
      <c r="G919" s="1"/>
      <c r="H919" s="1"/>
      <c r="K919" s="1"/>
      <c r="L919" s="1"/>
      <c r="O919" s="1"/>
      <c r="P919" s="1"/>
      <c r="Q919" s="1"/>
      <c r="R919" s="1"/>
      <c r="S919" s="1"/>
      <c r="T919" s="1"/>
      <c r="U919" s="1"/>
      <c r="V919" s="1"/>
    </row>
    <row r="920" spans="7:22">
      <c r="G920" s="1"/>
      <c r="H920" s="1"/>
      <c r="K920" s="1"/>
      <c r="L920" s="1"/>
      <c r="O920" s="1"/>
      <c r="P920" s="1"/>
      <c r="Q920" s="1"/>
      <c r="R920" s="1"/>
      <c r="S920" s="1"/>
      <c r="T920" s="1"/>
      <c r="U920" s="1"/>
      <c r="V920" s="1"/>
    </row>
    <row r="921" spans="7:22">
      <c r="G921" s="1"/>
      <c r="H921" s="1"/>
      <c r="K921" s="1"/>
      <c r="L921" s="1"/>
      <c r="O921" s="1"/>
      <c r="P921" s="1"/>
      <c r="Q921" s="1"/>
      <c r="R921" s="1"/>
      <c r="S921" s="1"/>
      <c r="T921" s="1"/>
      <c r="U921" s="1"/>
      <c r="V921" s="1"/>
    </row>
    <row r="922" spans="7:22">
      <c r="G922" s="1"/>
      <c r="H922" s="1"/>
      <c r="K922" s="1"/>
      <c r="L922" s="1"/>
      <c r="O922" s="1"/>
      <c r="P922" s="1"/>
      <c r="Q922" s="1"/>
      <c r="R922" s="1"/>
      <c r="S922" s="1"/>
      <c r="T922" s="1"/>
      <c r="U922" s="1"/>
      <c r="V922" s="1"/>
    </row>
    <row r="923" spans="7:22">
      <c r="G923" s="1"/>
      <c r="H923" s="1"/>
      <c r="K923" s="1"/>
      <c r="L923" s="1"/>
      <c r="O923" s="1"/>
      <c r="P923" s="1"/>
      <c r="Q923" s="1"/>
      <c r="R923" s="1"/>
      <c r="S923" s="1"/>
      <c r="T923" s="1"/>
      <c r="U923" s="1"/>
      <c r="V923" s="1"/>
    </row>
    <row r="924" spans="7:22">
      <c r="G924" s="1"/>
      <c r="H924" s="1"/>
      <c r="K924" s="1"/>
      <c r="L924" s="1"/>
      <c r="O924" s="1"/>
      <c r="P924" s="1"/>
      <c r="Q924" s="1"/>
      <c r="R924" s="1"/>
      <c r="S924" s="1"/>
      <c r="T924" s="1"/>
      <c r="U924" s="1"/>
      <c r="V924" s="1"/>
    </row>
    <row r="925" spans="7:22">
      <c r="G925" s="1"/>
      <c r="H925" s="1"/>
      <c r="K925" s="1"/>
      <c r="L925" s="1"/>
      <c r="O925" s="1"/>
      <c r="P925" s="1"/>
      <c r="Q925" s="1"/>
      <c r="R925" s="1"/>
      <c r="S925" s="1"/>
      <c r="T925" s="1"/>
      <c r="U925" s="1"/>
      <c r="V925" s="1"/>
    </row>
    <row r="926" spans="7:22">
      <c r="G926" s="1"/>
      <c r="H926" s="1"/>
      <c r="K926" s="1"/>
      <c r="L926" s="1"/>
      <c r="O926" s="1"/>
      <c r="P926" s="1"/>
      <c r="Q926" s="1"/>
      <c r="R926" s="1"/>
      <c r="S926" s="1"/>
      <c r="T926" s="1"/>
      <c r="U926" s="1"/>
      <c r="V926" s="1"/>
    </row>
    <row r="927" spans="7:22">
      <c r="G927" s="1"/>
      <c r="H927" s="1"/>
      <c r="K927" s="1"/>
      <c r="L927" s="1"/>
      <c r="O927" s="1"/>
      <c r="P927" s="1"/>
      <c r="Q927" s="1"/>
      <c r="R927" s="1"/>
      <c r="S927" s="1"/>
      <c r="T927" s="1"/>
      <c r="U927" s="1"/>
      <c r="V927" s="1"/>
    </row>
    <row r="928" spans="7:22">
      <c r="G928" s="1"/>
      <c r="H928" s="1"/>
      <c r="K928" s="1"/>
      <c r="L928" s="1"/>
      <c r="O928" s="1"/>
      <c r="P928" s="1"/>
      <c r="Q928" s="1"/>
      <c r="R928" s="1"/>
      <c r="S928" s="1"/>
      <c r="T928" s="1"/>
      <c r="U928" s="1"/>
      <c r="V928" s="1"/>
    </row>
    <row r="929" spans="7:22">
      <c r="G929" s="1"/>
      <c r="H929" s="1"/>
      <c r="K929" s="1"/>
      <c r="L929" s="1"/>
      <c r="O929" s="1"/>
      <c r="P929" s="1"/>
      <c r="Q929" s="1"/>
      <c r="R929" s="1"/>
      <c r="S929" s="1"/>
      <c r="T929" s="1"/>
      <c r="U929" s="1"/>
      <c r="V929" s="1"/>
    </row>
    <row r="930" spans="7:22">
      <c r="G930" s="1"/>
      <c r="H930" s="1"/>
      <c r="K930" s="1"/>
      <c r="L930" s="1"/>
      <c r="O930" s="1"/>
      <c r="P930" s="1"/>
      <c r="Q930" s="1"/>
      <c r="R930" s="1"/>
      <c r="S930" s="1"/>
      <c r="T930" s="1"/>
      <c r="U930" s="1"/>
      <c r="V930" s="1"/>
    </row>
    <row r="931" spans="7:22">
      <c r="G931" s="1"/>
      <c r="H931" s="1"/>
      <c r="K931" s="1"/>
      <c r="L931" s="1"/>
      <c r="O931" s="1"/>
      <c r="P931" s="1"/>
      <c r="Q931" s="1"/>
      <c r="R931" s="1"/>
      <c r="S931" s="1"/>
      <c r="T931" s="1"/>
      <c r="U931" s="1"/>
      <c r="V931" s="1"/>
    </row>
    <row r="932" spans="7:22">
      <c r="G932" s="1"/>
      <c r="H932" s="1"/>
      <c r="K932" s="1"/>
      <c r="L932" s="1"/>
      <c r="O932" s="1"/>
      <c r="P932" s="1"/>
      <c r="Q932" s="1"/>
      <c r="R932" s="1"/>
      <c r="S932" s="1"/>
      <c r="T932" s="1"/>
      <c r="U932" s="1"/>
      <c r="V932" s="1"/>
    </row>
    <row r="933" spans="7:22">
      <c r="G933" s="1"/>
      <c r="H933" s="1"/>
      <c r="K933" s="1"/>
      <c r="L933" s="1"/>
      <c r="O933" s="1"/>
      <c r="P933" s="1"/>
      <c r="Q933" s="1"/>
      <c r="R933" s="1"/>
      <c r="S933" s="1"/>
      <c r="T933" s="1"/>
      <c r="U933" s="1"/>
      <c r="V933" s="1"/>
    </row>
    <row r="934" spans="7:22">
      <c r="G934" s="1"/>
      <c r="H934" s="1"/>
      <c r="K934" s="1"/>
      <c r="L934" s="1"/>
      <c r="O934" s="1"/>
      <c r="P934" s="1"/>
      <c r="Q934" s="1"/>
      <c r="R934" s="1"/>
      <c r="S934" s="1"/>
      <c r="T934" s="1"/>
      <c r="U934" s="1"/>
      <c r="V934" s="1"/>
    </row>
    <row r="935" spans="7:22">
      <c r="G935" s="1"/>
      <c r="H935" s="1"/>
      <c r="K935" s="1"/>
      <c r="L935" s="1"/>
      <c r="O935" s="1"/>
      <c r="P935" s="1"/>
      <c r="Q935" s="1"/>
      <c r="R935" s="1"/>
      <c r="S935" s="1"/>
      <c r="T935" s="1"/>
      <c r="U935" s="1"/>
      <c r="V935" s="1"/>
    </row>
    <row r="936" spans="7:22">
      <c r="G936" s="1"/>
      <c r="H936" s="1"/>
      <c r="K936" s="1"/>
      <c r="L936" s="1"/>
      <c r="O936" s="1"/>
      <c r="P936" s="1"/>
      <c r="Q936" s="1"/>
      <c r="R936" s="1"/>
      <c r="S936" s="1"/>
      <c r="T936" s="1"/>
      <c r="U936" s="1"/>
      <c r="V936" s="1"/>
    </row>
    <row r="937" spans="7:22">
      <c r="G937" s="1"/>
      <c r="H937" s="1"/>
      <c r="K937" s="1"/>
      <c r="L937" s="1"/>
      <c r="O937" s="1"/>
      <c r="P937" s="1"/>
      <c r="Q937" s="1"/>
      <c r="R937" s="1"/>
      <c r="S937" s="1"/>
      <c r="T937" s="1"/>
      <c r="U937" s="1"/>
      <c r="V937" s="1"/>
    </row>
    <row r="938" spans="7:22">
      <c r="G938" s="1"/>
      <c r="H938" s="1"/>
      <c r="K938" s="1"/>
      <c r="L938" s="1"/>
      <c r="O938" s="1"/>
      <c r="P938" s="1"/>
      <c r="Q938" s="1"/>
      <c r="R938" s="1"/>
      <c r="S938" s="1"/>
      <c r="T938" s="1"/>
      <c r="U938" s="1"/>
      <c r="V938" s="1"/>
    </row>
    <row r="939" spans="7:22">
      <c r="G939" s="1"/>
      <c r="H939" s="1"/>
      <c r="K939" s="1"/>
      <c r="L939" s="1"/>
      <c r="O939" s="1"/>
      <c r="P939" s="1"/>
      <c r="Q939" s="1"/>
      <c r="R939" s="1"/>
      <c r="S939" s="1"/>
      <c r="T939" s="1"/>
      <c r="U939" s="1"/>
      <c r="V939" s="1"/>
    </row>
    <row r="940" spans="7:22">
      <c r="G940" s="1"/>
      <c r="H940" s="1"/>
      <c r="K940" s="1"/>
      <c r="L940" s="1"/>
      <c r="O940" s="1"/>
      <c r="P940" s="1"/>
      <c r="Q940" s="1"/>
      <c r="R940" s="1"/>
      <c r="S940" s="1"/>
      <c r="T940" s="1"/>
      <c r="U940" s="1"/>
      <c r="V940" s="1"/>
    </row>
    <row r="941" spans="7:22">
      <c r="G941" s="1"/>
      <c r="H941" s="1"/>
      <c r="K941" s="1"/>
      <c r="L941" s="1"/>
      <c r="O941" s="1"/>
      <c r="P941" s="1"/>
      <c r="Q941" s="1"/>
      <c r="R941" s="1"/>
      <c r="S941" s="1"/>
      <c r="T941" s="1"/>
      <c r="U941" s="1"/>
      <c r="V941" s="1"/>
    </row>
    <row r="942" spans="7:22">
      <c r="G942" s="1"/>
      <c r="H942" s="1"/>
      <c r="K942" s="1"/>
      <c r="L942" s="1"/>
      <c r="O942" s="1"/>
      <c r="P942" s="1"/>
      <c r="Q942" s="1"/>
      <c r="R942" s="1"/>
      <c r="S942" s="1"/>
      <c r="T942" s="1"/>
      <c r="U942" s="1"/>
      <c r="V942" s="1"/>
    </row>
    <row r="943" spans="7:22">
      <c r="G943" s="1"/>
      <c r="H943" s="1"/>
      <c r="K943" s="1"/>
      <c r="L943" s="1"/>
      <c r="O943" s="1"/>
      <c r="P943" s="1"/>
      <c r="Q943" s="1"/>
      <c r="R943" s="1"/>
      <c r="S943" s="1"/>
      <c r="T943" s="1"/>
      <c r="U943" s="1"/>
      <c r="V943" s="1"/>
    </row>
    <row r="944" spans="7:22">
      <c r="G944" s="1"/>
      <c r="H944" s="1"/>
      <c r="K944" s="1"/>
      <c r="L944" s="1"/>
      <c r="O944" s="1"/>
      <c r="P944" s="1"/>
      <c r="Q944" s="1"/>
      <c r="R944" s="1"/>
      <c r="S944" s="1"/>
      <c r="T944" s="1"/>
      <c r="U944" s="1"/>
      <c r="V944" s="1"/>
    </row>
    <row r="945" spans="7:22">
      <c r="G945" s="1"/>
      <c r="H945" s="1"/>
      <c r="K945" s="1"/>
      <c r="L945" s="1"/>
      <c r="O945" s="1"/>
      <c r="P945" s="1"/>
      <c r="Q945" s="1"/>
      <c r="R945" s="1"/>
      <c r="S945" s="1"/>
      <c r="T945" s="1"/>
      <c r="U945" s="1"/>
      <c r="V945" s="1"/>
    </row>
    <row r="946" spans="7:22">
      <c r="G946" s="1"/>
      <c r="H946" s="1"/>
      <c r="K946" s="1"/>
      <c r="L946" s="1"/>
      <c r="O946" s="1"/>
      <c r="P946" s="1"/>
      <c r="Q946" s="1"/>
      <c r="R946" s="1"/>
      <c r="S946" s="1"/>
      <c r="T946" s="1"/>
      <c r="U946" s="1"/>
      <c r="V946" s="1"/>
    </row>
    <row r="947" spans="7:22">
      <c r="G947" s="1"/>
      <c r="H947" s="1"/>
      <c r="K947" s="1"/>
      <c r="L947" s="1"/>
      <c r="O947" s="1"/>
      <c r="P947" s="1"/>
      <c r="Q947" s="1"/>
      <c r="R947" s="1"/>
      <c r="S947" s="1"/>
      <c r="T947" s="1"/>
      <c r="U947" s="1"/>
      <c r="V947" s="1"/>
    </row>
    <row r="948" spans="7:22">
      <c r="G948" s="1"/>
      <c r="H948" s="1"/>
      <c r="K948" s="1"/>
      <c r="L948" s="1"/>
      <c r="O948" s="1"/>
      <c r="P948" s="1"/>
      <c r="Q948" s="1"/>
      <c r="R948" s="1"/>
      <c r="S948" s="1"/>
      <c r="T948" s="1"/>
      <c r="U948" s="1"/>
      <c r="V948" s="1"/>
    </row>
    <row r="949" spans="7:22">
      <c r="G949" s="1"/>
      <c r="H949" s="1"/>
      <c r="K949" s="1"/>
      <c r="L949" s="1"/>
      <c r="O949" s="1"/>
      <c r="P949" s="1"/>
      <c r="Q949" s="1"/>
      <c r="R949" s="1"/>
      <c r="S949" s="1"/>
      <c r="T949" s="1"/>
      <c r="U949" s="1"/>
      <c r="V949" s="1"/>
    </row>
    <row r="950" spans="7:22">
      <c r="G950" s="1"/>
      <c r="H950" s="1"/>
      <c r="K950" s="1"/>
      <c r="L950" s="1"/>
      <c r="O950" s="1"/>
      <c r="P950" s="1"/>
      <c r="Q950" s="1"/>
      <c r="R950" s="1"/>
      <c r="S950" s="1"/>
      <c r="T950" s="1"/>
      <c r="U950" s="1"/>
      <c r="V950" s="1"/>
    </row>
    <row r="951" spans="7:22">
      <c r="G951" s="1"/>
      <c r="H951" s="1"/>
      <c r="K951" s="1"/>
      <c r="L951" s="1"/>
      <c r="O951" s="1"/>
      <c r="P951" s="1"/>
      <c r="Q951" s="1"/>
      <c r="R951" s="1"/>
      <c r="S951" s="1"/>
      <c r="T951" s="1"/>
      <c r="U951" s="1"/>
      <c r="V951" s="1"/>
    </row>
    <row r="952" spans="7:22">
      <c r="G952" s="1"/>
      <c r="H952" s="1"/>
      <c r="K952" s="1"/>
      <c r="L952" s="1"/>
      <c r="O952" s="1"/>
      <c r="P952" s="1"/>
      <c r="Q952" s="1"/>
      <c r="R952" s="1"/>
      <c r="S952" s="1"/>
      <c r="T952" s="1"/>
      <c r="U952" s="1"/>
      <c r="V952" s="1"/>
    </row>
    <row r="953" spans="7:22">
      <c r="G953" s="1"/>
      <c r="H953" s="1"/>
      <c r="K953" s="1"/>
      <c r="L953" s="1"/>
      <c r="O953" s="1"/>
      <c r="P953" s="1"/>
      <c r="Q953" s="1"/>
      <c r="R953" s="1"/>
      <c r="S953" s="1"/>
      <c r="T953" s="1"/>
      <c r="U953" s="1"/>
      <c r="V953" s="1"/>
    </row>
    <row r="954" spans="7:22">
      <c r="G954" s="1"/>
      <c r="H954" s="1"/>
      <c r="K954" s="1"/>
      <c r="L954" s="1"/>
      <c r="O954" s="1"/>
      <c r="P954" s="1"/>
      <c r="Q954" s="1"/>
      <c r="R954" s="1"/>
      <c r="S954" s="1"/>
      <c r="T954" s="1"/>
      <c r="U954" s="1"/>
      <c r="V954" s="1"/>
    </row>
    <row r="955" spans="7:22">
      <c r="G955" s="1"/>
      <c r="H955" s="1"/>
      <c r="K955" s="1"/>
      <c r="L955" s="1"/>
      <c r="O955" s="1"/>
      <c r="P955" s="1"/>
      <c r="Q955" s="1"/>
      <c r="R955" s="1"/>
      <c r="S955" s="1"/>
      <c r="T955" s="1"/>
      <c r="U955" s="1"/>
      <c r="V955" s="1"/>
    </row>
    <row r="956" spans="7:22">
      <c r="G956" s="1"/>
      <c r="H956" s="1"/>
      <c r="K956" s="1"/>
      <c r="L956" s="1"/>
      <c r="O956" s="1"/>
      <c r="P956" s="1"/>
      <c r="Q956" s="1"/>
      <c r="R956" s="1"/>
      <c r="S956" s="1"/>
      <c r="T956" s="1"/>
      <c r="U956" s="1"/>
      <c r="V956" s="1"/>
    </row>
    <row r="957" spans="7:22">
      <c r="G957" s="1"/>
      <c r="H957" s="1"/>
      <c r="K957" s="1"/>
      <c r="L957" s="1"/>
      <c r="O957" s="1"/>
      <c r="P957" s="1"/>
      <c r="Q957" s="1"/>
      <c r="R957" s="1"/>
      <c r="S957" s="1"/>
      <c r="T957" s="1"/>
      <c r="U957" s="1"/>
      <c r="V957" s="1"/>
    </row>
    <row r="958" spans="7:22">
      <c r="G958" s="1"/>
      <c r="H958" s="1"/>
      <c r="K958" s="1"/>
      <c r="L958" s="1"/>
      <c r="O958" s="1"/>
      <c r="P958" s="1"/>
      <c r="Q958" s="1"/>
      <c r="R958" s="1"/>
      <c r="S958" s="1"/>
      <c r="T958" s="1"/>
      <c r="U958" s="1"/>
      <c r="V958" s="1"/>
    </row>
    <row r="959" spans="7:22">
      <c r="G959" s="1"/>
      <c r="H959" s="1"/>
      <c r="K959" s="1"/>
      <c r="L959" s="1"/>
      <c r="O959" s="1"/>
      <c r="P959" s="1"/>
      <c r="Q959" s="1"/>
      <c r="R959" s="1"/>
      <c r="S959" s="1"/>
      <c r="T959" s="1"/>
      <c r="U959" s="1"/>
      <c r="V959" s="1"/>
    </row>
    <row r="960" spans="7:22">
      <c r="G960" s="1"/>
      <c r="H960" s="1"/>
      <c r="K960" s="1"/>
      <c r="L960" s="1"/>
      <c r="O960" s="1"/>
      <c r="P960" s="1"/>
      <c r="Q960" s="1"/>
      <c r="R960" s="1"/>
      <c r="S960" s="1"/>
      <c r="T960" s="1"/>
      <c r="U960" s="1"/>
      <c r="V960" s="1"/>
    </row>
    <row r="961" spans="7:22">
      <c r="G961" s="1"/>
      <c r="H961" s="1"/>
      <c r="K961" s="1"/>
      <c r="L961" s="1"/>
      <c r="O961" s="1"/>
      <c r="P961" s="1"/>
      <c r="Q961" s="1"/>
      <c r="R961" s="1"/>
      <c r="S961" s="1"/>
      <c r="T961" s="1"/>
      <c r="U961" s="1"/>
      <c r="V961" s="1"/>
    </row>
    <row r="962" spans="7:22">
      <c r="G962" s="1"/>
      <c r="H962" s="1"/>
      <c r="K962" s="1"/>
      <c r="L962" s="1"/>
      <c r="O962" s="1"/>
      <c r="P962" s="1"/>
      <c r="Q962" s="1"/>
      <c r="R962" s="1"/>
      <c r="S962" s="1"/>
      <c r="T962" s="1"/>
      <c r="U962" s="1"/>
      <c r="V962" s="1"/>
    </row>
    <row r="963" spans="7:22">
      <c r="G963" s="1"/>
      <c r="H963" s="1"/>
      <c r="K963" s="1"/>
      <c r="L963" s="1"/>
      <c r="O963" s="1"/>
      <c r="P963" s="1"/>
      <c r="Q963" s="1"/>
      <c r="R963" s="1"/>
      <c r="S963" s="1"/>
      <c r="T963" s="1"/>
      <c r="U963" s="1"/>
      <c r="V963" s="1"/>
    </row>
    <row r="964" spans="7:22">
      <c r="G964" s="1"/>
      <c r="H964" s="1"/>
      <c r="K964" s="1"/>
      <c r="L964" s="1"/>
      <c r="O964" s="1"/>
      <c r="P964" s="1"/>
      <c r="Q964" s="1"/>
      <c r="R964" s="1"/>
      <c r="S964" s="1"/>
      <c r="T964" s="1"/>
      <c r="U964" s="1"/>
      <c r="V964" s="1"/>
    </row>
    <row r="965" spans="7:22">
      <c r="G965" s="1"/>
      <c r="H965" s="1"/>
      <c r="K965" s="1"/>
      <c r="L965" s="1"/>
      <c r="O965" s="1"/>
      <c r="P965" s="1"/>
      <c r="Q965" s="1"/>
      <c r="R965" s="1"/>
      <c r="S965" s="1"/>
      <c r="T965" s="1"/>
      <c r="U965" s="1"/>
      <c r="V965" s="1"/>
    </row>
    <row r="966" spans="7:22">
      <c r="G966" s="1"/>
      <c r="H966" s="1"/>
      <c r="K966" s="1"/>
      <c r="L966" s="1"/>
      <c r="O966" s="1"/>
      <c r="P966" s="1"/>
      <c r="Q966" s="1"/>
      <c r="R966" s="1"/>
      <c r="S966" s="1"/>
      <c r="T966" s="1"/>
      <c r="U966" s="1"/>
      <c r="V966" s="1"/>
    </row>
    <row r="967" spans="7:22">
      <c r="G967" s="1"/>
      <c r="H967" s="1"/>
      <c r="K967" s="1"/>
      <c r="L967" s="1"/>
      <c r="O967" s="1"/>
      <c r="P967" s="1"/>
      <c r="Q967" s="1"/>
      <c r="R967" s="1"/>
      <c r="S967" s="1"/>
      <c r="T967" s="1"/>
      <c r="U967" s="1"/>
      <c r="V967" s="1"/>
    </row>
    <row r="968" spans="7:22">
      <c r="G968" s="1"/>
      <c r="H968" s="1"/>
      <c r="K968" s="1"/>
      <c r="L968" s="1"/>
      <c r="O968" s="1"/>
      <c r="P968" s="1"/>
      <c r="Q968" s="1"/>
      <c r="R968" s="1"/>
      <c r="S968" s="1"/>
      <c r="T968" s="1"/>
      <c r="U968" s="1"/>
      <c r="V968" s="1"/>
    </row>
    <row r="969" spans="7:22">
      <c r="G969" s="1"/>
      <c r="H969" s="1"/>
      <c r="K969" s="1"/>
      <c r="L969" s="1"/>
      <c r="O969" s="1"/>
      <c r="P969" s="1"/>
      <c r="Q969" s="1"/>
      <c r="R969" s="1"/>
      <c r="S969" s="1"/>
      <c r="T969" s="1"/>
      <c r="U969" s="1"/>
      <c r="V969" s="1"/>
    </row>
    <row r="970" spans="7:22">
      <c r="G970" s="1"/>
      <c r="H970" s="1"/>
      <c r="K970" s="1"/>
      <c r="L970" s="1"/>
      <c r="O970" s="1"/>
      <c r="P970" s="1"/>
      <c r="Q970" s="1"/>
      <c r="R970" s="1"/>
      <c r="S970" s="1"/>
      <c r="T970" s="1"/>
      <c r="U970" s="1"/>
      <c r="V970" s="1"/>
    </row>
    <row r="971" spans="7:22">
      <c r="G971" s="1"/>
      <c r="H971" s="1"/>
      <c r="K971" s="1"/>
      <c r="L971" s="1"/>
      <c r="O971" s="1"/>
      <c r="P971" s="1"/>
      <c r="Q971" s="1"/>
      <c r="R971" s="1"/>
      <c r="S971" s="1"/>
      <c r="T971" s="1"/>
      <c r="U971" s="1"/>
      <c r="V971" s="1"/>
    </row>
    <row r="972" spans="7:22">
      <c r="G972" s="1"/>
      <c r="H972" s="1"/>
      <c r="K972" s="1"/>
      <c r="L972" s="1"/>
      <c r="O972" s="1"/>
      <c r="P972" s="1"/>
      <c r="Q972" s="1"/>
      <c r="R972" s="1"/>
      <c r="S972" s="1"/>
      <c r="T972" s="1"/>
      <c r="U972" s="1"/>
      <c r="V972" s="1"/>
    </row>
    <row r="973" spans="7:22">
      <c r="G973" s="1"/>
      <c r="H973" s="1"/>
      <c r="K973" s="1"/>
      <c r="L973" s="1"/>
      <c r="O973" s="1"/>
      <c r="P973" s="1"/>
      <c r="Q973" s="1"/>
      <c r="R973" s="1"/>
      <c r="S973" s="1"/>
      <c r="T973" s="1"/>
      <c r="U973" s="1"/>
      <c r="V973" s="1"/>
    </row>
    <row r="974" spans="7:22">
      <c r="G974" s="1"/>
      <c r="H974" s="1"/>
      <c r="K974" s="1"/>
      <c r="L974" s="1"/>
      <c r="O974" s="1"/>
      <c r="P974" s="1"/>
      <c r="Q974" s="1"/>
      <c r="R974" s="1"/>
      <c r="S974" s="1"/>
      <c r="T974" s="1"/>
      <c r="U974" s="1"/>
      <c r="V974" s="1"/>
    </row>
    <row r="975" spans="7:22">
      <c r="G975" s="1"/>
      <c r="H975" s="1"/>
      <c r="K975" s="1"/>
      <c r="L975" s="1"/>
      <c r="O975" s="1"/>
      <c r="P975" s="1"/>
      <c r="Q975" s="1"/>
      <c r="R975" s="1"/>
      <c r="S975" s="1"/>
      <c r="T975" s="1"/>
      <c r="U975" s="1"/>
      <c r="V975" s="1"/>
    </row>
    <row r="976" spans="7:22">
      <c r="G976" s="1"/>
      <c r="H976" s="1"/>
      <c r="K976" s="1"/>
      <c r="L976" s="1"/>
      <c r="O976" s="1"/>
      <c r="P976" s="1"/>
      <c r="Q976" s="1"/>
      <c r="R976" s="1"/>
      <c r="S976" s="1"/>
      <c r="T976" s="1"/>
      <c r="U976" s="1"/>
      <c r="V976" s="1"/>
    </row>
    <row r="977" spans="7:22">
      <c r="G977" s="1"/>
      <c r="H977" s="1"/>
      <c r="K977" s="1"/>
      <c r="L977" s="1"/>
      <c r="O977" s="1"/>
      <c r="P977" s="1"/>
      <c r="Q977" s="1"/>
      <c r="R977" s="1"/>
      <c r="S977" s="1"/>
      <c r="T977" s="1"/>
      <c r="U977" s="1"/>
      <c r="V977" s="1"/>
    </row>
    <row r="978" spans="7:22">
      <c r="G978" s="1"/>
      <c r="H978" s="1"/>
      <c r="K978" s="1"/>
      <c r="L978" s="1"/>
      <c r="O978" s="1"/>
      <c r="P978" s="1"/>
      <c r="Q978" s="1"/>
      <c r="R978" s="1"/>
      <c r="S978" s="1"/>
      <c r="T978" s="1"/>
      <c r="U978" s="1"/>
      <c r="V978" s="1"/>
    </row>
    <row r="979" spans="7:22">
      <c r="G979" s="1"/>
      <c r="H979" s="1"/>
      <c r="K979" s="1"/>
      <c r="L979" s="1"/>
      <c r="O979" s="1"/>
      <c r="P979" s="1"/>
      <c r="Q979" s="1"/>
      <c r="R979" s="1"/>
      <c r="S979" s="1"/>
      <c r="T979" s="1"/>
      <c r="U979" s="1"/>
      <c r="V979" s="1"/>
    </row>
    <row r="980" spans="7:22">
      <c r="G980" s="1"/>
      <c r="H980" s="1"/>
      <c r="K980" s="1"/>
      <c r="L980" s="1"/>
      <c r="O980" s="1"/>
      <c r="P980" s="1"/>
      <c r="Q980" s="1"/>
      <c r="R980" s="1"/>
      <c r="S980" s="1"/>
      <c r="T980" s="1"/>
      <c r="U980" s="1"/>
      <c r="V980" s="1"/>
    </row>
    <row r="981" spans="7:22">
      <c r="G981" s="1"/>
      <c r="H981" s="1"/>
      <c r="K981" s="1"/>
      <c r="L981" s="1"/>
      <c r="O981" s="1"/>
      <c r="P981" s="1"/>
      <c r="Q981" s="1"/>
      <c r="R981" s="1"/>
      <c r="S981" s="1"/>
      <c r="T981" s="1"/>
      <c r="U981" s="1"/>
      <c r="V981" s="1"/>
    </row>
    <row r="982" spans="7:22">
      <c r="G982" s="1"/>
      <c r="H982" s="1"/>
      <c r="K982" s="1"/>
      <c r="L982" s="1"/>
      <c r="O982" s="1"/>
      <c r="P982" s="1"/>
      <c r="Q982" s="1"/>
      <c r="R982" s="1"/>
      <c r="S982" s="1"/>
      <c r="T982" s="1"/>
      <c r="U982" s="1"/>
      <c r="V982" s="1"/>
    </row>
    <row r="983" spans="7:22">
      <c r="G983" s="1"/>
      <c r="H983" s="1"/>
      <c r="K983" s="1"/>
      <c r="L983" s="1"/>
      <c r="O983" s="1"/>
      <c r="P983" s="1"/>
      <c r="Q983" s="1"/>
      <c r="R983" s="1"/>
      <c r="S983" s="1"/>
      <c r="T983" s="1"/>
      <c r="U983" s="1"/>
      <c r="V983" s="1"/>
    </row>
    <row r="984" spans="7:22">
      <c r="G984" s="1"/>
      <c r="H984" s="1"/>
      <c r="K984" s="1"/>
      <c r="L984" s="1"/>
      <c r="O984" s="1"/>
      <c r="P984" s="1"/>
      <c r="Q984" s="1"/>
      <c r="R984" s="1"/>
      <c r="S984" s="1"/>
      <c r="T984" s="1"/>
      <c r="U984" s="1"/>
      <c r="V984" s="1"/>
    </row>
    <row r="985" spans="7:22">
      <c r="G985" s="1"/>
      <c r="H985" s="1"/>
      <c r="K985" s="1"/>
      <c r="L985" s="1"/>
      <c r="O985" s="1"/>
      <c r="P985" s="1"/>
      <c r="Q985" s="1"/>
      <c r="R985" s="1"/>
      <c r="S985" s="1"/>
      <c r="T985" s="1"/>
      <c r="U985" s="1"/>
      <c r="V985" s="1"/>
    </row>
    <row r="986" spans="7:22">
      <c r="G986" s="1"/>
      <c r="H986" s="1"/>
      <c r="K986" s="1"/>
      <c r="L986" s="1"/>
      <c r="O986" s="1"/>
      <c r="P986" s="1"/>
      <c r="Q986" s="1"/>
      <c r="R986" s="1"/>
      <c r="S986" s="1"/>
      <c r="T986" s="1"/>
      <c r="U986" s="1"/>
      <c r="V986" s="1"/>
    </row>
    <row r="987" spans="7:22">
      <c r="G987" s="1"/>
      <c r="H987" s="1"/>
      <c r="K987" s="1"/>
      <c r="L987" s="1"/>
      <c r="O987" s="1"/>
      <c r="P987" s="1"/>
      <c r="Q987" s="1"/>
      <c r="R987" s="1"/>
      <c r="S987" s="1"/>
      <c r="T987" s="1"/>
      <c r="U987" s="1"/>
      <c r="V987" s="1"/>
    </row>
    <row r="988" spans="7:22">
      <c r="G988" s="1"/>
      <c r="H988" s="1"/>
      <c r="K988" s="1"/>
      <c r="L988" s="1"/>
      <c r="O988" s="1"/>
      <c r="P988" s="1"/>
      <c r="Q988" s="1"/>
      <c r="R988" s="1"/>
      <c r="S988" s="1"/>
      <c r="T988" s="1"/>
      <c r="U988" s="1"/>
      <c r="V988" s="1"/>
    </row>
    <row r="989" spans="7:22">
      <c r="G989" s="1"/>
      <c r="H989" s="1"/>
      <c r="K989" s="1"/>
      <c r="L989" s="1"/>
      <c r="O989" s="1"/>
      <c r="P989" s="1"/>
      <c r="Q989" s="1"/>
      <c r="R989" s="1"/>
      <c r="S989" s="1"/>
      <c r="T989" s="1"/>
      <c r="U989" s="1"/>
      <c r="V989" s="1"/>
    </row>
    <row r="990" spans="7:22">
      <c r="G990" s="1"/>
      <c r="H990" s="1"/>
      <c r="K990" s="1"/>
      <c r="L990" s="1"/>
      <c r="O990" s="1"/>
      <c r="P990" s="1"/>
      <c r="Q990" s="1"/>
      <c r="R990" s="1"/>
      <c r="S990" s="1"/>
      <c r="T990" s="1"/>
      <c r="U990" s="1"/>
      <c r="V990" s="1"/>
    </row>
    <row r="991" spans="7:22">
      <c r="G991" s="1"/>
      <c r="H991" s="1"/>
      <c r="K991" s="1"/>
      <c r="L991" s="1"/>
      <c r="O991" s="1"/>
      <c r="P991" s="1"/>
      <c r="Q991" s="1"/>
      <c r="R991" s="1"/>
      <c r="S991" s="1"/>
      <c r="T991" s="1"/>
      <c r="U991" s="1"/>
      <c r="V991" s="1"/>
    </row>
    <row r="992" spans="7:22">
      <c r="G992" s="1"/>
      <c r="H992" s="1"/>
      <c r="K992" s="1"/>
      <c r="L992" s="1"/>
      <c r="O992" s="1"/>
      <c r="P992" s="1"/>
      <c r="Q992" s="1"/>
      <c r="R992" s="1"/>
      <c r="S992" s="1"/>
      <c r="T992" s="1"/>
      <c r="U992" s="1"/>
      <c r="V992" s="1"/>
    </row>
    <row r="993" spans="7:22">
      <c r="G993" s="1"/>
      <c r="H993" s="1"/>
      <c r="K993" s="1"/>
      <c r="L993" s="1"/>
      <c r="O993" s="1"/>
      <c r="P993" s="1"/>
      <c r="Q993" s="1"/>
      <c r="R993" s="1"/>
      <c r="S993" s="1"/>
      <c r="T993" s="1"/>
      <c r="U993" s="1"/>
      <c r="V993" s="1"/>
    </row>
    <row r="994" spans="7:22">
      <c r="G994" s="1"/>
      <c r="H994" s="1"/>
      <c r="K994" s="1"/>
      <c r="L994" s="1"/>
      <c r="O994" s="1"/>
      <c r="P994" s="1"/>
      <c r="Q994" s="1"/>
      <c r="R994" s="1"/>
      <c r="S994" s="1"/>
      <c r="T994" s="1"/>
      <c r="U994" s="1"/>
      <c r="V994" s="1"/>
    </row>
    <row r="995" spans="7:22">
      <c r="G995" s="1"/>
      <c r="H995" s="1"/>
      <c r="K995" s="1"/>
      <c r="L995" s="1"/>
      <c r="O995" s="1"/>
      <c r="P995" s="1"/>
      <c r="Q995" s="1"/>
      <c r="R995" s="1"/>
      <c r="S995" s="1"/>
      <c r="T995" s="1"/>
      <c r="U995" s="1"/>
      <c r="V995" s="1"/>
    </row>
    <row r="996" spans="7:22">
      <c r="G996" s="1"/>
      <c r="H996" s="1"/>
      <c r="K996" s="1"/>
      <c r="L996" s="1"/>
      <c r="O996" s="1"/>
      <c r="P996" s="1"/>
      <c r="Q996" s="1"/>
      <c r="R996" s="1"/>
      <c r="S996" s="1"/>
      <c r="T996" s="1"/>
      <c r="U996" s="1"/>
      <c r="V996" s="1"/>
    </row>
    <row r="997" spans="7:22">
      <c r="G997" s="1"/>
      <c r="H997" s="1"/>
      <c r="K997" s="1"/>
      <c r="L997" s="1"/>
      <c r="O997" s="1"/>
      <c r="P997" s="1"/>
      <c r="Q997" s="1"/>
      <c r="R997" s="1"/>
      <c r="S997" s="1"/>
      <c r="T997" s="1"/>
      <c r="U997" s="1"/>
      <c r="V997" s="1"/>
    </row>
    <row r="998" spans="7:22">
      <c r="G998" s="1"/>
      <c r="H998" s="1"/>
      <c r="K998" s="1"/>
      <c r="L998" s="1"/>
      <c r="O998" s="1"/>
      <c r="P998" s="1"/>
      <c r="Q998" s="1"/>
      <c r="R998" s="1"/>
      <c r="S998" s="1"/>
      <c r="T998" s="1"/>
      <c r="U998" s="1"/>
      <c r="V998" s="1"/>
    </row>
    <row r="999" spans="7:22">
      <c r="G999" s="1"/>
      <c r="H999" s="1"/>
      <c r="K999" s="1"/>
      <c r="L999" s="1"/>
      <c r="O999" s="1"/>
      <c r="P999" s="1"/>
      <c r="Q999" s="1"/>
      <c r="R999" s="1"/>
      <c r="S999" s="1"/>
      <c r="T999" s="1"/>
      <c r="U999" s="1"/>
      <c r="V999" s="1"/>
    </row>
    <row r="1000" spans="7:22">
      <c r="G1000" s="1"/>
      <c r="H1000" s="1"/>
      <c r="K1000" s="1"/>
      <c r="L1000" s="1"/>
      <c r="O1000" s="1"/>
      <c r="P1000" s="1"/>
      <c r="Q1000" s="1"/>
      <c r="R1000" s="1"/>
      <c r="S1000" s="1"/>
      <c r="T1000" s="1"/>
      <c r="U1000" s="1"/>
      <c r="V1000" s="1"/>
    </row>
    <row r="1001" spans="7:22">
      <c r="G1001" s="1"/>
      <c r="H1001" s="1"/>
      <c r="K1001" s="1"/>
      <c r="L1001" s="1"/>
      <c r="O1001" s="1"/>
      <c r="P1001" s="1"/>
      <c r="Q1001" s="1"/>
      <c r="R1001" s="1"/>
      <c r="S1001" s="1"/>
      <c r="T1001" s="1"/>
      <c r="U1001" s="1"/>
      <c r="V1001" s="1"/>
    </row>
    <row r="1002" spans="7:22">
      <c r="G1002" s="1"/>
      <c r="H1002" s="1"/>
      <c r="K1002" s="1"/>
      <c r="L1002" s="1"/>
      <c r="O1002" s="1"/>
      <c r="P1002" s="1"/>
      <c r="Q1002" s="1"/>
      <c r="R1002" s="1"/>
      <c r="S1002" s="1"/>
      <c r="T1002" s="1"/>
      <c r="U1002" s="1"/>
      <c r="V1002" s="1"/>
    </row>
    <row r="1003" spans="7:22">
      <c r="G1003" s="1"/>
      <c r="H1003" s="1"/>
      <c r="K1003" s="1"/>
      <c r="L1003" s="1"/>
      <c r="O1003" s="1"/>
      <c r="P1003" s="1"/>
      <c r="Q1003" s="1"/>
      <c r="R1003" s="1"/>
      <c r="S1003" s="1"/>
      <c r="T1003" s="1"/>
      <c r="U1003" s="1"/>
      <c r="V1003" s="1"/>
    </row>
    <row r="1004" spans="7:22">
      <c r="G1004" s="1"/>
      <c r="H1004" s="1"/>
      <c r="K1004" s="1"/>
      <c r="L1004" s="1"/>
      <c r="O1004" s="1"/>
      <c r="P1004" s="1"/>
      <c r="Q1004" s="1"/>
      <c r="R1004" s="1"/>
      <c r="S1004" s="1"/>
      <c r="T1004" s="1"/>
      <c r="U1004" s="1"/>
      <c r="V1004" s="1"/>
    </row>
    <row r="1005" spans="7:22">
      <c r="G1005" s="1"/>
      <c r="H1005" s="1"/>
      <c r="K1005" s="1"/>
      <c r="L1005" s="1"/>
      <c r="O1005" s="1"/>
      <c r="P1005" s="1"/>
      <c r="Q1005" s="1"/>
      <c r="R1005" s="1"/>
      <c r="S1005" s="1"/>
      <c r="T1005" s="1"/>
      <c r="U1005" s="1"/>
      <c r="V1005" s="1"/>
    </row>
    <row r="1006" spans="7:22">
      <c r="G1006" s="1"/>
      <c r="H1006" s="1"/>
      <c r="K1006" s="1"/>
      <c r="L1006" s="1"/>
      <c r="O1006" s="1"/>
      <c r="P1006" s="1"/>
      <c r="Q1006" s="1"/>
      <c r="R1006" s="1"/>
      <c r="S1006" s="1"/>
      <c r="T1006" s="1"/>
      <c r="U1006" s="1"/>
      <c r="V1006" s="1"/>
    </row>
    <row r="1007" spans="7:22">
      <c r="G1007" s="1"/>
      <c r="H1007" s="1"/>
      <c r="K1007" s="1"/>
      <c r="L1007" s="1"/>
      <c r="O1007" s="1"/>
      <c r="P1007" s="1"/>
      <c r="Q1007" s="1"/>
      <c r="R1007" s="1"/>
      <c r="S1007" s="1"/>
      <c r="T1007" s="1"/>
      <c r="U1007" s="1"/>
      <c r="V1007" s="1"/>
    </row>
    <row r="1008" spans="7:22">
      <c r="G1008" s="1"/>
      <c r="H1008" s="1"/>
      <c r="K1008" s="1"/>
      <c r="L1008" s="1"/>
      <c r="O1008" s="1"/>
      <c r="P1008" s="1"/>
      <c r="Q1008" s="1"/>
      <c r="R1008" s="1"/>
      <c r="S1008" s="1"/>
      <c r="T1008" s="1"/>
      <c r="U1008" s="1"/>
      <c r="V1008" s="1"/>
    </row>
    <row r="1009" spans="7:22">
      <c r="G1009" s="1"/>
      <c r="H1009" s="1"/>
      <c r="K1009" s="1"/>
      <c r="L1009" s="1"/>
      <c r="O1009" s="1"/>
      <c r="P1009" s="1"/>
      <c r="Q1009" s="1"/>
      <c r="R1009" s="1"/>
      <c r="S1009" s="1"/>
      <c r="T1009" s="1"/>
      <c r="U1009" s="1"/>
      <c r="V1009" s="1"/>
    </row>
    <row r="1010" spans="7:22">
      <c r="G1010" s="1"/>
      <c r="H1010" s="1"/>
      <c r="K1010" s="1"/>
      <c r="L1010" s="1"/>
      <c r="O1010" s="1"/>
      <c r="P1010" s="1"/>
      <c r="Q1010" s="1"/>
      <c r="R1010" s="1"/>
      <c r="S1010" s="1"/>
      <c r="T1010" s="1"/>
      <c r="U1010" s="1"/>
      <c r="V1010" s="1"/>
    </row>
    <row r="1011" spans="7:22">
      <c r="G1011" s="1"/>
      <c r="H1011" s="1"/>
      <c r="K1011" s="1"/>
      <c r="L1011" s="1"/>
      <c r="O1011" s="1"/>
      <c r="P1011" s="1"/>
      <c r="Q1011" s="1"/>
      <c r="R1011" s="1"/>
      <c r="S1011" s="1"/>
      <c r="T1011" s="1"/>
      <c r="U1011" s="1"/>
      <c r="V1011" s="1"/>
    </row>
    <row r="1012" spans="7:22">
      <c r="G1012" s="1"/>
      <c r="H1012" s="1"/>
      <c r="K1012" s="1"/>
      <c r="L1012" s="1"/>
      <c r="O1012" s="1"/>
      <c r="P1012" s="1"/>
      <c r="Q1012" s="1"/>
      <c r="R1012" s="1"/>
      <c r="S1012" s="1"/>
      <c r="T1012" s="1"/>
      <c r="U1012" s="1"/>
      <c r="V1012" s="1"/>
    </row>
    <row r="1013" spans="7:22">
      <c r="G1013" s="1"/>
      <c r="H1013" s="1"/>
      <c r="K1013" s="1"/>
      <c r="L1013" s="1"/>
      <c r="O1013" s="1"/>
      <c r="P1013" s="1"/>
      <c r="Q1013" s="1"/>
      <c r="R1013" s="1"/>
      <c r="S1013" s="1"/>
      <c r="T1013" s="1"/>
      <c r="U1013" s="1"/>
      <c r="V1013" s="1"/>
    </row>
    <row r="1014" spans="7:22">
      <c r="G1014" s="1"/>
      <c r="H1014" s="1"/>
      <c r="K1014" s="1"/>
      <c r="L1014" s="1"/>
      <c r="O1014" s="1"/>
      <c r="P1014" s="1"/>
      <c r="Q1014" s="1"/>
      <c r="R1014" s="1"/>
      <c r="S1014" s="1"/>
      <c r="T1014" s="1"/>
      <c r="U1014" s="1"/>
      <c r="V1014" s="1"/>
    </row>
    <row r="1015" spans="7:22">
      <c r="G1015" s="1"/>
      <c r="H1015" s="1"/>
      <c r="K1015" s="1"/>
      <c r="L1015" s="1"/>
      <c r="O1015" s="1"/>
      <c r="P1015" s="1"/>
      <c r="Q1015" s="1"/>
      <c r="R1015" s="1"/>
      <c r="S1015" s="1"/>
      <c r="T1015" s="1"/>
      <c r="U1015" s="1"/>
      <c r="V1015" s="1"/>
    </row>
    <row r="1016" spans="7:22">
      <c r="G1016" s="1"/>
      <c r="H1016" s="1"/>
      <c r="K1016" s="1"/>
      <c r="L1016" s="1"/>
      <c r="O1016" s="1"/>
      <c r="P1016" s="1"/>
      <c r="Q1016" s="1"/>
      <c r="R1016" s="1"/>
      <c r="S1016" s="1"/>
      <c r="T1016" s="1"/>
      <c r="U1016" s="1"/>
      <c r="V1016" s="1"/>
    </row>
    <row r="1017" spans="7:22">
      <c r="G1017" s="1"/>
      <c r="H1017" s="1"/>
      <c r="K1017" s="1"/>
      <c r="L1017" s="1"/>
      <c r="O1017" s="1"/>
      <c r="P1017" s="1"/>
      <c r="Q1017" s="1"/>
      <c r="R1017" s="1"/>
      <c r="S1017" s="1"/>
      <c r="T1017" s="1"/>
      <c r="U1017" s="1"/>
      <c r="V1017" s="1"/>
    </row>
    <row r="1018" spans="7:22">
      <c r="G1018" s="1"/>
      <c r="H1018" s="1"/>
      <c r="K1018" s="1"/>
      <c r="L1018" s="1"/>
      <c r="O1018" s="1"/>
      <c r="P1018" s="1"/>
      <c r="Q1018" s="1"/>
      <c r="R1018" s="1"/>
      <c r="S1018" s="1"/>
      <c r="T1018" s="1"/>
      <c r="U1018" s="1"/>
      <c r="V1018" s="1"/>
    </row>
    <row r="1019" spans="7:22">
      <c r="G1019" s="1"/>
      <c r="H1019" s="1"/>
      <c r="K1019" s="1"/>
      <c r="L1019" s="1"/>
      <c r="O1019" s="1"/>
      <c r="P1019" s="1"/>
      <c r="Q1019" s="1"/>
      <c r="R1019" s="1"/>
      <c r="S1019" s="1"/>
      <c r="T1019" s="1"/>
      <c r="U1019" s="1"/>
      <c r="V1019" s="1"/>
    </row>
    <row r="1020" spans="7:22">
      <c r="G1020" s="1"/>
      <c r="H1020" s="1"/>
      <c r="K1020" s="1"/>
      <c r="L1020" s="1"/>
      <c r="O1020" s="1"/>
      <c r="P1020" s="1"/>
      <c r="Q1020" s="1"/>
      <c r="R1020" s="1"/>
      <c r="S1020" s="1"/>
      <c r="T1020" s="1"/>
      <c r="U1020" s="1"/>
      <c r="V1020" s="1"/>
    </row>
    <row r="1021" spans="7:22">
      <c r="G1021" s="1"/>
      <c r="H1021" s="1"/>
      <c r="K1021" s="1"/>
      <c r="L1021" s="1"/>
      <c r="O1021" s="1"/>
      <c r="P1021" s="1"/>
      <c r="Q1021" s="1"/>
      <c r="R1021" s="1"/>
      <c r="S1021" s="1"/>
      <c r="T1021" s="1"/>
      <c r="U1021" s="1"/>
      <c r="V1021" s="1"/>
    </row>
    <row r="1022" spans="7:22">
      <c r="G1022" s="1"/>
      <c r="H1022" s="1"/>
      <c r="K1022" s="1"/>
      <c r="L1022" s="1"/>
      <c r="O1022" s="1"/>
      <c r="P1022" s="1"/>
      <c r="Q1022" s="1"/>
      <c r="R1022" s="1"/>
      <c r="S1022" s="1"/>
      <c r="T1022" s="1"/>
      <c r="U1022" s="1"/>
      <c r="V1022" s="1"/>
    </row>
    <row r="1023" spans="7:22">
      <c r="G1023" s="1"/>
      <c r="H1023" s="1"/>
      <c r="K1023" s="1"/>
      <c r="L1023" s="1"/>
      <c r="O1023" s="1"/>
      <c r="P1023" s="1"/>
      <c r="Q1023" s="1"/>
      <c r="R1023" s="1"/>
      <c r="S1023" s="1"/>
      <c r="T1023" s="1"/>
      <c r="U1023" s="1"/>
      <c r="V1023" s="1"/>
    </row>
    <row r="1024" spans="7:22">
      <c r="G1024" s="1"/>
      <c r="H1024" s="1"/>
      <c r="K1024" s="1"/>
      <c r="L1024" s="1"/>
      <c r="O1024" s="1"/>
      <c r="P1024" s="1"/>
      <c r="Q1024" s="1"/>
      <c r="R1024" s="1"/>
      <c r="S1024" s="1"/>
      <c r="T1024" s="1"/>
      <c r="U1024" s="1"/>
      <c r="V1024" s="1"/>
    </row>
    <row r="1025" spans="7:22">
      <c r="G1025" s="1"/>
      <c r="H1025" s="1"/>
      <c r="K1025" s="1"/>
      <c r="L1025" s="1"/>
      <c r="O1025" s="1"/>
      <c r="P1025" s="1"/>
      <c r="Q1025" s="1"/>
      <c r="R1025" s="1"/>
      <c r="S1025" s="1"/>
      <c r="T1025" s="1"/>
      <c r="U1025" s="1"/>
      <c r="V1025" s="1"/>
    </row>
    <row r="1026" spans="7:22">
      <c r="G1026" s="1"/>
      <c r="H1026" s="1"/>
      <c r="K1026" s="1"/>
      <c r="L1026" s="1"/>
      <c r="O1026" s="1"/>
      <c r="P1026" s="1"/>
      <c r="Q1026" s="1"/>
      <c r="R1026" s="1"/>
      <c r="S1026" s="1"/>
      <c r="T1026" s="1"/>
      <c r="U1026" s="1"/>
      <c r="V1026" s="1"/>
    </row>
    <row r="1027" spans="7:22">
      <c r="G1027" s="1"/>
      <c r="H1027" s="1"/>
      <c r="K1027" s="1"/>
      <c r="L1027" s="1"/>
      <c r="O1027" s="1"/>
      <c r="P1027" s="1"/>
      <c r="Q1027" s="1"/>
      <c r="R1027" s="1"/>
      <c r="S1027" s="1"/>
      <c r="T1027" s="1"/>
      <c r="U1027" s="1"/>
      <c r="V1027" s="1"/>
    </row>
    <row r="1028" spans="7:22">
      <c r="G1028" s="1"/>
      <c r="H1028" s="1"/>
      <c r="K1028" s="1"/>
      <c r="L1028" s="1"/>
      <c r="O1028" s="1"/>
      <c r="P1028" s="1"/>
      <c r="Q1028" s="1"/>
      <c r="R1028" s="1"/>
      <c r="S1028" s="1"/>
      <c r="T1028" s="1"/>
      <c r="U1028" s="1"/>
      <c r="V1028" s="1"/>
    </row>
    <row r="1029" spans="7:22">
      <c r="G1029" s="1"/>
      <c r="H1029" s="1"/>
      <c r="K1029" s="1"/>
      <c r="L1029" s="1"/>
      <c r="O1029" s="1"/>
      <c r="P1029" s="1"/>
      <c r="Q1029" s="1"/>
      <c r="R1029" s="1"/>
      <c r="S1029" s="1"/>
      <c r="T1029" s="1"/>
      <c r="U1029" s="1"/>
      <c r="V1029" s="1"/>
    </row>
    <row r="1030" spans="7:22">
      <c r="G1030" s="1"/>
      <c r="H1030" s="1"/>
      <c r="K1030" s="1"/>
      <c r="L1030" s="1"/>
      <c r="O1030" s="1"/>
      <c r="P1030" s="1"/>
      <c r="Q1030" s="1"/>
      <c r="R1030" s="1"/>
      <c r="S1030" s="1"/>
      <c r="T1030" s="1"/>
      <c r="U1030" s="1"/>
      <c r="V1030" s="1"/>
    </row>
    <row r="1031" spans="7:22">
      <c r="G1031" s="1"/>
      <c r="H1031" s="1"/>
      <c r="K1031" s="1"/>
      <c r="L1031" s="1"/>
      <c r="O1031" s="1"/>
      <c r="P1031" s="1"/>
      <c r="Q1031" s="1"/>
      <c r="R1031" s="1"/>
      <c r="S1031" s="1"/>
      <c r="T1031" s="1"/>
      <c r="U1031" s="1"/>
      <c r="V1031" s="1"/>
    </row>
    <row r="1032" spans="7:22">
      <c r="G1032" s="1"/>
      <c r="H1032" s="1"/>
      <c r="K1032" s="1"/>
      <c r="L1032" s="1"/>
      <c r="O1032" s="1"/>
      <c r="P1032" s="1"/>
      <c r="Q1032" s="1"/>
      <c r="R1032" s="1"/>
      <c r="S1032" s="1"/>
      <c r="T1032" s="1"/>
      <c r="U1032" s="1"/>
      <c r="V1032" s="1"/>
    </row>
    <row r="1033" spans="7:22">
      <c r="G1033" s="1"/>
      <c r="H1033" s="1"/>
      <c r="K1033" s="1"/>
      <c r="L1033" s="1"/>
      <c r="O1033" s="1"/>
      <c r="P1033" s="1"/>
      <c r="Q1033" s="1"/>
      <c r="R1033" s="1"/>
      <c r="S1033" s="1"/>
      <c r="T1033" s="1"/>
      <c r="U1033" s="1"/>
      <c r="V1033" s="1"/>
    </row>
    <row r="1034" spans="7:22">
      <c r="G1034" s="1"/>
      <c r="H1034" s="1"/>
      <c r="K1034" s="1"/>
      <c r="L1034" s="1"/>
      <c r="O1034" s="1"/>
      <c r="P1034" s="1"/>
      <c r="Q1034" s="1"/>
      <c r="R1034" s="1"/>
      <c r="S1034" s="1"/>
      <c r="T1034" s="1"/>
      <c r="U1034" s="1"/>
      <c r="V1034" s="1"/>
    </row>
    <row r="1035" spans="7:22">
      <c r="G1035" s="1"/>
      <c r="H1035" s="1"/>
      <c r="K1035" s="1"/>
      <c r="L1035" s="1"/>
      <c r="O1035" s="1"/>
      <c r="P1035" s="1"/>
      <c r="Q1035" s="1"/>
      <c r="R1035" s="1"/>
      <c r="S1035" s="1"/>
      <c r="T1035" s="1"/>
      <c r="U1035" s="1"/>
      <c r="V1035" s="1"/>
    </row>
    <row r="1036" spans="7:22">
      <c r="G1036" s="1"/>
      <c r="H1036" s="1"/>
      <c r="K1036" s="1"/>
      <c r="L1036" s="1"/>
      <c r="O1036" s="1"/>
      <c r="P1036" s="1"/>
      <c r="Q1036" s="1"/>
      <c r="R1036" s="1"/>
      <c r="S1036" s="1"/>
      <c r="T1036" s="1"/>
      <c r="U1036" s="1"/>
      <c r="V1036" s="1"/>
    </row>
    <row r="1037" spans="7:22">
      <c r="G1037" s="1"/>
      <c r="H1037" s="1"/>
      <c r="K1037" s="1"/>
      <c r="L1037" s="1"/>
      <c r="O1037" s="1"/>
      <c r="P1037" s="1"/>
      <c r="Q1037" s="1"/>
      <c r="R1037" s="1"/>
      <c r="S1037" s="1"/>
      <c r="T1037" s="1"/>
      <c r="U1037" s="1"/>
      <c r="V1037" s="1"/>
    </row>
    <row r="1038" spans="7:22">
      <c r="G1038" s="1"/>
      <c r="H1038" s="1"/>
      <c r="K1038" s="1"/>
      <c r="L1038" s="1"/>
      <c r="O1038" s="1"/>
      <c r="P1038" s="1"/>
      <c r="Q1038" s="1"/>
      <c r="R1038" s="1"/>
      <c r="S1038" s="1"/>
      <c r="T1038" s="1"/>
      <c r="U1038" s="1"/>
      <c r="V1038" s="1"/>
    </row>
    <row r="1039" spans="7:22">
      <c r="G1039" s="1"/>
      <c r="H1039" s="1"/>
      <c r="K1039" s="1"/>
      <c r="L1039" s="1"/>
      <c r="O1039" s="1"/>
      <c r="P1039" s="1"/>
      <c r="Q1039" s="1"/>
      <c r="R1039" s="1"/>
      <c r="S1039" s="1"/>
      <c r="T1039" s="1"/>
      <c r="U1039" s="1"/>
      <c r="V1039" s="1"/>
    </row>
    <row r="1040" spans="7:22">
      <c r="G1040" s="1"/>
      <c r="H1040" s="1"/>
      <c r="K1040" s="1"/>
      <c r="L1040" s="1"/>
      <c r="O1040" s="1"/>
      <c r="P1040" s="1"/>
      <c r="Q1040" s="1"/>
      <c r="R1040" s="1"/>
      <c r="S1040" s="1"/>
      <c r="T1040" s="1"/>
      <c r="U1040" s="1"/>
      <c r="V1040" s="1"/>
    </row>
    <row r="1041" spans="7:22">
      <c r="G1041" s="1"/>
      <c r="H1041" s="1"/>
      <c r="K1041" s="1"/>
      <c r="L1041" s="1"/>
      <c r="O1041" s="1"/>
      <c r="P1041" s="1"/>
      <c r="Q1041" s="1"/>
      <c r="R1041" s="1"/>
      <c r="S1041" s="1"/>
      <c r="T1041" s="1"/>
      <c r="U1041" s="1"/>
      <c r="V1041" s="1"/>
    </row>
    <row r="1042" spans="7:22">
      <c r="G1042" s="1"/>
      <c r="H1042" s="1"/>
      <c r="K1042" s="1"/>
      <c r="L1042" s="1"/>
      <c r="O1042" s="1"/>
      <c r="P1042" s="1"/>
      <c r="Q1042" s="1"/>
      <c r="R1042" s="1"/>
      <c r="S1042" s="1"/>
      <c r="T1042" s="1"/>
      <c r="U1042" s="1"/>
      <c r="V1042" s="1"/>
    </row>
    <row r="1043" spans="7:22">
      <c r="G1043" s="1"/>
      <c r="H1043" s="1"/>
      <c r="K1043" s="1"/>
      <c r="L1043" s="1"/>
      <c r="O1043" s="1"/>
      <c r="P1043" s="1"/>
      <c r="Q1043" s="1"/>
      <c r="R1043" s="1"/>
      <c r="S1043" s="1"/>
      <c r="T1043" s="1"/>
      <c r="U1043" s="1"/>
      <c r="V1043" s="1"/>
    </row>
    <row r="1044" spans="7:22">
      <c r="G1044" s="1"/>
      <c r="H1044" s="1"/>
      <c r="K1044" s="1"/>
      <c r="L1044" s="1"/>
      <c r="O1044" s="1"/>
      <c r="P1044" s="1"/>
      <c r="Q1044" s="1"/>
      <c r="R1044" s="1"/>
      <c r="S1044" s="1"/>
      <c r="T1044" s="1"/>
      <c r="U1044" s="1"/>
      <c r="V1044" s="1"/>
    </row>
    <row r="1045" spans="7:22">
      <c r="G1045" s="1"/>
      <c r="H1045" s="1"/>
      <c r="K1045" s="1"/>
      <c r="L1045" s="1"/>
      <c r="O1045" s="1"/>
      <c r="P1045" s="1"/>
      <c r="Q1045" s="1"/>
      <c r="R1045" s="1"/>
      <c r="S1045" s="1"/>
      <c r="T1045" s="1"/>
      <c r="U1045" s="1"/>
      <c r="V1045" s="1"/>
    </row>
    <row r="1046" spans="7:22">
      <c r="G1046" s="1"/>
      <c r="H1046" s="1"/>
      <c r="K1046" s="1"/>
      <c r="L1046" s="1"/>
      <c r="O1046" s="1"/>
      <c r="P1046" s="1"/>
      <c r="Q1046" s="1"/>
      <c r="R1046" s="1"/>
      <c r="S1046" s="1"/>
      <c r="T1046" s="1"/>
      <c r="U1046" s="1"/>
      <c r="V1046" s="1"/>
    </row>
    <row r="1047" spans="7:22">
      <c r="G1047" s="1"/>
      <c r="H1047" s="1"/>
      <c r="K1047" s="1"/>
      <c r="L1047" s="1"/>
      <c r="O1047" s="1"/>
      <c r="P1047" s="1"/>
      <c r="Q1047" s="1"/>
      <c r="R1047" s="1"/>
      <c r="S1047" s="1"/>
      <c r="T1047" s="1"/>
      <c r="U1047" s="1"/>
      <c r="V1047" s="1"/>
    </row>
    <row r="1048" spans="7:22">
      <c r="G1048" s="1"/>
      <c r="H1048" s="1"/>
      <c r="K1048" s="1"/>
      <c r="L1048" s="1"/>
      <c r="O1048" s="1"/>
      <c r="P1048" s="1"/>
      <c r="Q1048" s="1"/>
      <c r="R1048" s="1"/>
      <c r="S1048" s="1"/>
      <c r="T1048" s="1"/>
      <c r="U1048" s="1"/>
      <c r="V1048" s="1"/>
    </row>
    <row r="1049" spans="7:22">
      <c r="G1049" s="1"/>
      <c r="H1049" s="1"/>
      <c r="K1049" s="1"/>
      <c r="L1049" s="1"/>
      <c r="O1049" s="1"/>
      <c r="P1049" s="1"/>
      <c r="Q1049" s="1"/>
      <c r="R1049" s="1"/>
      <c r="S1049" s="1"/>
      <c r="T1049" s="1"/>
      <c r="U1049" s="1"/>
      <c r="V1049" s="1"/>
    </row>
    <row r="1050" spans="7:22">
      <c r="G1050" s="1"/>
      <c r="H1050" s="1"/>
      <c r="K1050" s="1"/>
      <c r="L1050" s="1"/>
      <c r="O1050" s="1"/>
      <c r="P1050" s="1"/>
      <c r="Q1050" s="1"/>
      <c r="R1050" s="1"/>
      <c r="S1050" s="1"/>
      <c r="T1050" s="1"/>
      <c r="U1050" s="1"/>
      <c r="V1050" s="1"/>
    </row>
    <row r="1051" spans="7:22">
      <c r="G1051" s="1"/>
      <c r="H1051" s="1"/>
      <c r="K1051" s="1"/>
      <c r="L1051" s="1"/>
      <c r="O1051" s="1"/>
      <c r="P1051" s="1"/>
      <c r="Q1051" s="1"/>
      <c r="R1051" s="1"/>
      <c r="S1051" s="1"/>
      <c r="T1051" s="1"/>
      <c r="U1051" s="1"/>
      <c r="V1051" s="1"/>
    </row>
    <row r="1052" spans="7:22">
      <c r="G1052" s="1"/>
      <c r="H1052" s="1"/>
      <c r="K1052" s="1"/>
      <c r="L1052" s="1"/>
      <c r="O1052" s="1"/>
      <c r="P1052" s="1"/>
      <c r="Q1052" s="1"/>
      <c r="R1052" s="1"/>
      <c r="S1052" s="1"/>
      <c r="T1052" s="1"/>
      <c r="U1052" s="1"/>
      <c r="V1052" s="1"/>
    </row>
    <row r="1053" spans="7:22">
      <c r="G1053" s="1"/>
      <c r="H1053" s="1"/>
      <c r="K1053" s="1"/>
      <c r="L1053" s="1"/>
      <c r="O1053" s="1"/>
      <c r="P1053" s="1"/>
      <c r="Q1053" s="1"/>
      <c r="R1053" s="1"/>
      <c r="S1053" s="1"/>
      <c r="T1053" s="1"/>
      <c r="U1053" s="1"/>
      <c r="V1053" s="1"/>
    </row>
    <row r="1054" spans="7:22">
      <c r="G1054" s="1"/>
      <c r="H1054" s="1"/>
      <c r="K1054" s="1"/>
      <c r="L1054" s="1"/>
      <c r="O1054" s="1"/>
      <c r="P1054" s="1"/>
      <c r="Q1054" s="1"/>
      <c r="R1054" s="1"/>
      <c r="S1054" s="1"/>
      <c r="T1054" s="1"/>
      <c r="U1054" s="1"/>
      <c r="V1054" s="1"/>
    </row>
    <row r="1055" spans="7:22">
      <c r="G1055" s="1"/>
      <c r="H1055" s="1"/>
      <c r="K1055" s="1"/>
      <c r="L1055" s="1"/>
      <c r="O1055" s="1"/>
      <c r="P1055" s="1"/>
      <c r="Q1055" s="1"/>
      <c r="R1055" s="1"/>
      <c r="S1055" s="1"/>
      <c r="T1055" s="1"/>
      <c r="U1055" s="1"/>
      <c r="V1055" s="1"/>
    </row>
    <row r="1056" spans="7:22">
      <c r="G1056" s="1"/>
      <c r="H1056" s="1"/>
      <c r="K1056" s="1"/>
      <c r="L1056" s="1"/>
      <c r="O1056" s="1"/>
      <c r="P1056" s="1"/>
      <c r="Q1056" s="1"/>
      <c r="R1056" s="1"/>
      <c r="S1056" s="1"/>
      <c r="T1056" s="1"/>
      <c r="U1056" s="1"/>
      <c r="V1056" s="1"/>
    </row>
    <row r="1057" spans="7:22">
      <c r="G1057" s="1"/>
      <c r="H1057" s="1"/>
      <c r="K1057" s="1"/>
      <c r="L1057" s="1"/>
      <c r="O1057" s="1"/>
      <c r="P1057" s="1"/>
      <c r="Q1057" s="1"/>
      <c r="R1057" s="1"/>
      <c r="S1057" s="1"/>
      <c r="T1057" s="1"/>
      <c r="U1057" s="1"/>
      <c r="V1057" s="1"/>
    </row>
    <row r="1058" spans="7:22">
      <c r="G1058" s="1"/>
      <c r="H1058" s="1"/>
      <c r="K1058" s="1"/>
      <c r="L1058" s="1"/>
      <c r="O1058" s="1"/>
      <c r="P1058" s="1"/>
      <c r="Q1058" s="1"/>
      <c r="R1058" s="1"/>
      <c r="S1058" s="1"/>
      <c r="T1058" s="1"/>
      <c r="U1058" s="1"/>
      <c r="V1058" s="1"/>
    </row>
    <row r="1059" spans="7:22">
      <c r="G1059" s="1"/>
      <c r="H1059" s="1"/>
      <c r="K1059" s="1"/>
      <c r="L1059" s="1"/>
      <c r="O1059" s="1"/>
      <c r="P1059" s="1"/>
      <c r="Q1059" s="1"/>
      <c r="R1059" s="1"/>
      <c r="S1059" s="1"/>
      <c r="T1059" s="1"/>
      <c r="U1059" s="1"/>
      <c r="V1059" s="1"/>
    </row>
    <row r="1060" spans="7:22">
      <c r="G1060" s="1"/>
      <c r="H1060" s="1"/>
      <c r="K1060" s="1"/>
      <c r="L1060" s="1"/>
      <c r="O1060" s="1"/>
      <c r="P1060" s="1"/>
      <c r="Q1060" s="1"/>
      <c r="R1060" s="1"/>
      <c r="S1060" s="1"/>
      <c r="T1060" s="1"/>
      <c r="U1060" s="1"/>
      <c r="V1060" s="1"/>
    </row>
    <row r="1061" spans="7:22">
      <c r="G1061" s="1"/>
      <c r="H1061" s="1"/>
      <c r="K1061" s="1"/>
      <c r="L1061" s="1"/>
      <c r="O1061" s="1"/>
      <c r="P1061" s="1"/>
      <c r="Q1061" s="1"/>
      <c r="R1061" s="1"/>
      <c r="S1061" s="1"/>
      <c r="T1061" s="1"/>
      <c r="U1061" s="1"/>
      <c r="V1061" s="1"/>
    </row>
    <row r="1062" spans="7:22">
      <c r="G1062" s="1"/>
      <c r="H1062" s="1"/>
      <c r="K1062" s="1"/>
      <c r="L1062" s="1"/>
      <c r="O1062" s="1"/>
      <c r="P1062" s="1"/>
      <c r="Q1062" s="1"/>
      <c r="R1062" s="1"/>
      <c r="S1062" s="1"/>
      <c r="T1062" s="1"/>
      <c r="U1062" s="1"/>
      <c r="V1062" s="1"/>
    </row>
    <row r="1063" spans="7:22">
      <c r="G1063" s="1"/>
      <c r="H1063" s="1"/>
      <c r="K1063" s="1"/>
      <c r="L1063" s="1"/>
      <c r="O1063" s="1"/>
      <c r="P1063" s="1"/>
      <c r="Q1063" s="1"/>
      <c r="R1063" s="1"/>
      <c r="S1063" s="1"/>
      <c r="T1063" s="1"/>
      <c r="U1063" s="1"/>
      <c r="V1063" s="1"/>
    </row>
    <row r="1064" spans="7:22">
      <c r="G1064" s="1"/>
      <c r="H1064" s="1"/>
      <c r="K1064" s="1"/>
      <c r="L1064" s="1"/>
      <c r="O1064" s="1"/>
      <c r="P1064" s="1"/>
      <c r="Q1064" s="1"/>
      <c r="R1064" s="1"/>
      <c r="S1064" s="1"/>
      <c r="T1064" s="1"/>
      <c r="U1064" s="1"/>
      <c r="V1064" s="1"/>
    </row>
    <row r="1065" spans="7:22">
      <c r="G1065" s="1"/>
      <c r="H1065" s="1"/>
      <c r="K1065" s="1"/>
      <c r="L1065" s="1"/>
      <c r="O1065" s="1"/>
      <c r="P1065" s="1"/>
      <c r="Q1065" s="1"/>
      <c r="R1065" s="1"/>
      <c r="S1065" s="1"/>
      <c r="T1065" s="1"/>
      <c r="U1065" s="1"/>
      <c r="V1065" s="1"/>
    </row>
    <row r="1066" spans="7:22">
      <c r="G1066" s="1"/>
      <c r="H1066" s="1"/>
      <c r="K1066" s="1"/>
      <c r="L1066" s="1"/>
      <c r="O1066" s="1"/>
      <c r="P1066" s="1"/>
      <c r="Q1066" s="1"/>
      <c r="R1066" s="1"/>
      <c r="S1066" s="1"/>
      <c r="T1066" s="1"/>
      <c r="U1066" s="1"/>
      <c r="V1066" s="1"/>
    </row>
    <row r="1067" spans="7:22">
      <c r="G1067" s="1"/>
      <c r="H1067" s="1"/>
      <c r="K1067" s="1"/>
      <c r="L1067" s="1"/>
      <c r="O1067" s="1"/>
      <c r="P1067" s="1"/>
      <c r="Q1067" s="1"/>
      <c r="R1067" s="1"/>
      <c r="S1067" s="1"/>
      <c r="T1067" s="1"/>
      <c r="U1067" s="1"/>
      <c r="V1067" s="1"/>
    </row>
    <row r="1068" spans="7:22">
      <c r="G1068" s="1"/>
      <c r="H1068" s="1"/>
      <c r="K1068" s="1"/>
      <c r="L1068" s="1"/>
      <c r="O1068" s="1"/>
      <c r="P1068" s="1"/>
      <c r="Q1068" s="1"/>
      <c r="R1068" s="1"/>
      <c r="S1068" s="1"/>
      <c r="T1068" s="1"/>
      <c r="U1068" s="1"/>
      <c r="V1068" s="1"/>
    </row>
    <row r="1069" spans="7:22">
      <c r="G1069" s="1"/>
      <c r="H1069" s="1"/>
      <c r="K1069" s="1"/>
      <c r="L1069" s="1"/>
      <c r="O1069" s="1"/>
      <c r="P1069" s="1"/>
      <c r="Q1069" s="1"/>
      <c r="R1069" s="1"/>
      <c r="S1069" s="1"/>
      <c r="T1069" s="1"/>
      <c r="U1069" s="1"/>
      <c r="V1069" s="1"/>
    </row>
    <row r="1070" spans="7:22">
      <c r="G1070" s="1"/>
      <c r="H1070" s="1"/>
      <c r="K1070" s="1"/>
      <c r="L1070" s="1"/>
      <c r="O1070" s="1"/>
      <c r="P1070" s="1"/>
      <c r="Q1070" s="1"/>
      <c r="R1070" s="1"/>
      <c r="S1070" s="1"/>
      <c r="T1070" s="1"/>
      <c r="U1070" s="1"/>
      <c r="V1070" s="1"/>
    </row>
    <row r="1071" spans="7:22">
      <c r="G1071" s="1"/>
      <c r="H1071" s="1"/>
      <c r="K1071" s="1"/>
      <c r="L1071" s="1"/>
      <c r="O1071" s="1"/>
      <c r="P1071" s="1"/>
      <c r="Q1071" s="1"/>
      <c r="R1071" s="1"/>
      <c r="S1071" s="1"/>
      <c r="T1071" s="1"/>
      <c r="U1071" s="1"/>
      <c r="V1071" s="1"/>
    </row>
    <row r="1072" spans="7:22">
      <c r="G1072" s="1"/>
      <c r="H1072" s="1"/>
      <c r="K1072" s="1"/>
      <c r="L1072" s="1"/>
      <c r="O1072" s="1"/>
      <c r="P1072" s="1"/>
      <c r="Q1072" s="1"/>
      <c r="R1072" s="1"/>
      <c r="S1072" s="1"/>
      <c r="T1072" s="1"/>
      <c r="U1072" s="1"/>
      <c r="V1072" s="1"/>
    </row>
    <row r="1073" spans="7:22">
      <c r="G1073" s="1"/>
      <c r="H1073" s="1"/>
      <c r="K1073" s="1"/>
      <c r="L1073" s="1"/>
      <c r="O1073" s="1"/>
      <c r="P1073" s="1"/>
      <c r="Q1073" s="1"/>
      <c r="R1073" s="1"/>
      <c r="S1073" s="1"/>
      <c r="T1073" s="1"/>
      <c r="U1073" s="1"/>
      <c r="V1073" s="1"/>
    </row>
    <row r="1074" spans="7:22">
      <c r="G1074" s="1"/>
      <c r="H1074" s="1"/>
      <c r="K1074" s="1"/>
      <c r="L1074" s="1"/>
      <c r="O1074" s="1"/>
      <c r="P1074" s="1"/>
      <c r="Q1074" s="1"/>
      <c r="R1074" s="1"/>
      <c r="S1074" s="1"/>
      <c r="T1074" s="1"/>
      <c r="U1074" s="1"/>
      <c r="V1074" s="1"/>
    </row>
    <row r="1075" spans="7:22">
      <c r="G1075" s="1"/>
      <c r="H1075" s="1"/>
      <c r="K1075" s="1"/>
      <c r="L1075" s="1"/>
      <c r="O1075" s="1"/>
      <c r="P1075" s="1"/>
      <c r="Q1075" s="1"/>
      <c r="R1075" s="1"/>
      <c r="S1075" s="1"/>
      <c r="T1075" s="1"/>
      <c r="U1075" s="1"/>
      <c r="V1075" s="1"/>
    </row>
    <row r="1076" spans="7:22">
      <c r="G1076" s="1"/>
      <c r="H1076" s="1"/>
      <c r="K1076" s="1"/>
      <c r="L1076" s="1"/>
      <c r="O1076" s="1"/>
      <c r="P1076" s="1"/>
      <c r="Q1076" s="1"/>
      <c r="R1076" s="1"/>
      <c r="S1076" s="1"/>
      <c r="T1076" s="1"/>
      <c r="U1076" s="1"/>
      <c r="V1076" s="1"/>
    </row>
    <row r="1077" spans="7:22">
      <c r="G1077" s="1"/>
      <c r="H1077" s="1"/>
      <c r="K1077" s="1"/>
      <c r="L1077" s="1"/>
      <c r="O1077" s="1"/>
      <c r="P1077" s="1"/>
      <c r="Q1077" s="1"/>
      <c r="R1077" s="1"/>
      <c r="S1077" s="1"/>
      <c r="T1077" s="1"/>
      <c r="U1077" s="1"/>
      <c r="V1077" s="1"/>
    </row>
    <row r="1078" spans="7:22">
      <c r="G1078" s="1"/>
      <c r="H1078" s="1"/>
      <c r="K1078" s="1"/>
      <c r="L1078" s="1"/>
      <c r="O1078" s="1"/>
      <c r="P1078" s="1"/>
      <c r="Q1078" s="1"/>
      <c r="R1078" s="1"/>
      <c r="S1078" s="1"/>
      <c r="T1078" s="1"/>
      <c r="U1078" s="1"/>
      <c r="V1078" s="1"/>
    </row>
    <row r="1079" spans="7:22">
      <c r="G1079" s="1"/>
      <c r="H1079" s="1"/>
      <c r="K1079" s="1"/>
      <c r="L1079" s="1"/>
      <c r="O1079" s="1"/>
      <c r="P1079" s="1"/>
      <c r="Q1079" s="1"/>
      <c r="R1079" s="1"/>
      <c r="S1079" s="1"/>
      <c r="T1079" s="1"/>
      <c r="U1079" s="1"/>
      <c r="V1079" s="1"/>
    </row>
    <row r="1080" spans="7:22">
      <c r="G1080" s="1"/>
      <c r="H1080" s="1"/>
      <c r="K1080" s="1"/>
      <c r="L1080" s="1"/>
      <c r="O1080" s="1"/>
      <c r="P1080" s="1"/>
      <c r="Q1080" s="1"/>
      <c r="R1080" s="1"/>
      <c r="S1080" s="1"/>
      <c r="T1080" s="1"/>
      <c r="U1080" s="1"/>
      <c r="V1080" s="1"/>
    </row>
    <row r="1081" spans="7:22">
      <c r="G1081" s="1"/>
      <c r="H1081" s="1"/>
      <c r="K1081" s="1"/>
      <c r="L1081" s="1"/>
      <c r="O1081" s="1"/>
      <c r="P1081" s="1"/>
      <c r="Q1081" s="1"/>
      <c r="R1081" s="1"/>
      <c r="S1081" s="1"/>
      <c r="T1081" s="1"/>
      <c r="U1081" s="1"/>
      <c r="V1081" s="1"/>
    </row>
    <row r="1082" spans="7:22">
      <c r="G1082" s="1"/>
      <c r="H1082" s="1"/>
      <c r="K1082" s="1"/>
      <c r="L1082" s="1"/>
      <c r="O1082" s="1"/>
      <c r="P1082" s="1"/>
      <c r="Q1082" s="1"/>
      <c r="R1082" s="1"/>
      <c r="S1082" s="1"/>
      <c r="T1082" s="1"/>
      <c r="U1082" s="1"/>
      <c r="V1082" s="1"/>
    </row>
    <row r="1083" spans="7:22">
      <c r="G1083" s="1"/>
      <c r="H1083" s="1"/>
      <c r="K1083" s="1"/>
      <c r="L1083" s="1"/>
      <c r="O1083" s="1"/>
      <c r="P1083" s="1"/>
      <c r="Q1083" s="1"/>
      <c r="R1083" s="1"/>
      <c r="S1083" s="1"/>
      <c r="T1083" s="1"/>
      <c r="U1083" s="1"/>
      <c r="V1083" s="1"/>
    </row>
    <row r="1084" spans="7:22">
      <c r="G1084" s="1"/>
      <c r="H1084" s="1"/>
      <c r="K1084" s="1"/>
      <c r="L1084" s="1"/>
      <c r="O1084" s="1"/>
      <c r="P1084" s="1"/>
      <c r="Q1084" s="1"/>
      <c r="R1084" s="1"/>
      <c r="S1084" s="1"/>
      <c r="T1084" s="1"/>
      <c r="U1084" s="1"/>
      <c r="V1084" s="1"/>
    </row>
    <row r="1085" spans="7:22">
      <c r="G1085" s="1"/>
      <c r="H1085" s="1"/>
      <c r="K1085" s="1"/>
      <c r="L1085" s="1"/>
      <c r="O1085" s="1"/>
      <c r="P1085" s="1"/>
      <c r="Q1085" s="1"/>
      <c r="R1085" s="1"/>
      <c r="S1085" s="1"/>
      <c r="T1085" s="1"/>
      <c r="U1085" s="1"/>
      <c r="V1085" s="1"/>
    </row>
    <row r="1086" spans="7:22">
      <c r="G1086" s="1"/>
      <c r="H1086" s="1"/>
      <c r="K1086" s="1"/>
      <c r="L1086" s="1"/>
      <c r="O1086" s="1"/>
      <c r="P1086" s="1"/>
      <c r="Q1086" s="1"/>
      <c r="R1086" s="1"/>
      <c r="S1086" s="1"/>
      <c r="T1086" s="1"/>
      <c r="U1086" s="1"/>
      <c r="V1086" s="1"/>
    </row>
    <row r="1087" spans="7:22">
      <c r="G1087" s="1"/>
      <c r="H1087" s="1"/>
      <c r="K1087" s="1"/>
      <c r="L1087" s="1"/>
      <c r="O1087" s="1"/>
      <c r="P1087" s="1"/>
      <c r="Q1087" s="1"/>
      <c r="R1087" s="1"/>
      <c r="S1087" s="1"/>
      <c r="T1087" s="1"/>
      <c r="U1087" s="1"/>
      <c r="V1087" s="1"/>
    </row>
    <row r="1088" spans="7:22">
      <c r="G1088" s="1"/>
      <c r="H1088" s="1"/>
      <c r="K1088" s="1"/>
      <c r="L1088" s="1"/>
      <c r="O1088" s="1"/>
      <c r="P1088" s="1"/>
      <c r="Q1088" s="1"/>
      <c r="R1088" s="1"/>
      <c r="S1088" s="1"/>
      <c r="T1088" s="1"/>
      <c r="U1088" s="1"/>
      <c r="V1088" s="1"/>
    </row>
    <row r="1089" spans="7:22">
      <c r="G1089" s="1"/>
      <c r="H1089" s="1"/>
      <c r="K1089" s="1"/>
      <c r="L1089" s="1"/>
      <c r="O1089" s="1"/>
      <c r="P1089" s="1"/>
      <c r="Q1089" s="1"/>
      <c r="R1089" s="1"/>
      <c r="S1089" s="1"/>
      <c r="T1089" s="1"/>
      <c r="U1089" s="1"/>
      <c r="V1089" s="1"/>
    </row>
    <row r="1090" spans="7:22">
      <c r="G1090" s="1"/>
      <c r="H1090" s="1"/>
      <c r="K1090" s="1"/>
      <c r="L1090" s="1"/>
      <c r="O1090" s="1"/>
      <c r="P1090" s="1"/>
      <c r="Q1090" s="1"/>
      <c r="R1090" s="1"/>
      <c r="S1090" s="1"/>
      <c r="T1090" s="1"/>
      <c r="U1090" s="1"/>
      <c r="V1090" s="1"/>
    </row>
    <row r="1091" spans="7:22">
      <c r="G1091" s="1"/>
      <c r="H1091" s="1"/>
      <c r="K1091" s="1"/>
      <c r="L1091" s="1"/>
      <c r="O1091" s="1"/>
      <c r="P1091" s="1"/>
      <c r="Q1091" s="1"/>
      <c r="R1091" s="1"/>
      <c r="S1091" s="1"/>
      <c r="T1091" s="1"/>
      <c r="U1091" s="1"/>
      <c r="V1091" s="1"/>
    </row>
    <row r="1092" spans="7:22">
      <c r="G1092" s="1"/>
      <c r="H1092" s="1"/>
      <c r="K1092" s="1"/>
      <c r="L1092" s="1"/>
      <c r="O1092" s="1"/>
      <c r="P1092" s="1"/>
      <c r="Q1092" s="1"/>
      <c r="R1092" s="1"/>
      <c r="S1092" s="1"/>
      <c r="T1092" s="1"/>
      <c r="U1092" s="1"/>
      <c r="V1092" s="1"/>
    </row>
    <row r="1093" spans="7:22">
      <c r="G1093" s="1"/>
      <c r="H1093" s="1"/>
      <c r="K1093" s="1"/>
      <c r="L1093" s="1"/>
      <c r="O1093" s="1"/>
      <c r="P1093" s="1"/>
      <c r="Q1093" s="1"/>
      <c r="R1093" s="1"/>
      <c r="S1093" s="1"/>
      <c r="T1093" s="1"/>
      <c r="U1093" s="1"/>
      <c r="V1093" s="1"/>
    </row>
    <row r="1094" spans="7:22">
      <c r="G1094" s="1"/>
      <c r="H1094" s="1"/>
      <c r="K1094" s="1"/>
      <c r="L1094" s="1"/>
      <c r="O1094" s="1"/>
      <c r="P1094" s="1"/>
      <c r="Q1094" s="1"/>
      <c r="R1094" s="1"/>
      <c r="S1094" s="1"/>
      <c r="T1094" s="1"/>
      <c r="U1094" s="1"/>
      <c r="V1094" s="1"/>
    </row>
    <row r="1095" spans="7:22">
      <c r="G1095" s="1"/>
      <c r="H1095" s="1"/>
      <c r="K1095" s="1"/>
      <c r="L1095" s="1"/>
      <c r="O1095" s="1"/>
      <c r="P1095" s="1"/>
      <c r="Q1095" s="1"/>
      <c r="R1095" s="1"/>
      <c r="S1095" s="1"/>
      <c r="T1095" s="1"/>
      <c r="U1095" s="1"/>
      <c r="V1095" s="1"/>
    </row>
    <row r="1096" spans="7:22">
      <c r="G1096" s="1"/>
      <c r="H1096" s="1"/>
      <c r="K1096" s="1"/>
      <c r="L1096" s="1"/>
      <c r="O1096" s="1"/>
      <c r="P1096" s="1"/>
      <c r="Q1096" s="1"/>
      <c r="R1096" s="1"/>
      <c r="S1096" s="1"/>
      <c r="T1096" s="1"/>
      <c r="U1096" s="1"/>
      <c r="V1096" s="1"/>
    </row>
    <row r="1097" spans="7:22">
      <c r="G1097" s="1"/>
      <c r="H1097" s="1"/>
      <c r="K1097" s="1"/>
      <c r="L1097" s="1"/>
      <c r="O1097" s="1"/>
      <c r="P1097" s="1"/>
      <c r="Q1097" s="1"/>
      <c r="R1097" s="1"/>
      <c r="S1097" s="1"/>
      <c r="T1097" s="1"/>
      <c r="U1097" s="1"/>
      <c r="V1097" s="1"/>
    </row>
    <row r="1098" spans="7:22">
      <c r="G1098" s="1"/>
      <c r="H1098" s="1"/>
      <c r="K1098" s="1"/>
      <c r="L1098" s="1"/>
      <c r="O1098" s="1"/>
      <c r="P1098" s="1"/>
      <c r="Q1098" s="1"/>
      <c r="R1098" s="1"/>
      <c r="S1098" s="1"/>
      <c r="T1098" s="1"/>
      <c r="U1098" s="1"/>
      <c r="V1098" s="1"/>
    </row>
    <row r="1099" spans="7:22">
      <c r="G1099" s="1"/>
      <c r="H1099" s="1"/>
      <c r="K1099" s="1"/>
      <c r="L1099" s="1"/>
      <c r="O1099" s="1"/>
      <c r="P1099" s="1"/>
      <c r="Q1099" s="1"/>
      <c r="R1099" s="1"/>
      <c r="S1099" s="1"/>
      <c r="T1099" s="1"/>
      <c r="U1099" s="1"/>
      <c r="V1099" s="1"/>
    </row>
    <row r="1100" spans="7:22">
      <c r="G1100" s="1"/>
      <c r="H1100" s="1"/>
      <c r="K1100" s="1"/>
      <c r="L1100" s="1"/>
      <c r="O1100" s="1"/>
      <c r="P1100" s="1"/>
      <c r="Q1100" s="1"/>
      <c r="R1100" s="1"/>
      <c r="S1100" s="1"/>
      <c r="T1100" s="1"/>
      <c r="U1100" s="1"/>
      <c r="V1100" s="1"/>
    </row>
    <row r="1101" spans="7:22">
      <c r="G1101" s="1"/>
      <c r="H1101" s="1"/>
      <c r="K1101" s="1"/>
      <c r="L1101" s="1"/>
      <c r="O1101" s="1"/>
      <c r="P1101" s="1"/>
      <c r="Q1101" s="1"/>
      <c r="R1101" s="1"/>
      <c r="S1101" s="1"/>
      <c r="T1101" s="1"/>
      <c r="U1101" s="1"/>
      <c r="V1101" s="1"/>
    </row>
    <row r="1102" spans="7:22">
      <c r="G1102" s="1"/>
      <c r="H1102" s="1"/>
      <c r="K1102" s="1"/>
      <c r="L1102" s="1"/>
      <c r="O1102" s="1"/>
      <c r="P1102" s="1"/>
      <c r="Q1102" s="1"/>
      <c r="R1102" s="1"/>
      <c r="S1102" s="1"/>
      <c r="T1102" s="1"/>
      <c r="U1102" s="1"/>
      <c r="V1102" s="1"/>
    </row>
    <row r="1103" spans="7:22">
      <c r="G1103" s="1"/>
      <c r="H1103" s="1"/>
      <c r="K1103" s="1"/>
      <c r="L1103" s="1"/>
      <c r="O1103" s="1"/>
      <c r="P1103" s="1"/>
      <c r="Q1103" s="1"/>
      <c r="R1103" s="1"/>
      <c r="S1103" s="1"/>
      <c r="T1103" s="1"/>
      <c r="U1103" s="1"/>
      <c r="V1103" s="1"/>
    </row>
    <row r="1104" spans="7:22">
      <c r="G1104" s="1"/>
      <c r="H1104" s="1"/>
      <c r="K1104" s="1"/>
      <c r="L1104" s="1"/>
      <c r="O1104" s="1"/>
      <c r="P1104" s="1"/>
      <c r="Q1104" s="1"/>
      <c r="R1104" s="1"/>
      <c r="S1104" s="1"/>
      <c r="T1104" s="1"/>
      <c r="U1104" s="1"/>
      <c r="V1104" s="1"/>
    </row>
    <row r="1105" spans="7:22">
      <c r="G1105" s="1"/>
      <c r="H1105" s="1"/>
      <c r="K1105" s="1"/>
      <c r="L1105" s="1"/>
      <c r="O1105" s="1"/>
      <c r="P1105" s="1"/>
      <c r="Q1105" s="1"/>
      <c r="R1105" s="1"/>
      <c r="S1105" s="1"/>
      <c r="T1105" s="1"/>
      <c r="U1105" s="1"/>
      <c r="V1105" s="1"/>
    </row>
    <row r="1106" spans="7:22">
      <c r="G1106" s="1"/>
      <c r="H1106" s="1"/>
      <c r="K1106" s="1"/>
      <c r="L1106" s="1"/>
      <c r="O1106" s="1"/>
      <c r="P1106" s="1"/>
      <c r="Q1106" s="1"/>
      <c r="R1106" s="1"/>
      <c r="S1106" s="1"/>
      <c r="T1106" s="1"/>
      <c r="U1106" s="1"/>
      <c r="V1106" s="1"/>
    </row>
    <row r="1107" spans="7:22">
      <c r="G1107" s="1"/>
      <c r="H1107" s="1"/>
      <c r="K1107" s="1"/>
      <c r="L1107" s="1"/>
      <c r="O1107" s="1"/>
      <c r="P1107" s="1"/>
      <c r="Q1107" s="1"/>
      <c r="R1107" s="1"/>
      <c r="S1107" s="1"/>
      <c r="T1107" s="1"/>
      <c r="U1107" s="1"/>
      <c r="V1107" s="1"/>
    </row>
    <row r="1108" spans="7:22">
      <c r="G1108" s="1"/>
      <c r="H1108" s="1"/>
      <c r="K1108" s="1"/>
      <c r="L1108" s="1"/>
      <c r="O1108" s="1"/>
      <c r="P1108" s="1"/>
      <c r="Q1108" s="1"/>
      <c r="R1108" s="1"/>
      <c r="S1108" s="1"/>
      <c r="T1108" s="1"/>
      <c r="U1108" s="1"/>
      <c r="V1108" s="1"/>
    </row>
    <row r="1109" spans="7:22">
      <c r="G1109" s="1"/>
      <c r="H1109" s="1"/>
      <c r="K1109" s="1"/>
      <c r="L1109" s="1"/>
      <c r="O1109" s="1"/>
      <c r="P1109" s="1"/>
      <c r="Q1109" s="1"/>
      <c r="R1109" s="1"/>
      <c r="S1109" s="1"/>
      <c r="T1109" s="1"/>
      <c r="U1109" s="1"/>
      <c r="V1109" s="1"/>
    </row>
    <row r="1110" spans="7:22">
      <c r="G1110" s="1"/>
      <c r="H1110" s="1"/>
      <c r="K1110" s="1"/>
      <c r="L1110" s="1"/>
      <c r="O1110" s="1"/>
      <c r="P1110" s="1"/>
      <c r="Q1110" s="1"/>
      <c r="R1110" s="1"/>
      <c r="S1110" s="1"/>
      <c r="T1110" s="1"/>
      <c r="U1110" s="1"/>
      <c r="V1110" s="1"/>
    </row>
    <row r="1111" spans="7:22">
      <c r="G1111" s="1"/>
      <c r="H1111" s="1"/>
      <c r="K1111" s="1"/>
      <c r="L1111" s="1"/>
      <c r="O1111" s="1"/>
      <c r="P1111" s="1"/>
      <c r="Q1111" s="1"/>
      <c r="R1111" s="1"/>
      <c r="S1111" s="1"/>
      <c r="T1111" s="1"/>
      <c r="U1111" s="1"/>
      <c r="V1111" s="1"/>
    </row>
    <row r="1112" spans="7:22">
      <c r="G1112" s="1"/>
      <c r="H1112" s="1"/>
      <c r="K1112" s="1"/>
      <c r="L1112" s="1"/>
      <c r="O1112" s="1"/>
      <c r="P1112" s="1"/>
      <c r="Q1112" s="1"/>
      <c r="R1112" s="1"/>
      <c r="S1112" s="1"/>
      <c r="T1112" s="1"/>
      <c r="U1112" s="1"/>
      <c r="V1112" s="1"/>
    </row>
    <row r="1113" spans="7:22">
      <c r="G1113" s="1"/>
      <c r="H1113" s="1"/>
      <c r="K1113" s="1"/>
      <c r="L1113" s="1"/>
      <c r="O1113" s="1"/>
      <c r="P1113" s="1"/>
      <c r="Q1113" s="1"/>
      <c r="R1113" s="1"/>
      <c r="S1113" s="1"/>
      <c r="T1113" s="1"/>
      <c r="U1113" s="1"/>
      <c r="V1113" s="1"/>
    </row>
    <row r="1114" spans="7:22">
      <c r="G1114" s="1"/>
      <c r="H1114" s="1"/>
      <c r="K1114" s="1"/>
      <c r="L1114" s="1"/>
      <c r="O1114" s="1"/>
      <c r="P1114" s="1"/>
      <c r="Q1114" s="1"/>
      <c r="R1114" s="1"/>
      <c r="S1114" s="1"/>
      <c r="T1114" s="1"/>
      <c r="U1114" s="1"/>
      <c r="V1114" s="1"/>
    </row>
    <row r="1115" spans="7:22">
      <c r="G1115" s="1"/>
      <c r="H1115" s="1"/>
      <c r="K1115" s="1"/>
      <c r="L1115" s="1"/>
      <c r="O1115" s="1"/>
      <c r="P1115" s="1"/>
      <c r="Q1115" s="1"/>
      <c r="R1115" s="1"/>
      <c r="S1115" s="1"/>
      <c r="T1115" s="1"/>
      <c r="U1115" s="1"/>
      <c r="V1115" s="1"/>
    </row>
    <row r="1116" spans="7:22">
      <c r="G1116" s="1"/>
      <c r="H1116" s="1"/>
      <c r="K1116" s="1"/>
      <c r="L1116" s="1"/>
      <c r="O1116" s="1"/>
      <c r="P1116" s="1"/>
      <c r="Q1116" s="1"/>
      <c r="R1116" s="1"/>
      <c r="S1116" s="1"/>
      <c r="T1116" s="1"/>
      <c r="U1116" s="1"/>
      <c r="V1116" s="1"/>
    </row>
    <row r="1117" spans="7:22">
      <c r="G1117" s="1"/>
      <c r="H1117" s="1"/>
      <c r="K1117" s="1"/>
      <c r="L1117" s="1"/>
      <c r="O1117" s="1"/>
      <c r="P1117" s="1"/>
      <c r="Q1117" s="1"/>
      <c r="R1117" s="1"/>
      <c r="S1117" s="1"/>
      <c r="T1117" s="1"/>
      <c r="U1117" s="1"/>
      <c r="V1117" s="1"/>
    </row>
    <row r="1118" spans="7:22">
      <c r="G1118" s="1"/>
      <c r="H1118" s="1"/>
      <c r="K1118" s="1"/>
      <c r="L1118" s="1"/>
      <c r="O1118" s="1"/>
      <c r="P1118" s="1"/>
      <c r="Q1118" s="1"/>
      <c r="R1118" s="1"/>
      <c r="S1118" s="1"/>
      <c r="T1118" s="1"/>
      <c r="U1118" s="1"/>
      <c r="V1118" s="1"/>
    </row>
    <row r="1119" spans="7:22">
      <c r="G1119" s="1"/>
      <c r="H1119" s="1"/>
      <c r="K1119" s="1"/>
      <c r="L1119" s="1"/>
      <c r="O1119" s="1"/>
      <c r="P1119" s="1"/>
      <c r="Q1119" s="1"/>
      <c r="R1119" s="1"/>
      <c r="S1119" s="1"/>
      <c r="T1119" s="1"/>
      <c r="U1119" s="1"/>
      <c r="V1119" s="1"/>
    </row>
    <row r="1120" spans="7:22">
      <c r="G1120" s="1"/>
      <c r="H1120" s="1"/>
      <c r="K1120" s="1"/>
      <c r="L1120" s="1"/>
      <c r="O1120" s="1"/>
      <c r="P1120" s="1"/>
      <c r="Q1120" s="1"/>
      <c r="R1120" s="1"/>
      <c r="S1120" s="1"/>
      <c r="T1120" s="1"/>
      <c r="U1120" s="1"/>
      <c r="V1120" s="1"/>
    </row>
    <row r="1121" spans="7:22">
      <c r="G1121" s="1"/>
      <c r="H1121" s="1"/>
      <c r="K1121" s="1"/>
      <c r="L1121" s="1"/>
      <c r="O1121" s="1"/>
      <c r="P1121" s="1"/>
      <c r="Q1121" s="1"/>
      <c r="R1121" s="1"/>
      <c r="S1121" s="1"/>
      <c r="T1121" s="1"/>
      <c r="U1121" s="1"/>
      <c r="V1121" s="1"/>
    </row>
    <row r="1122" spans="7:22">
      <c r="G1122" s="1"/>
      <c r="H1122" s="1"/>
      <c r="K1122" s="1"/>
      <c r="L1122" s="1"/>
      <c r="O1122" s="1"/>
      <c r="P1122" s="1"/>
      <c r="Q1122" s="1"/>
      <c r="R1122" s="1"/>
      <c r="S1122" s="1"/>
      <c r="T1122" s="1"/>
      <c r="U1122" s="1"/>
      <c r="V1122" s="1"/>
    </row>
    <row r="1123" spans="7:22">
      <c r="G1123" s="1"/>
      <c r="H1123" s="1"/>
      <c r="K1123" s="1"/>
      <c r="L1123" s="1"/>
      <c r="O1123" s="1"/>
      <c r="P1123" s="1"/>
      <c r="Q1123" s="1"/>
      <c r="R1123" s="1"/>
      <c r="S1123" s="1"/>
      <c r="T1123" s="1"/>
      <c r="U1123" s="1"/>
      <c r="V1123" s="1"/>
    </row>
    <row r="1124" spans="7:22">
      <c r="G1124" s="1"/>
      <c r="H1124" s="1"/>
      <c r="K1124" s="1"/>
      <c r="L1124" s="1"/>
      <c r="O1124" s="1"/>
      <c r="P1124" s="1"/>
      <c r="Q1124" s="1"/>
      <c r="R1124" s="1"/>
      <c r="S1124" s="1"/>
      <c r="T1124" s="1"/>
      <c r="U1124" s="1"/>
      <c r="V1124" s="1"/>
    </row>
    <row r="1125" spans="7:22">
      <c r="G1125" s="1"/>
      <c r="H1125" s="1"/>
      <c r="K1125" s="1"/>
      <c r="L1125" s="1"/>
      <c r="O1125" s="1"/>
      <c r="P1125" s="1"/>
      <c r="Q1125" s="1"/>
      <c r="R1125" s="1"/>
      <c r="S1125" s="1"/>
      <c r="T1125" s="1"/>
      <c r="U1125" s="1"/>
      <c r="V1125" s="1"/>
    </row>
    <row r="1126" spans="7:22">
      <c r="G1126" s="1"/>
      <c r="H1126" s="1"/>
      <c r="K1126" s="1"/>
      <c r="L1126" s="1"/>
      <c r="O1126" s="1"/>
      <c r="P1126" s="1"/>
      <c r="Q1126" s="1"/>
      <c r="R1126" s="1"/>
      <c r="S1126" s="1"/>
      <c r="T1126" s="1"/>
      <c r="U1126" s="1"/>
      <c r="V1126" s="1"/>
    </row>
    <row r="1127" spans="7:22">
      <c r="G1127" s="1"/>
      <c r="H1127" s="1"/>
      <c r="K1127" s="1"/>
      <c r="L1127" s="1"/>
      <c r="O1127" s="1"/>
      <c r="P1127" s="1"/>
      <c r="Q1127" s="1"/>
      <c r="R1127" s="1"/>
      <c r="S1127" s="1"/>
      <c r="T1127" s="1"/>
      <c r="U1127" s="1"/>
      <c r="V1127" s="1"/>
    </row>
    <row r="1128" spans="7:22">
      <c r="G1128" s="1"/>
      <c r="H1128" s="1"/>
      <c r="K1128" s="1"/>
      <c r="L1128" s="1"/>
      <c r="O1128" s="1"/>
      <c r="P1128" s="1"/>
      <c r="Q1128" s="1"/>
      <c r="R1128" s="1"/>
      <c r="S1128" s="1"/>
      <c r="T1128" s="1"/>
      <c r="U1128" s="1"/>
      <c r="V1128" s="1"/>
    </row>
    <row r="1129" spans="7:22">
      <c r="G1129" s="1"/>
      <c r="H1129" s="1"/>
      <c r="K1129" s="1"/>
      <c r="L1129" s="1"/>
      <c r="O1129" s="1"/>
      <c r="P1129" s="1"/>
      <c r="Q1129" s="1"/>
      <c r="R1129" s="1"/>
      <c r="S1129" s="1"/>
      <c r="T1129" s="1"/>
      <c r="U1129" s="1"/>
      <c r="V1129" s="1"/>
    </row>
    <row r="1130" spans="7:22">
      <c r="G1130" s="1"/>
      <c r="H1130" s="1"/>
      <c r="K1130" s="1"/>
      <c r="L1130" s="1"/>
      <c r="O1130" s="1"/>
      <c r="P1130" s="1"/>
      <c r="Q1130" s="1"/>
      <c r="R1130" s="1"/>
      <c r="S1130" s="1"/>
      <c r="T1130" s="1"/>
      <c r="U1130" s="1"/>
      <c r="V1130" s="1"/>
    </row>
    <row r="1131" spans="7:22">
      <c r="G1131" s="1"/>
      <c r="H1131" s="1"/>
      <c r="K1131" s="1"/>
      <c r="L1131" s="1"/>
      <c r="O1131" s="1"/>
      <c r="P1131" s="1"/>
      <c r="Q1131" s="1"/>
      <c r="R1131" s="1"/>
      <c r="S1131" s="1"/>
      <c r="T1131" s="1"/>
      <c r="U1131" s="1"/>
      <c r="V1131" s="1"/>
    </row>
    <row r="1132" spans="7:22">
      <c r="G1132" s="1"/>
      <c r="H1132" s="1"/>
      <c r="K1132" s="1"/>
      <c r="L1132" s="1"/>
      <c r="O1132" s="1"/>
      <c r="P1132" s="1"/>
      <c r="Q1132" s="1"/>
      <c r="R1132" s="1"/>
      <c r="S1132" s="1"/>
      <c r="T1132" s="1"/>
      <c r="U1132" s="1"/>
      <c r="V1132" s="1"/>
    </row>
    <row r="1133" spans="7:22">
      <c r="G1133" s="1"/>
      <c r="H1133" s="1"/>
      <c r="K1133" s="1"/>
      <c r="L1133" s="1"/>
      <c r="O1133" s="1"/>
      <c r="P1133" s="1"/>
      <c r="Q1133" s="1"/>
      <c r="R1133" s="1"/>
      <c r="S1133" s="1"/>
      <c r="T1133" s="1"/>
      <c r="U1133" s="1"/>
      <c r="V1133" s="1"/>
    </row>
    <row r="1134" spans="7:22">
      <c r="G1134" s="1"/>
      <c r="H1134" s="1"/>
      <c r="K1134" s="1"/>
      <c r="L1134" s="1"/>
      <c r="O1134" s="1"/>
      <c r="P1134" s="1"/>
      <c r="Q1134" s="1"/>
      <c r="R1134" s="1"/>
      <c r="S1134" s="1"/>
      <c r="T1134" s="1"/>
      <c r="U1134" s="1"/>
      <c r="V1134" s="1"/>
    </row>
    <row r="1135" spans="7:22">
      <c r="G1135" s="1"/>
      <c r="H1135" s="1"/>
      <c r="K1135" s="1"/>
      <c r="L1135" s="1"/>
      <c r="O1135" s="1"/>
      <c r="P1135" s="1"/>
      <c r="Q1135" s="1"/>
      <c r="R1135" s="1"/>
      <c r="S1135" s="1"/>
      <c r="T1135" s="1"/>
      <c r="U1135" s="1"/>
      <c r="V1135" s="1"/>
    </row>
    <row r="1136" spans="7:22">
      <c r="G1136" s="1"/>
      <c r="H1136" s="1"/>
      <c r="K1136" s="1"/>
      <c r="L1136" s="1"/>
      <c r="O1136" s="1"/>
      <c r="P1136" s="1"/>
      <c r="Q1136" s="1"/>
      <c r="R1136" s="1"/>
      <c r="S1136" s="1"/>
      <c r="T1136" s="1"/>
      <c r="U1136" s="1"/>
      <c r="V1136" s="1"/>
    </row>
    <row r="1137" spans="7:22">
      <c r="G1137" s="1"/>
      <c r="H1137" s="1"/>
      <c r="K1137" s="1"/>
      <c r="L1137" s="1"/>
      <c r="O1137" s="1"/>
      <c r="P1137" s="1"/>
      <c r="Q1137" s="1"/>
      <c r="R1137" s="1"/>
      <c r="S1137" s="1"/>
      <c r="T1137" s="1"/>
      <c r="U1137" s="1"/>
      <c r="V1137" s="1"/>
    </row>
    <row r="1138" spans="7:22">
      <c r="G1138" s="1"/>
      <c r="H1138" s="1"/>
      <c r="K1138" s="1"/>
      <c r="L1138" s="1"/>
      <c r="O1138" s="1"/>
      <c r="P1138" s="1"/>
      <c r="Q1138" s="1"/>
      <c r="R1138" s="1"/>
      <c r="S1138" s="1"/>
      <c r="T1138" s="1"/>
      <c r="U1138" s="1"/>
      <c r="V1138" s="1"/>
    </row>
    <row r="1139" spans="7:22">
      <c r="G1139" s="1"/>
      <c r="H1139" s="1"/>
      <c r="K1139" s="1"/>
      <c r="L1139" s="1"/>
      <c r="O1139" s="1"/>
      <c r="P1139" s="1"/>
      <c r="Q1139" s="1"/>
      <c r="R1139" s="1"/>
      <c r="S1139" s="1"/>
      <c r="T1139" s="1"/>
      <c r="U1139" s="1"/>
      <c r="V1139" s="1"/>
    </row>
    <row r="1140" spans="7:22">
      <c r="G1140" s="1"/>
      <c r="H1140" s="1"/>
      <c r="K1140" s="1"/>
      <c r="L1140" s="1"/>
      <c r="O1140" s="1"/>
      <c r="P1140" s="1"/>
      <c r="Q1140" s="1"/>
      <c r="R1140" s="1"/>
      <c r="S1140" s="1"/>
      <c r="T1140" s="1"/>
      <c r="U1140" s="1"/>
      <c r="V1140" s="1"/>
    </row>
    <row r="1141" spans="7:22">
      <c r="G1141" s="1"/>
      <c r="H1141" s="1"/>
      <c r="K1141" s="1"/>
      <c r="L1141" s="1"/>
      <c r="O1141" s="1"/>
      <c r="P1141" s="1"/>
      <c r="Q1141" s="1"/>
      <c r="R1141" s="1"/>
      <c r="S1141" s="1"/>
      <c r="T1141" s="1"/>
      <c r="U1141" s="1"/>
      <c r="V1141" s="1"/>
    </row>
    <row r="1142" spans="7:22">
      <c r="G1142" s="1"/>
      <c r="H1142" s="1"/>
      <c r="K1142" s="1"/>
      <c r="L1142" s="1"/>
      <c r="O1142" s="1"/>
      <c r="P1142" s="1"/>
      <c r="Q1142" s="1"/>
      <c r="R1142" s="1"/>
      <c r="S1142" s="1"/>
      <c r="T1142" s="1"/>
      <c r="U1142" s="1"/>
      <c r="V1142" s="1"/>
    </row>
    <row r="1143" spans="7:22">
      <c r="G1143" s="1"/>
      <c r="H1143" s="1"/>
      <c r="K1143" s="1"/>
      <c r="L1143" s="1"/>
      <c r="O1143" s="1"/>
      <c r="P1143" s="1"/>
      <c r="Q1143" s="1"/>
      <c r="R1143" s="1"/>
      <c r="S1143" s="1"/>
      <c r="T1143" s="1"/>
      <c r="U1143" s="1"/>
      <c r="V1143" s="1"/>
    </row>
    <row r="1144" spans="7:22">
      <c r="G1144" s="1"/>
      <c r="H1144" s="1"/>
      <c r="K1144" s="1"/>
      <c r="L1144" s="1"/>
      <c r="O1144" s="1"/>
      <c r="P1144" s="1"/>
      <c r="Q1144" s="1"/>
      <c r="R1144" s="1"/>
      <c r="S1144" s="1"/>
      <c r="T1144" s="1"/>
      <c r="U1144" s="1"/>
      <c r="V1144" s="1"/>
    </row>
    <row r="1145" spans="7:22">
      <c r="G1145" s="1"/>
      <c r="H1145" s="1"/>
      <c r="K1145" s="1"/>
      <c r="L1145" s="1"/>
      <c r="O1145" s="1"/>
      <c r="P1145" s="1"/>
      <c r="Q1145" s="1"/>
      <c r="R1145" s="1"/>
      <c r="S1145" s="1"/>
      <c r="T1145" s="1"/>
      <c r="U1145" s="1"/>
      <c r="V1145" s="1"/>
    </row>
    <row r="1146" spans="7:22">
      <c r="G1146" s="1"/>
      <c r="H1146" s="1"/>
      <c r="K1146" s="1"/>
      <c r="L1146" s="1"/>
      <c r="O1146" s="1"/>
      <c r="P1146" s="1"/>
      <c r="Q1146" s="1"/>
      <c r="R1146" s="1"/>
      <c r="S1146" s="1"/>
      <c r="T1146" s="1"/>
      <c r="U1146" s="1"/>
      <c r="V1146" s="1"/>
    </row>
    <row r="1147" spans="7:22">
      <c r="G1147" s="1"/>
      <c r="H1147" s="1"/>
      <c r="K1147" s="1"/>
      <c r="L1147" s="1"/>
      <c r="O1147" s="1"/>
      <c r="P1147" s="1"/>
      <c r="Q1147" s="1"/>
      <c r="R1147" s="1"/>
      <c r="S1147" s="1"/>
      <c r="T1147" s="1"/>
      <c r="U1147" s="1"/>
      <c r="V1147" s="1"/>
    </row>
    <row r="1148" spans="7:22">
      <c r="G1148" s="1"/>
      <c r="H1148" s="1"/>
      <c r="K1148" s="1"/>
      <c r="L1148" s="1"/>
      <c r="O1148" s="1"/>
      <c r="P1148" s="1"/>
      <c r="Q1148" s="1"/>
      <c r="R1148" s="1"/>
      <c r="S1148" s="1"/>
      <c r="T1148" s="1"/>
      <c r="U1148" s="1"/>
      <c r="V1148" s="1"/>
    </row>
    <row r="1149" spans="7:22">
      <c r="G1149" s="1"/>
      <c r="H1149" s="1"/>
      <c r="K1149" s="1"/>
      <c r="L1149" s="1"/>
      <c r="O1149" s="1"/>
      <c r="P1149" s="1"/>
      <c r="Q1149" s="1"/>
      <c r="R1149" s="1"/>
      <c r="S1149" s="1"/>
      <c r="T1149" s="1"/>
      <c r="U1149" s="1"/>
      <c r="V1149" s="1"/>
    </row>
    <row r="1150" spans="7:22">
      <c r="G1150" s="1"/>
      <c r="H1150" s="1"/>
      <c r="K1150" s="1"/>
      <c r="L1150" s="1"/>
      <c r="O1150" s="1"/>
      <c r="P1150" s="1"/>
      <c r="Q1150" s="1"/>
      <c r="R1150" s="1"/>
      <c r="S1150" s="1"/>
      <c r="T1150" s="1"/>
      <c r="U1150" s="1"/>
      <c r="V1150" s="1"/>
    </row>
    <row r="1151" spans="7:22">
      <c r="G1151" s="1"/>
      <c r="H1151" s="1"/>
      <c r="K1151" s="1"/>
      <c r="L1151" s="1"/>
      <c r="O1151" s="1"/>
      <c r="P1151" s="1"/>
      <c r="Q1151" s="1"/>
      <c r="R1151" s="1"/>
      <c r="S1151" s="1"/>
      <c r="T1151" s="1"/>
      <c r="U1151" s="1"/>
      <c r="V1151" s="1"/>
    </row>
    <row r="1152" spans="7:22">
      <c r="G1152" s="1"/>
      <c r="H1152" s="1"/>
      <c r="K1152" s="1"/>
      <c r="L1152" s="1"/>
      <c r="O1152" s="1"/>
      <c r="P1152" s="1"/>
      <c r="Q1152" s="1"/>
      <c r="R1152" s="1"/>
      <c r="S1152" s="1"/>
      <c r="T1152" s="1"/>
      <c r="U1152" s="1"/>
      <c r="V1152" s="1"/>
    </row>
    <row r="1153" spans="7:22">
      <c r="G1153" s="1"/>
      <c r="H1153" s="1"/>
      <c r="K1153" s="1"/>
      <c r="L1153" s="1"/>
      <c r="O1153" s="1"/>
      <c r="P1153" s="1"/>
      <c r="Q1153" s="1"/>
      <c r="R1153" s="1"/>
      <c r="S1153" s="1"/>
      <c r="T1153" s="1"/>
      <c r="U1153" s="1"/>
      <c r="V1153" s="1"/>
    </row>
    <row r="1154" spans="7:22">
      <c r="G1154" s="1"/>
      <c r="H1154" s="1"/>
      <c r="K1154" s="1"/>
      <c r="L1154" s="1"/>
      <c r="O1154" s="1"/>
      <c r="P1154" s="1"/>
      <c r="Q1154" s="1"/>
      <c r="R1154" s="1"/>
      <c r="S1154" s="1"/>
      <c r="T1154" s="1"/>
      <c r="U1154" s="1"/>
      <c r="V1154" s="1"/>
    </row>
    <row r="1155" spans="7:22">
      <c r="G1155" s="1"/>
      <c r="H1155" s="1"/>
      <c r="K1155" s="1"/>
      <c r="L1155" s="1"/>
      <c r="O1155" s="1"/>
      <c r="P1155" s="1"/>
      <c r="Q1155" s="1"/>
      <c r="R1155" s="1"/>
      <c r="S1155" s="1"/>
      <c r="T1155" s="1"/>
      <c r="U1155" s="1"/>
      <c r="V1155" s="1"/>
    </row>
    <row r="1156" spans="7:22">
      <c r="G1156" s="1"/>
      <c r="H1156" s="1"/>
      <c r="K1156" s="1"/>
      <c r="L1156" s="1"/>
      <c r="O1156" s="1"/>
      <c r="P1156" s="1"/>
      <c r="Q1156" s="1"/>
      <c r="R1156" s="1"/>
      <c r="S1156" s="1"/>
      <c r="T1156" s="1"/>
      <c r="U1156" s="1"/>
      <c r="V1156" s="1"/>
    </row>
    <row r="1157" spans="7:22">
      <c r="G1157" s="1"/>
      <c r="H1157" s="1"/>
      <c r="K1157" s="1"/>
      <c r="L1157" s="1"/>
      <c r="O1157" s="1"/>
      <c r="P1157" s="1"/>
      <c r="Q1157" s="1"/>
      <c r="R1157" s="1"/>
      <c r="S1157" s="1"/>
      <c r="T1157" s="1"/>
      <c r="U1157" s="1"/>
      <c r="V1157" s="1"/>
    </row>
    <row r="1158" spans="7:22">
      <c r="G1158" s="1"/>
      <c r="H1158" s="1"/>
      <c r="K1158" s="1"/>
      <c r="L1158" s="1"/>
      <c r="O1158" s="1"/>
      <c r="P1158" s="1"/>
      <c r="Q1158" s="1"/>
      <c r="R1158" s="1"/>
      <c r="S1158" s="1"/>
      <c r="T1158" s="1"/>
      <c r="U1158" s="1"/>
      <c r="V1158" s="1"/>
    </row>
    <row r="1159" spans="7:22">
      <c r="G1159" s="1"/>
      <c r="H1159" s="1"/>
      <c r="K1159" s="1"/>
      <c r="L1159" s="1"/>
      <c r="O1159" s="1"/>
      <c r="P1159" s="1"/>
      <c r="Q1159" s="1"/>
      <c r="R1159" s="1"/>
      <c r="S1159" s="1"/>
      <c r="T1159" s="1"/>
      <c r="U1159" s="1"/>
      <c r="V1159" s="1"/>
    </row>
    <row r="1160" spans="7:22">
      <c r="G1160" s="1"/>
      <c r="H1160" s="1"/>
      <c r="K1160" s="1"/>
      <c r="L1160" s="1"/>
      <c r="O1160" s="1"/>
      <c r="P1160" s="1"/>
      <c r="Q1160" s="1"/>
      <c r="R1160" s="1"/>
      <c r="S1160" s="1"/>
      <c r="T1160" s="1"/>
      <c r="U1160" s="1"/>
      <c r="V1160" s="1"/>
    </row>
    <row r="1161" spans="7:22">
      <c r="G1161" s="1"/>
      <c r="H1161" s="1"/>
      <c r="K1161" s="1"/>
      <c r="L1161" s="1"/>
      <c r="O1161" s="1"/>
      <c r="P1161" s="1"/>
      <c r="Q1161" s="1"/>
      <c r="R1161" s="1"/>
      <c r="S1161" s="1"/>
      <c r="T1161" s="1"/>
      <c r="U1161" s="1"/>
      <c r="V1161" s="1"/>
    </row>
    <row r="1162" spans="7:22">
      <c r="G1162" s="1"/>
      <c r="H1162" s="1"/>
      <c r="K1162" s="1"/>
      <c r="L1162" s="1"/>
      <c r="O1162" s="1"/>
      <c r="P1162" s="1"/>
      <c r="Q1162" s="1"/>
      <c r="R1162" s="1"/>
      <c r="S1162" s="1"/>
      <c r="T1162" s="1"/>
      <c r="U1162" s="1"/>
      <c r="V1162" s="1"/>
    </row>
    <row r="1163" spans="7:22">
      <c r="G1163" s="1"/>
      <c r="H1163" s="1"/>
      <c r="K1163" s="1"/>
      <c r="L1163" s="1"/>
      <c r="O1163" s="1"/>
      <c r="P1163" s="1"/>
      <c r="Q1163" s="1"/>
      <c r="R1163" s="1"/>
      <c r="S1163" s="1"/>
      <c r="T1163" s="1"/>
      <c r="U1163" s="1"/>
      <c r="V1163" s="1"/>
    </row>
    <row r="1164" spans="7:22">
      <c r="G1164" s="1"/>
      <c r="H1164" s="1"/>
      <c r="K1164" s="1"/>
      <c r="L1164" s="1"/>
      <c r="O1164" s="1"/>
      <c r="P1164" s="1"/>
      <c r="Q1164" s="1"/>
      <c r="R1164" s="1"/>
      <c r="S1164" s="1"/>
      <c r="T1164" s="1"/>
      <c r="U1164" s="1"/>
      <c r="V1164" s="1"/>
    </row>
    <row r="1165" spans="7:22">
      <c r="G1165" s="1"/>
      <c r="H1165" s="1"/>
      <c r="K1165" s="1"/>
      <c r="L1165" s="1"/>
      <c r="O1165" s="1"/>
      <c r="P1165" s="1"/>
      <c r="Q1165" s="1"/>
      <c r="R1165" s="1"/>
      <c r="S1165" s="1"/>
      <c r="T1165" s="1"/>
      <c r="U1165" s="1"/>
      <c r="V1165" s="1"/>
    </row>
    <row r="1166" spans="7:22">
      <c r="G1166" s="1"/>
      <c r="H1166" s="1"/>
      <c r="K1166" s="1"/>
      <c r="L1166" s="1"/>
      <c r="O1166" s="1"/>
      <c r="P1166" s="1"/>
      <c r="Q1166" s="1"/>
      <c r="R1166" s="1"/>
      <c r="S1166" s="1"/>
      <c r="T1166" s="1"/>
      <c r="U1166" s="1"/>
      <c r="V1166" s="1"/>
    </row>
    <row r="1167" spans="7:22">
      <c r="G1167" s="1"/>
      <c r="H1167" s="1"/>
      <c r="K1167" s="1"/>
      <c r="L1167" s="1"/>
      <c r="O1167" s="1"/>
      <c r="P1167" s="1"/>
      <c r="Q1167" s="1"/>
      <c r="R1167" s="1"/>
      <c r="S1167" s="1"/>
      <c r="T1167" s="1"/>
      <c r="U1167" s="1"/>
      <c r="V1167" s="1"/>
    </row>
    <row r="1168" spans="7:22">
      <c r="G1168" s="1"/>
      <c r="H1168" s="1"/>
      <c r="K1168" s="1"/>
      <c r="L1168" s="1"/>
      <c r="O1168" s="1"/>
      <c r="P1168" s="1"/>
      <c r="Q1168" s="1"/>
      <c r="R1168" s="1"/>
      <c r="S1168" s="1"/>
      <c r="T1168" s="1"/>
      <c r="U1168" s="1"/>
      <c r="V1168" s="1"/>
    </row>
    <row r="1169" spans="7:22">
      <c r="G1169" s="1"/>
      <c r="H1169" s="1"/>
      <c r="K1169" s="1"/>
      <c r="L1169" s="1"/>
      <c r="O1169" s="1"/>
      <c r="P1169" s="1"/>
      <c r="Q1169" s="1"/>
      <c r="R1169" s="1"/>
      <c r="S1169" s="1"/>
      <c r="T1169" s="1"/>
      <c r="U1169" s="1"/>
      <c r="V1169" s="1"/>
    </row>
    <row r="1170" spans="7:22">
      <c r="G1170" s="1"/>
      <c r="H1170" s="1"/>
      <c r="K1170" s="1"/>
      <c r="L1170" s="1"/>
      <c r="O1170" s="1"/>
      <c r="P1170" s="1"/>
      <c r="Q1170" s="1"/>
      <c r="R1170" s="1"/>
      <c r="S1170" s="1"/>
      <c r="T1170" s="1"/>
      <c r="U1170" s="1"/>
      <c r="V1170" s="1"/>
    </row>
    <row r="1171" spans="7:22">
      <c r="G1171" s="1"/>
      <c r="H1171" s="1"/>
      <c r="K1171" s="1"/>
      <c r="L1171" s="1"/>
      <c r="O1171" s="1"/>
      <c r="P1171" s="1"/>
      <c r="Q1171" s="1"/>
      <c r="R1171" s="1"/>
      <c r="S1171" s="1"/>
      <c r="T1171" s="1"/>
      <c r="U1171" s="1"/>
      <c r="V1171" s="1"/>
    </row>
    <row r="1172" spans="7:22">
      <c r="G1172" s="1"/>
      <c r="H1172" s="1"/>
      <c r="K1172" s="1"/>
      <c r="L1172" s="1"/>
      <c r="O1172" s="1"/>
      <c r="P1172" s="1"/>
      <c r="Q1172" s="1"/>
      <c r="R1172" s="1"/>
      <c r="S1172" s="1"/>
      <c r="T1172" s="1"/>
      <c r="U1172" s="1"/>
      <c r="V1172" s="1"/>
    </row>
    <row r="1173" spans="7:22">
      <c r="G1173" s="1"/>
      <c r="H1173" s="1"/>
      <c r="K1173" s="1"/>
      <c r="L1173" s="1"/>
      <c r="O1173" s="1"/>
      <c r="P1173" s="1"/>
      <c r="Q1173" s="1"/>
      <c r="R1173" s="1"/>
      <c r="S1173" s="1"/>
      <c r="T1173" s="1"/>
      <c r="U1173" s="1"/>
      <c r="V1173" s="1"/>
    </row>
    <row r="1174" spans="7:22">
      <c r="G1174" s="1"/>
      <c r="H1174" s="1"/>
      <c r="K1174" s="1"/>
      <c r="L1174" s="1"/>
      <c r="O1174" s="1"/>
      <c r="P1174" s="1"/>
      <c r="Q1174" s="1"/>
      <c r="R1174" s="1"/>
      <c r="S1174" s="1"/>
      <c r="T1174" s="1"/>
      <c r="U1174" s="1"/>
      <c r="V1174" s="1"/>
    </row>
    <row r="1175" spans="7:22">
      <c r="G1175" s="1"/>
      <c r="H1175" s="1"/>
      <c r="K1175" s="1"/>
      <c r="L1175" s="1"/>
      <c r="O1175" s="1"/>
      <c r="P1175" s="1"/>
      <c r="Q1175" s="1"/>
      <c r="R1175" s="1"/>
      <c r="S1175" s="1"/>
      <c r="T1175" s="1"/>
      <c r="U1175" s="1"/>
      <c r="V1175" s="1"/>
    </row>
    <row r="1176" spans="7:22">
      <c r="G1176" s="1"/>
      <c r="H1176" s="1"/>
      <c r="K1176" s="1"/>
      <c r="L1176" s="1"/>
      <c r="O1176" s="1"/>
      <c r="P1176" s="1"/>
      <c r="Q1176" s="1"/>
      <c r="R1176" s="1"/>
      <c r="S1176" s="1"/>
      <c r="T1176" s="1"/>
      <c r="U1176" s="1"/>
      <c r="V1176" s="1"/>
    </row>
    <row r="1177" spans="7:22">
      <c r="G1177" s="1"/>
      <c r="H1177" s="1"/>
      <c r="K1177" s="1"/>
      <c r="L1177" s="1"/>
      <c r="O1177" s="1"/>
      <c r="P1177" s="1"/>
      <c r="Q1177" s="1"/>
      <c r="R1177" s="1"/>
      <c r="S1177" s="1"/>
      <c r="T1177" s="1"/>
      <c r="U1177" s="1"/>
      <c r="V1177" s="1"/>
    </row>
    <row r="1178" spans="7:22">
      <c r="G1178" s="1"/>
      <c r="H1178" s="1"/>
      <c r="K1178" s="1"/>
      <c r="L1178" s="1"/>
      <c r="O1178" s="1"/>
      <c r="P1178" s="1"/>
      <c r="Q1178" s="1"/>
      <c r="R1178" s="1"/>
      <c r="S1178" s="1"/>
      <c r="T1178" s="1"/>
      <c r="U1178" s="1"/>
      <c r="V1178" s="1"/>
    </row>
    <row r="1179" spans="7:22">
      <c r="G1179" s="1"/>
      <c r="H1179" s="1"/>
      <c r="K1179" s="1"/>
      <c r="L1179" s="1"/>
      <c r="O1179" s="1"/>
      <c r="P1179" s="1"/>
      <c r="Q1179" s="1"/>
      <c r="R1179" s="1"/>
      <c r="S1179" s="1"/>
      <c r="T1179" s="1"/>
      <c r="U1179" s="1"/>
      <c r="V1179" s="1"/>
    </row>
    <row r="1180" spans="7:22">
      <c r="G1180" s="1"/>
      <c r="H1180" s="1"/>
      <c r="K1180" s="1"/>
      <c r="L1180" s="1"/>
      <c r="O1180" s="1"/>
      <c r="P1180" s="1"/>
      <c r="Q1180" s="1"/>
      <c r="R1180" s="1"/>
      <c r="S1180" s="1"/>
      <c r="T1180" s="1"/>
      <c r="U1180" s="1"/>
      <c r="V1180" s="1"/>
    </row>
    <row r="1181" spans="7:22">
      <c r="G1181" s="1"/>
      <c r="H1181" s="1"/>
      <c r="K1181" s="1"/>
      <c r="L1181" s="1"/>
      <c r="O1181" s="1"/>
      <c r="P1181" s="1"/>
      <c r="Q1181" s="1"/>
      <c r="R1181" s="1"/>
      <c r="S1181" s="1"/>
      <c r="T1181" s="1"/>
      <c r="U1181" s="1"/>
      <c r="V1181" s="1"/>
    </row>
    <row r="1182" spans="7:22">
      <c r="G1182" s="1"/>
      <c r="H1182" s="1"/>
      <c r="K1182" s="1"/>
      <c r="L1182" s="1"/>
      <c r="O1182" s="1"/>
      <c r="P1182" s="1"/>
      <c r="Q1182" s="1"/>
      <c r="R1182" s="1"/>
      <c r="S1182" s="1"/>
      <c r="T1182" s="1"/>
      <c r="U1182" s="1"/>
      <c r="V1182" s="1"/>
    </row>
    <row r="1183" spans="7:22">
      <c r="G1183" s="1"/>
      <c r="H1183" s="1"/>
      <c r="K1183" s="1"/>
      <c r="L1183" s="1"/>
      <c r="O1183" s="1"/>
      <c r="P1183" s="1"/>
      <c r="Q1183" s="1"/>
      <c r="R1183" s="1"/>
      <c r="S1183" s="1"/>
      <c r="T1183" s="1"/>
      <c r="U1183" s="1"/>
      <c r="V1183" s="1"/>
    </row>
    <row r="1184" spans="7:22">
      <c r="G1184" s="1"/>
      <c r="H1184" s="1"/>
      <c r="K1184" s="1"/>
      <c r="L1184" s="1"/>
      <c r="O1184" s="1"/>
      <c r="P1184" s="1"/>
      <c r="Q1184" s="1"/>
      <c r="R1184" s="1"/>
      <c r="S1184" s="1"/>
      <c r="T1184" s="1"/>
      <c r="U1184" s="1"/>
      <c r="V1184" s="1"/>
    </row>
    <row r="1185" spans="7:22">
      <c r="G1185" s="1"/>
      <c r="H1185" s="1"/>
      <c r="K1185" s="1"/>
      <c r="L1185" s="1"/>
      <c r="O1185" s="1"/>
      <c r="P1185" s="1"/>
      <c r="Q1185" s="1"/>
      <c r="R1185" s="1"/>
      <c r="S1185" s="1"/>
      <c r="T1185" s="1"/>
      <c r="U1185" s="1"/>
      <c r="V1185" s="1"/>
    </row>
    <row r="1186" spans="7:22">
      <c r="G1186" s="1"/>
      <c r="H1186" s="1"/>
      <c r="K1186" s="1"/>
      <c r="L1186" s="1"/>
      <c r="O1186" s="1"/>
      <c r="P1186" s="1"/>
      <c r="Q1186" s="1"/>
      <c r="R1186" s="1"/>
      <c r="S1186" s="1"/>
      <c r="T1186" s="1"/>
      <c r="U1186" s="1"/>
      <c r="V1186" s="1"/>
    </row>
    <row r="1187" spans="7:22">
      <c r="G1187" s="1"/>
      <c r="H1187" s="1"/>
      <c r="K1187" s="1"/>
      <c r="L1187" s="1"/>
      <c r="O1187" s="1"/>
      <c r="P1187" s="1"/>
      <c r="Q1187" s="1"/>
      <c r="R1187" s="1"/>
      <c r="S1187" s="1"/>
      <c r="T1187" s="1"/>
      <c r="U1187" s="1"/>
      <c r="V1187" s="1"/>
    </row>
    <row r="1188" spans="7:22">
      <c r="G1188" s="1"/>
      <c r="H1188" s="1"/>
      <c r="K1188" s="1"/>
      <c r="L1188" s="1"/>
      <c r="O1188" s="1"/>
      <c r="P1188" s="1"/>
      <c r="Q1188" s="1"/>
      <c r="R1188" s="1"/>
      <c r="S1188" s="1"/>
      <c r="T1188" s="1"/>
      <c r="U1188" s="1"/>
      <c r="V1188" s="1"/>
    </row>
    <row r="1189" spans="7:22">
      <c r="G1189" s="1"/>
      <c r="H1189" s="1"/>
      <c r="K1189" s="1"/>
      <c r="L1189" s="1"/>
      <c r="O1189" s="1"/>
      <c r="P1189" s="1"/>
      <c r="Q1189" s="1"/>
      <c r="R1189" s="1"/>
      <c r="S1189" s="1"/>
      <c r="T1189" s="1"/>
      <c r="U1189" s="1"/>
      <c r="V1189" s="1"/>
    </row>
    <row r="1190" spans="7:22">
      <c r="G1190" s="1"/>
      <c r="H1190" s="1"/>
      <c r="K1190" s="1"/>
      <c r="L1190" s="1"/>
      <c r="O1190" s="1"/>
      <c r="P1190" s="1"/>
      <c r="Q1190" s="1"/>
      <c r="R1190" s="1"/>
      <c r="S1190" s="1"/>
      <c r="T1190" s="1"/>
      <c r="U1190" s="1"/>
      <c r="V1190" s="1"/>
    </row>
    <row r="1191" spans="7:22">
      <c r="G1191" s="1"/>
      <c r="H1191" s="1"/>
      <c r="K1191" s="1"/>
      <c r="L1191" s="1"/>
      <c r="O1191" s="1"/>
      <c r="P1191" s="1"/>
      <c r="Q1191" s="1"/>
      <c r="R1191" s="1"/>
      <c r="S1191" s="1"/>
      <c r="T1191" s="1"/>
      <c r="U1191" s="1"/>
      <c r="V1191" s="1"/>
    </row>
    <row r="1192" spans="7:22">
      <c r="G1192" s="1"/>
      <c r="H1192" s="1"/>
      <c r="K1192" s="1"/>
      <c r="L1192" s="1"/>
      <c r="O1192" s="1"/>
      <c r="P1192" s="1"/>
      <c r="Q1192" s="1"/>
      <c r="R1192" s="1"/>
      <c r="S1192" s="1"/>
      <c r="T1192" s="1"/>
      <c r="U1192" s="1"/>
      <c r="V1192" s="1"/>
    </row>
    <row r="1193" spans="7:22">
      <c r="G1193" s="1"/>
      <c r="H1193" s="1"/>
      <c r="K1193" s="1"/>
      <c r="L1193" s="1"/>
      <c r="O1193" s="1"/>
      <c r="P1193" s="1"/>
      <c r="Q1193" s="1"/>
      <c r="R1193" s="1"/>
      <c r="S1193" s="1"/>
      <c r="T1193" s="1"/>
      <c r="U1193" s="1"/>
      <c r="V1193" s="1"/>
    </row>
    <row r="1194" spans="7:22">
      <c r="G1194" s="1"/>
      <c r="H1194" s="1"/>
      <c r="K1194" s="1"/>
      <c r="L1194" s="1"/>
      <c r="O1194" s="1"/>
      <c r="P1194" s="1"/>
      <c r="Q1194" s="1"/>
      <c r="R1194" s="1"/>
      <c r="S1194" s="1"/>
      <c r="T1194" s="1"/>
      <c r="U1194" s="1"/>
      <c r="V1194" s="1"/>
    </row>
    <row r="1195" spans="7:22">
      <c r="G1195" s="1"/>
      <c r="H1195" s="1"/>
      <c r="K1195" s="1"/>
      <c r="L1195" s="1"/>
      <c r="O1195" s="1"/>
      <c r="P1195" s="1"/>
      <c r="Q1195" s="1"/>
      <c r="R1195" s="1"/>
      <c r="S1195" s="1"/>
      <c r="T1195" s="1"/>
      <c r="U1195" s="1"/>
      <c r="V1195" s="1"/>
    </row>
    <row r="1196" spans="7:22">
      <c r="G1196" s="1"/>
      <c r="H1196" s="1"/>
      <c r="K1196" s="1"/>
      <c r="L1196" s="1"/>
      <c r="O1196" s="1"/>
      <c r="P1196" s="1"/>
      <c r="Q1196" s="1"/>
      <c r="R1196" s="1"/>
      <c r="S1196" s="1"/>
      <c r="T1196" s="1"/>
      <c r="U1196" s="1"/>
      <c r="V1196" s="1"/>
    </row>
    <row r="1197" spans="7:22">
      <c r="G1197" s="1"/>
      <c r="H1197" s="1"/>
      <c r="K1197" s="1"/>
      <c r="L1197" s="1"/>
      <c r="O1197" s="1"/>
      <c r="P1197" s="1"/>
      <c r="Q1197" s="1"/>
      <c r="R1197" s="1"/>
      <c r="S1197" s="1"/>
      <c r="T1197" s="1"/>
      <c r="U1197" s="1"/>
      <c r="V1197" s="1"/>
    </row>
    <row r="1198" spans="7:22">
      <c r="G1198" s="1"/>
      <c r="H1198" s="1"/>
      <c r="K1198" s="1"/>
      <c r="L1198" s="1"/>
      <c r="O1198" s="1"/>
      <c r="P1198" s="1"/>
      <c r="Q1198" s="1"/>
      <c r="R1198" s="1"/>
      <c r="S1198" s="1"/>
      <c r="T1198" s="1"/>
      <c r="U1198" s="1"/>
      <c r="V1198" s="1"/>
    </row>
    <row r="1199" spans="7:22">
      <c r="G1199" s="1"/>
      <c r="H1199" s="1"/>
      <c r="K1199" s="1"/>
      <c r="L1199" s="1"/>
      <c r="O1199" s="1"/>
      <c r="P1199" s="1"/>
      <c r="Q1199" s="1"/>
      <c r="R1199" s="1"/>
      <c r="S1199" s="1"/>
      <c r="T1199" s="1"/>
      <c r="U1199" s="1"/>
      <c r="V1199" s="1"/>
    </row>
    <row r="1200" spans="7:22">
      <c r="G1200" s="1"/>
      <c r="H1200" s="1"/>
      <c r="K1200" s="1"/>
      <c r="L1200" s="1"/>
      <c r="O1200" s="1"/>
      <c r="P1200" s="1"/>
      <c r="Q1200" s="1"/>
      <c r="R1200" s="1"/>
      <c r="S1200" s="1"/>
      <c r="T1200" s="1"/>
      <c r="U1200" s="1"/>
      <c r="V1200" s="1"/>
    </row>
    <row r="1201" spans="7:22">
      <c r="G1201" s="1"/>
      <c r="H1201" s="1"/>
      <c r="K1201" s="1"/>
      <c r="L1201" s="1"/>
      <c r="O1201" s="1"/>
      <c r="P1201" s="1"/>
      <c r="Q1201" s="1"/>
      <c r="R1201" s="1"/>
      <c r="S1201" s="1"/>
      <c r="T1201" s="1"/>
      <c r="U1201" s="1"/>
      <c r="V1201" s="1"/>
    </row>
    <row r="1202" spans="7:22">
      <c r="G1202" s="1"/>
      <c r="H1202" s="1"/>
      <c r="K1202" s="1"/>
      <c r="L1202" s="1"/>
      <c r="O1202" s="1"/>
      <c r="P1202" s="1"/>
      <c r="Q1202" s="1"/>
      <c r="R1202" s="1"/>
      <c r="S1202" s="1"/>
      <c r="T1202" s="1"/>
      <c r="U1202" s="1"/>
      <c r="V1202" s="1"/>
    </row>
    <row r="1203" spans="7:22">
      <c r="G1203" s="1"/>
      <c r="H1203" s="1"/>
      <c r="K1203" s="1"/>
      <c r="L1203" s="1"/>
      <c r="O1203" s="1"/>
      <c r="P1203" s="1"/>
      <c r="Q1203" s="1"/>
      <c r="R1203" s="1"/>
      <c r="S1203" s="1"/>
      <c r="T1203" s="1"/>
      <c r="U1203" s="1"/>
      <c r="V1203" s="1"/>
    </row>
    <row r="1204" spans="7:22">
      <c r="G1204" s="1"/>
      <c r="H1204" s="1"/>
      <c r="K1204" s="1"/>
      <c r="L1204" s="1"/>
      <c r="O1204" s="1"/>
      <c r="P1204" s="1"/>
      <c r="Q1204" s="1"/>
      <c r="R1204" s="1"/>
      <c r="S1204" s="1"/>
      <c r="T1204" s="1"/>
      <c r="U1204" s="1"/>
      <c r="V1204" s="1"/>
    </row>
    <row r="1205" spans="7:22">
      <c r="G1205" s="1"/>
      <c r="H1205" s="1"/>
      <c r="K1205" s="1"/>
      <c r="L1205" s="1"/>
      <c r="O1205" s="1"/>
      <c r="P1205" s="1"/>
      <c r="Q1205" s="1"/>
      <c r="R1205" s="1"/>
      <c r="S1205" s="1"/>
      <c r="T1205" s="1"/>
      <c r="U1205" s="1"/>
      <c r="V1205" s="1"/>
    </row>
    <row r="1206" spans="7:22">
      <c r="G1206" s="1"/>
      <c r="H1206" s="1"/>
      <c r="K1206" s="1"/>
      <c r="L1206" s="1"/>
      <c r="O1206" s="1"/>
      <c r="P1206" s="1"/>
      <c r="Q1206" s="1"/>
      <c r="R1206" s="1"/>
      <c r="S1206" s="1"/>
      <c r="T1206" s="1"/>
      <c r="U1206" s="1"/>
      <c r="V1206" s="1"/>
    </row>
    <row r="1207" spans="7:22">
      <c r="G1207" s="1"/>
      <c r="H1207" s="1"/>
      <c r="K1207" s="1"/>
      <c r="L1207" s="1"/>
      <c r="O1207" s="1"/>
      <c r="P1207" s="1"/>
      <c r="Q1207" s="1"/>
      <c r="R1207" s="1"/>
      <c r="S1207" s="1"/>
      <c r="T1207" s="1"/>
      <c r="U1207" s="1"/>
      <c r="V1207" s="1"/>
    </row>
    <row r="1208" spans="7:22">
      <c r="G1208" s="1"/>
      <c r="H1208" s="1"/>
      <c r="K1208" s="1"/>
      <c r="L1208" s="1"/>
      <c r="O1208" s="1"/>
      <c r="P1208" s="1"/>
      <c r="Q1208" s="1"/>
      <c r="R1208" s="1"/>
      <c r="S1208" s="1"/>
      <c r="T1208" s="1"/>
      <c r="U1208" s="1"/>
      <c r="V1208" s="1"/>
    </row>
    <row r="1209" spans="7:22">
      <c r="G1209" s="1"/>
      <c r="H1209" s="1"/>
      <c r="K1209" s="1"/>
      <c r="L1209" s="1"/>
      <c r="O1209" s="1"/>
      <c r="P1209" s="1"/>
      <c r="Q1209" s="1"/>
      <c r="R1209" s="1"/>
      <c r="S1209" s="1"/>
      <c r="T1209" s="1"/>
      <c r="U1209" s="1"/>
      <c r="V1209" s="1"/>
    </row>
    <row r="1210" spans="7:22">
      <c r="G1210" s="1"/>
      <c r="H1210" s="1"/>
      <c r="K1210" s="1"/>
      <c r="L1210" s="1"/>
      <c r="O1210" s="1"/>
      <c r="P1210" s="1"/>
      <c r="Q1210" s="1"/>
      <c r="R1210" s="1"/>
      <c r="S1210" s="1"/>
      <c r="T1210" s="1"/>
      <c r="U1210" s="1"/>
      <c r="V1210" s="1"/>
    </row>
    <row r="1211" spans="7:22">
      <c r="G1211" s="1"/>
      <c r="H1211" s="1"/>
      <c r="K1211" s="1"/>
      <c r="L1211" s="1"/>
      <c r="O1211" s="1"/>
      <c r="P1211" s="1"/>
      <c r="Q1211" s="1"/>
      <c r="R1211" s="1"/>
      <c r="S1211" s="1"/>
      <c r="T1211" s="1"/>
      <c r="U1211" s="1"/>
      <c r="V1211" s="1"/>
    </row>
    <row r="1212" spans="7:22">
      <c r="G1212" s="1"/>
      <c r="H1212" s="1"/>
      <c r="K1212" s="1"/>
      <c r="L1212" s="1"/>
      <c r="O1212" s="1"/>
      <c r="P1212" s="1"/>
      <c r="Q1212" s="1"/>
      <c r="R1212" s="1"/>
      <c r="S1212" s="1"/>
      <c r="T1212" s="1"/>
      <c r="U1212" s="1"/>
      <c r="V1212" s="1"/>
    </row>
    <row r="1213" spans="7:22">
      <c r="G1213" s="1"/>
      <c r="H1213" s="1"/>
      <c r="K1213" s="1"/>
      <c r="L1213" s="1"/>
      <c r="O1213" s="1"/>
      <c r="P1213" s="1"/>
      <c r="Q1213" s="1"/>
      <c r="R1213" s="1"/>
      <c r="S1213" s="1"/>
      <c r="T1213" s="1"/>
      <c r="U1213" s="1"/>
      <c r="V1213" s="1"/>
    </row>
    <row r="1214" spans="7:22">
      <c r="G1214" s="1"/>
      <c r="H1214" s="1"/>
      <c r="K1214" s="1"/>
      <c r="L1214" s="1"/>
      <c r="O1214" s="1"/>
      <c r="P1214" s="1"/>
      <c r="Q1214" s="1"/>
      <c r="R1214" s="1"/>
      <c r="S1214" s="1"/>
      <c r="T1214" s="1"/>
      <c r="U1214" s="1"/>
      <c r="V1214" s="1"/>
    </row>
    <row r="1215" spans="7:22">
      <c r="G1215" s="1"/>
      <c r="H1215" s="1"/>
      <c r="K1215" s="1"/>
      <c r="L1215" s="1"/>
      <c r="O1215" s="1"/>
      <c r="P1215" s="1"/>
      <c r="Q1215" s="1"/>
      <c r="R1215" s="1"/>
      <c r="S1215" s="1"/>
      <c r="T1215" s="1"/>
      <c r="U1215" s="1"/>
      <c r="V1215" s="1"/>
    </row>
    <row r="1216" spans="7:22">
      <c r="G1216" s="1"/>
      <c r="H1216" s="1"/>
      <c r="K1216" s="1"/>
      <c r="L1216" s="1"/>
      <c r="O1216" s="1"/>
      <c r="P1216" s="1"/>
      <c r="Q1216" s="1"/>
      <c r="R1216" s="1"/>
      <c r="S1216" s="1"/>
      <c r="T1216" s="1"/>
      <c r="U1216" s="1"/>
      <c r="V1216" s="1"/>
    </row>
    <row r="1217" spans="7:22">
      <c r="G1217" s="1"/>
      <c r="H1217" s="1"/>
      <c r="K1217" s="1"/>
      <c r="L1217" s="1"/>
      <c r="O1217" s="1"/>
      <c r="P1217" s="1"/>
      <c r="Q1217" s="1"/>
      <c r="R1217" s="1"/>
      <c r="S1217" s="1"/>
      <c r="T1217" s="1"/>
      <c r="U1217" s="1"/>
      <c r="V1217" s="1"/>
    </row>
    <row r="1218" spans="7:22">
      <c r="G1218" s="1"/>
      <c r="H1218" s="1"/>
      <c r="K1218" s="1"/>
      <c r="L1218" s="1"/>
      <c r="O1218" s="1"/>
      <c r="P1218" s="1"/>
      <c r="Q1218" s="1"/>
      <c r="R1218" s="1"/>
      <c r="S1218" s="1"/>
      <c r="T1218" s="1"/>
      <c r="U1218" s="1"/>
      <c r="V1218" s="1"/>
    </row>
    <row r="1219" spans="7:22">
      <c r="G1219" s="1"/>
      <c r="H1219" s="1"/>
      <c r="K1219" s="1"/>
      <c r="L1219" s="1"/>
      <c r="O1219" s="1"/>
      <c r="P1219" s="1"/>
      <c r="Q1219" s="1"/>
      <c r="R1219" s="1"/>
      <c r="S1219" s="1"/>
      <c r="T1219" s="1"/>
      <c r="U1219" s="1"/>
      <c r="V1219" s="1"/>
    </row>
    <row r="1220" spans="7:22">
      <c r="G1220" s="1"/>
      <c r="H1220" s="1"/>
      <c r="K1220" s="1"/>
      <c r="L1220" s="1"/>
      <c r="O1220" s="1"/>
      <c r="P1220" s="1"/>
      <c r="Q1220" s="1"/>
      <c r="R1220" s="1"/>
      <c r="S1220" s="1"/>
      <c r="T1220" s="1"/>
      <c r="U1220" s="1"/>
      <c r="V1220" s="1"/>
    </row>
    <row r="1221" spans="7:22">
      <c r="G1221" s="1"/>
      <c r="H1221" s="1"/>
      <c r="K1221" s="1"/>
      <c r="L1221" s="1"/>
      <c r="O1221" s="1"/>
      <c r="P1221" s="1"/>
      <c r="Q1221" s="1"/>
      <c r="R1221" s="1"/>
      <c r="S1221" s="1"/>
      <c r="T1221" s="1"/>
      <c r="U1221" s="1"/>
      <c r="V1221" s="1"/>
    </row>
    <row r="1222" spans="7:22">
      <c r="G1222" s="1"/>
      <c r="H1222" s="1"/>
      <c r="K1222" s="1"/>
      <c r="L1222" s="1"/>
      <c r="O1222" s="1"/>
      <c r="P1222" s="1"/>
      <c r="Q1222" s="1"/>
      <c r="R1222" s="1"/>
      <c r="S1222" s="1"/>
      <c r="T1222" s="1"/>
      <c r="U1222" s="1"/>
      <c r="V1222" s="1"/>
    </row>
    <row r="1223" spans="7:22">
      <c r="G1223" s="1"/>
      <c r="H1223" s="1"/>
      <c r="K1223" s="1"/>
      <c r="L1223" s="1"/>
      <c r="O1223" s="1"/>
      <c r="P1223" s="1"/>
      <c r="Q1223" s="1"/>
      <c r="R1223" s="1"/>
      <c r="S1223" s="1"/>
      <c r="T1223" s="1"/>
      <c r="U1223" s="1"/>
      <c r="V1223" s="1"/>
    </row>
    <row r="1224" spans="7:22">
      <c r="G1224" s="1"/>
      <c r="H1224" s="1"/>
      <c r="K1224" s="1"/>
      <c r="L1224" s="1"/>
      <c r="O1224" s="1"/>
      <c r="P1224" s="1"/>
      <c r="Q1224" s="1"/>
      <c r="R1224" s="1"/>
      <c r="S1224" s="1"/>
      <c r="T1224" s="1"/>
      <c r="U1224" s="1"/>
      <c r="V1224" s="1"/>
    </row>
    <row r="1225" spans="7:22">
      <c r="G1225" s="1"/>
      <c r="H1225" s="1"/>
      <c r="K1225" s="1"/>
      <c r="L1225" s="1"/>
      <c r="O1225" s="1"/>
      <c r="P1225" s="1"/>
      <c r="Q1225" s="1"/>
      <c r="R1225" s="1"/>
      <c r="S1225" s="1"/>
      <c r="T1225" s="1"/>
      <c r="U1225" s="1"/>
      <c r="V1225" s="1"/>
    </row>
    <row r="1226" spans="7:22">
      <c r="G1226" s="1"/>
      <c r="H1226" s="1"/>
      <c r="K1226" s="1"/>
      <c r="L1226" s="1"/>
      <c r="O1226" s="1"/>
      <c r="P1226" s="1"/>
      <c r="Q1226" s="1"/>
      <c r="R1226" s="1"/>
      <c r="S1226" s="1"/>
      <c r="T1226" s="1"/>
      <c r="U1226" s="1"/>
      <c r="V1226" s="1"/>
    </row>
    <row r="1227" spans="7:22">
      <c r="G1227" s="1"/>
      <c r="H1227" s="1"/>
      <c r="K1227" s="1"/>
      <c r="L1227" s="1"/>
      <c r="O1227" s="1"/>
      <c r="P1227" s="1"/>
      <c r="Q1227" s="1"/>
      <c r="R1227" s="1"/>
      <c r="S1227" s="1"/>
      <c r="T1227" s="1"/>
      <c r="U1227" s="1"/>
      <c r="V1227" s="1"/>
    </row>
    <row r="1228" spans="7:22">
      <c r="G1228" s="1"/>
      <c r="H1228" s="1"/>
      <c r="K1228" s="1"/>
      <c r="L1228" s="1"/>
      <c r="O1228" s="1"/>
      <c r="P1228" s="1"/>
      <c r="Q1228" s="1"/>
      <c r="R1228" s="1"/>
      <c r="S1228" s="1"/>
      <c r="T1228" s="1"/>
      <c r="U1228" s="1"/>
      <c r="V1228" s="1"/>
    </row>
    <row r="1229" spans="7:22">
      <c r="G1229" s="1"/>
      <c r="H1229" s="1"/>
      <c r="K1229" s="1"/>
      <c r="L1229" s="1"/>
      <c r="O1229" s="1"/>
      <c r="P1229" s="1"/>
      <c r="Q1229" s="1"/>
      <c r="R1229" s="1"/>
      <c r="S1229" s="1"/>
      <c r="T1229" s="1"/>
      <c r="U1229" s="1"/>
      <c r="V1229" s="1"/>
    </row>
    <row r="1230" spans="7:22">
      <c r="G1230" s="1"/>
      <c r="H1230" s="1"/>
      <c r="K1230" s="1"/>
      <c r="L1230" s="1"/>
      <c r="O1230" s="1"/>
      <c r="P1230" s="1"/>
      <c r="Q1230" s="1"/>
      <c r="R1230" s="1"/>
      <c r="S1230" s="1"/>
      <c r="T1230" s="1"/>
      <c r="U1230" s="1"/>
      <c r="V1230" s="1"/>
    </row>
    <row r="1231" spans="7:22">
      <c r="G1231" s="1"/>
      <c r="H1231" s="1"/>
      <c r="K1231" s="1"/>
      <c r="L1231" s="1"/>
      <c r="O1231" s="1"/>
      <c r="P1231" s="1"/>
      <c r="Q1231" s="1"/>
      <c r="R1231" s="1"/>
      <c r="S1231" s="1"/>
      <c r="T1231" s="1"/>
      <c r="U1231" s="1"/>
      <c r="V1231" s="1"/>
    </row>
    <row r="1232" spans="7:22">
      <c r="G1232" s="1"/>
      <c r="H1232" s="1"/>
      <c r="K1232" s="1"/>
      <c r="L1232" s="1"/>
      <c r="O1232" s="1"/>
      <c r="P1232" s="1"/>
      <c r="Q1232" s="1"/>
      <c r="R1232" s="1"/>
      <c r="S1232" s="1"/>
      <c r="T1232" s="1"/>
      <c r="U1232" s="1"/>
      <c r="V1232" s="1"/>
    </row>
    <row r="1233" spans="7:22">
      <c r="G1233" s="1"/>
      <c r="H1233" s="1"/>
      <c r="K1233" s="1"/>
      <c r="L1233" s="1"/>
      <c r="O1233" s="1"/>
      <c r="P1233" s="1"/>
      <c r="Q1233" s="1"/>
      <c r="R1233" s="1"/>
      <c r="S1233" s="1"/>
      <c r="T1233" s="1"/>
      <c r="U1233" s="1"/>
      <c r="V1233" s="1"/>
    </row>
    <row r="1234" spans="7:22">
      <c r="G1234" s="1"/>
      <c r="H1234" s="1"/>
      <c r="K1234" s="1"/>
      <c r="L1234" s="1"/>
      <c r="O1234" s="1"/>
      <c r="P1234" s="1"/>
      <c r="Q1234" s="1"/>
      <c r="R1234" s="1"/>
      <c r="S1234" s="1"/>
      <c r="T1234" s="1"/>
      <c r="U1234" s="1"/>
      <c r="V1234" s="1"/>
    </row>
    <row r="1235" spans="7:22">
      <c r="G1235" s="1"/>
      <c r="H1235" s="1"/>
      <c r="K1235" s="1"/>
      <c r="L1235" s="1"/>
      <c r="O1235" s="1"/>
      <c r="P1235" s="1"/>
      <c r="Q1235" s="1"/>
      <c r="R1235" s="1"/>
      <c r="S1235" s="1"/>
      <c r="T1235" s="1"/>
      <c r="U1235" s="1"/>
      <c r="V1235" s="1"/>
    </row>
    <row r="1236" spans="7:22">
      <c r="G1236" s="1"/>
      <c r="H1236" s="1"/>
      <c r="K1236" s="1"/>
      <c r="L1236" s="1"/>
      <c r="O1236" s="1"/>
      <c r="P1236" s="1"/>
      <c r="Q1236" s="1"/>
      <c r="R1236" s="1"/>
      <c r="S1236" s="1"/>
      <c r="T1236" s="1"/>
      <c r="U1236" s="1"/>
      <c r="V1236" s="1"/>
    </row>
    <row r="1237" spans="7:22">
      <c r="G1237" s="1"/>
      <c r="H1237" s="1"/>
      <c r="K1237" s="1"/>
      <c r="L1237" s="1"/>
      <c r="O1237" s="1"/>
      <c r="P1237" s="1"/>
      <c r="Q1237" s="1"/>
      <c r="R1237" s="1"/>
      <c r="S1237" s="1"/>
      <c r="T1237" s="1"/>
      <c r="U1237" s="1"/>
      <c r="V1237" s="1"/>
    </row>
    <row r="1238" spans="7:22">
      <c r="G1238" s="1"/>
      <c r="H1238" s="1"/>
      <c r="K1238" s="1"/>
      <c r="L1238" s="1"/>
      <c r="O1238" s="1"/>
      <c r="P1238" s="1"/>
      <c r="Q1238" s="1"/>
      <c r="R1238" s="1"/>
      <c r="S1238" s="1"/>
      <c r="T1238" s="1"/>
      <c r="U1238" s="1"/>
      <c r="V1238" s="1"/>
    </row>
    <row r="1239" spans="7:22">
      <c r="G1239" s="1"/>
      <c r="H1239" s="1"/>
      <c r="K1239" s="1"/>
      <c r="L1239" s="1"/>
      <c r="O1239" s="1"/>
      <c r="P1239" s="1"/>
      <c r="Q1239" s="1"/>
      <c r="R1239" s="1"/>
      <c r="S1239" s="1"/>
      <c r="T1239" s="1"/>
      <c r="U1239" s="1"/>
      <c r="V1239" s="1"/>
    </row>
    <row r="1240" spans="7:22">
      <c r="G1240" s="1"/>
      <c r="H1240" s="1"/>
      <c r="K1240" s="1"/>
      <c r="L1240" s="1"/>
      <c r="O1240" s="1"/>
      <c r="P1240" s="1"/>
      <c r="Q1240" s="1"/>
      <c r="R1240" s="1"/>
      <c r="S1240" s="1"/>
      <c r="T1240" s="1"/>
      <c r="U1240" s="1"/>
      <c r="V1240" s="1"/>
    </row>
    <row r="1241" spans="7:22">
      <c r="G1241" s="1"/>
      <c r="H1241" s="1"/>
      <c r="K1241" s="1"/>
      <c r="L1241" s="1"/>
      <c r="O1241" s="1"/>
      <c r="P1241" s="1"/>
      <c r="Q1241" s="1"/>
      <c r="R1241" s="1"/>
      <c r="S1241" s="1"/>
      <c r="T1241" s="1"/>
      <c r="U1241" s="1"/>
      <c r="V1241" s="1"/>
    </row>
    <row r="1242" spans="7:22">
      <c r="G1242" s="1"/>
      <c r="H1242" s="1"/>
      <c r="K1242" s="1"/>
      <c r="L1242" s="1"/>
      <c r="O1242" s="1"/>
      <c r="P1242" s="1"/>
      <c r="Q1242" s="1"/>
      <c r="R1242" s="1"/>
      <c r="S1242" s="1"/>
      <c r="T1242" s="1"/>
      <c r="U1242" s="1"/>
      <c r="V1242" s="1"/>
    </row>
    <row r="1243" spans="7:22">
      <c r="G1243" s="1"/>
      <c r="H1243" s="1"/>
      <c r="K1243" s="1"/>
      <c r="L1243" s="1"/>
      <c r="O1243" s="1"/>
      <c r="P1243" s="1"/>
      <c r="Q1243" s="1"/>
      <c r="R1243" s="1"/>
      <c r="S1243" s="1"/>
      <c r="T1243" s="1"/>
      <c r="U1243" s="1"/>
      <c r="V1243" s="1"/>
    </row>
    <row r="1244" spans="7:22">
      <c r="G1244" s="1"/>
      <c r="H1244" s="1"/>
      <c r="K1244" s="1"/>
      <c r="L1244" s="1"/>
      <c r="O1244" s="1"/>
      <c r="P1244" s="1"/>
      <c r="Q1244" s="1"/>
      <c r="R1244" s="1"/>
      <c r="S1244" s="1"/>
      <c r="T1244" s="1"/>
      <c r="U1244" s="1"/>
      <c r="V1244" s="1"/>
    </row>
    <row r="1245" spans="7:22">
      <c r="G1245" s="1"/>
      <c r="H1245" s="1"/>
      <c r="K1245" s="1"/>
      <c r="L1245" s="1"/>
      <c r="O1245" s="1"/>
      <c r="P1245" s="1"/>
      <c r="Q1245" s="1"/>
      <c r="R1245" s="1"/>
      <c r="S1245" s="1"/>
      <c r="T1245" s="1"/>
      <c r="U1245" s="1"/>
      <c r="V1245" s="1"/>
    </row>
    <row r="1246" spans="7:22">
      <c r="G1246" s="1"/>
      <c r="H1246" s="1"/>
      <c r="K1246" s="1"/>
      <c r="L1246" s="1"/>
      <c r="O1246" s="1"/>
      <c r="P1246" s="1"/>
      <c r="Q1246" s="1"/>
      <c r="R1246" s="1"/>
      <c r="S1246" s="1"/>
      <c r="T1246" s="1"/>
      <c r="U1246" s="1"/>
      <c r="V1246" s="1"/>
    </row>
    <row r="1247" spans="7:22">
      <c r="G1247" s="1"/>
      <c r="H1247" s="1"/>
      <c r="K1247" s="1"/>
      <c r="L1247" s="1"/>
      <c r="O1247" s="1"/>
      <c r="P1247" s="1"/>
      <c r="Q1247" s="1"/>
      <c r="R1247" s="1"/>
      <c r="S1247" s="1"/>
      <c r="T1247" s="1"/>
      <c r="U1247" s="1"/>
      <c r="V1247" s="1"/>
    </row>
    <row r="1248" spans="7:22">
      <c r="G1248" s="1"/>
      <c r="H1248" s="1"/>
      <c r="K1248" s="1"/>
      <c r="L1248" s="1"/>
      <c r="O1248" s="1"/>
      <c r="P1248" s="1"/>
      <c r="Q1248" s="1"/>
      <c r="R1248" s="1"/>
      <c r="S1248" s="1"/>
      <c r="T1248" s="1"/>
      <c r="U1248" s="1"/>
      <c r="V1248" s="1"/>
    </row>
    <row r="1249" spans="7:22">
      <c r="G1249" s="1"/>
      <c r="H1249" s="1"/>
      <c r="K1249" s="1"/>
      <c r="L1249" s="1"/>
      <c r="O1249" s="1"/>
      <c r="P1249" s="1"/>
      <c r="Q1249" s="1"/>
      <c r="R1249" s="1"/>
      <c r="S1249" s="1"/>
      <c r="T1249" s="1"/>
      <c r="U1249" s="1"/>
      <c r="V1249" s="1"/>
    </row>
    <row r="1250" spans="7:22">
      <c r="G1250" s="1"/>
      <c r="H1250" s="1"/>
      <c r="K1250" s="1"/>
      <c r="L1250" s="1"/>
      <c r="O1250" s="1"/>
      <c r="P1250" s="1"/>
      <c r="Q1250" s="1"/>
      <c r="R1250" s="1"/>
      <c r="S1250" s="1"/>
      <c r="T1250" s="1"/>
      <c r="U1250" s="1"/>
      <c r="V1250" s="1"/>
    </row>
    <row r="1251" spans="7:22">
      <c r="G1251" s="1"/>
      <c r="H1251" s="1"/>
      <c r="K1251" s="1"/>
      <c r="L1251" s="1"/>
      <c r="O1251" s="1"/>
      <c r="P1251" s="1"/>
      <c r="Q1251" s="1"/>
      <c r="R1251" s="1"/>
      <c r="S1251" s="1"/>
      <c r="T1251" s="1"/>
      <c r="U1251" s="1"/>
      <c r="V1251" s="1"/>
    </row>
    <row r="1252" spans="7:22">
      <c r="G1252" s="1"/>
      <c r="H1252" s="1"/>
      <c r="K1252" s="1"/>
      <c r="L1252" s="1"/>
      <c r="O1252" s="1"/>
      <c r="P1252" s="1"/>
      <c r="Q1252" s="1"/>
      <c r="R1252" s="1"/>
      <c r="S1252" s="1"/>
      <c r="T1252" s="1"/>
      <c r="U1252" s="1"/>
      <c r="V1252" s="1"/>
    </row>
    <row r="1253" spans="7:22">
      <c r="G1253" s="1"/>
      <c r="H1253" s="1"/>
      <c r="K1253" s="1"/>
      <c r="L1253" s="1"/>
      <c r="O1253" s="1"/>
      <c r="P1253" s="1"/>
      <c r="Q1253" s="1"/>
      <c r="R1253" s="1"/>
      <c r="S1253" s="1"/>
      <c r="T1253" s="1"/>
      <c r="U1253" s="1"/>
      <c r="V1253" s="1"/>
    </row>
    <row r="1254" spans="7:22">
      <c r="G1254" s="1"/>
      <c r="H1254" s="1"/>
      <c r="K1254" s="1"/>
      <c r="L1254" s="1"/>
      <c r="O1254" s="1"/>
      <c r="P1254" s="1"/>
      <c r="Q1254" s="1"/>
      <c r="R1254" s="1"/>
      <c r="S1254" s="1"/>
      <c r="T1254" s="1"/>
      <c r="U1254" s="1"/>
      <c r="V1254" s="1"/>
    </row>
    <row r="1255" spans="7:22">
      <c r="G1255" s="1"/>
      <c r="H1255" s="1"/>
      <c r="K1255" s="1"/>
      <c r="L1255" s="1"/>
      <c r="O1255" s="1"/>
      <c r="P1255" s="1"/>
      <c r="Q1255" s="1"/>
      <c r="R1255" s="1"/>
      <c r="S1255" s="1"/>
      <c r="T1255" s="1"/>
      <c r="U1255" s="1"/>
      <c r="V1255" s="1"/>
    </row>
    <row r="1256" spans="7:22">
      <c r="G1256" s="1"/>
      <c r="H1256" s="1"/>
      <c r="K1256" s="1"/>
      <c r="L1256" s="1"/>
      <c r="O1256" s="1"/>
      <c r="P1256" s="1"/>
      <c r="Q1256" s="1"/>
      <c r="R1256" s="1"/>
      <c r="S1256" s="1"/>
      <c r="T1256" s="1"/>
      <c r="U1256" s="1"/>
      <c r="V1256" s="1"/>
    </row>
    <row r="1257" spans="7:22">
      <c r="G1257" s="1"/>
      <c r="H1257" s="1"/>
      <c r="K1257" s="1"/>
      <c r="L1257" s="1"/>
      <c r="O1257" s="1"/>
      <c r="P1257" s="1"/>
      <c r="Q1257" s="1"/>
      <c r="R1257" s="1"/>
      <c r="S1257" s="1"/>
      <c r="T1257" s="1"/>
      <c r="U1257" s="1"/>
      <c r="V1257" s="1"/>
    </row>
    <row r="1258" spans="7:22">
      <c r="G1258" s="1"/>
      <c r="H1258" s="1"/>
      <c r="K1258" s="1"/>
      <c r="L1258" s="1"/>
      <c r="O1258" s="1"/>
      <c r="P1258" s="1"/>
      <c r="Q1258" s="1"/>
      <c r="R1258" s="1"/>
      <c r="S1258" s="1"/>
      <c r="T1258" s="1"/>
      <c r="U1258" s="1"/>
      <c r="V1258" s="1"/>
    </row>
    <row r="1259" spans="7:22">
      <c r="G1259" s="1"/>
      <c r="H1259" s="1"/>
      <c r="K1259" s="1"/>
      <c r="L1259" s="1"/>
      <c r="O1259" s="1"/>
      <c r="P1259" s="1"/>
      <c r="Q1259" s="1"/>
      <c r="R1259" s="1"/>
      <c r="S1259" s="1"/>
      <c r="T1259" s="1"/>
      <c r="U1259" s="1"/>
      <c r="V1259" s="1"/>
    </row>
    <row r="1260" spans="7:22">
      <c r="G1260" s="1"/>
      <c r="H1260" s="1"/>
      <c r="K1260" s="1"/>
      <c r="L1260" s="1"/>
      <c r="O1260" s="1"/>
      <c r="P1260" s="1"/>
      <c r="Q1260" s="1"/>
      <c r="R1260" s="1"/>
      <c r="S1260" s="1"/>
      <c r="T1260" s="1"/>
      <c r="U1260" s="1"/>
      <c r="V1260" s="1"/>
    </row>
    <row r="1261" spans="7:22">
      <c r="G1261" s="1"/>
      <c r="H1261" s="1"/>
      <c r="K1261" s="1"/>
      <c r="L1261" s="1"/>
      <c r="O1261" s="1"/>
      <c r="P1261" s="1"/>
      <c r="Q1261" s="1"/>
      <c r="R1261" s="1"/>
      <c r="S1261" s="1"/>
      <c r="T1261" s="1"/>
      <c r="U1261" s="1"/>
      <c r="V1261" s="1"/>
    </row>
    <row r="1262" spans="7:22">
      <c r="G1262" s="1"/>
      <c r="H1262" s="1"/>
      <c r="K1262" s="1"/>
      <c r="L1262" s="1"/>
      <c r="O1262" s="1"/>
      <c r="P1262" s="1"/>
      <c r="Q1262" s="1"/>
      <c r="R1262" s="1"/>
      <c r="S1262" s="1"/>
      <c r="T1262" s="1"/>
      <c r="U1262" s="1"/>
      <c r="V1262" s="1"/>
    </row>
    <row r="1263" spans="7:22">
      <c r="G1263" s="1"/>
      <c r="H1263" s="1"/>
      <c r="K1263" s="1"/>
      <c r="L1263" s="1"/>
      <c r="O1263" s="1"/>
      <c r="P1263" s="1"/>
      <c r="Q1263" s="1"/>
      <c r="R1263" s="1"/>
      <c r="S1263" s="1"/>
      <c r="T1263" s="1"/>
      <c r="U1263" s="1"/>
      <c r="V1263" s="1"/>
    </row>
    <row r="1264" spans="7:22">
      <c r="G1264" s="1"/>
      <c r="H1264" s="1"/>
      <c r="K1264" s="1"/>
      <c r="L1264" s="1"/>
      <c r="O1264" s="1"/>
      <c r="P1264" s="1"/>
      <c r="Q1264" s="1"/>
      <c r="R1264" s="1"/>
      <c r="S1264" s="1"/>
      <c r="T1264" s="1"/>
      <c r="U1264" s="1"/>
      <c r="V1264" s="1"/>
    </row>
    <row r="1265" spans="7:22">
      <c r="G1265" s="1"/>
      <c r="H1265" s="1"/>
      <c r="K1265" s="1"/>
      <c r="L1265" s="1"/>
      <c r="O1265" s="1"/>
      <c r="P1265" s="1"/>
      <c r="Q1265" s="1"/>
      <c r="R1265" s="1"/>
      <c r="S1265" s="1"/>
      <c r="T1265" s="1"/>
      <c r="U1265" s="1"/>
      <c r="V1265" s="1"/>
    </row>
    <row r="1266" spans="7:22">
      <c r="G1266" s="1"/>
      <c r="H1266" s="1"/>
      <c r="K1266" s="1"/>
      <c r="L1266" s="1"/>
      <c r="O1266" s="1"/>
      <c r="P1266" s="1"/>
      <c r="Q1266" s="1"/>
      <c r="R1266" s="1"/>
      <c r="S1266" s="1"/>
      <c r="T1266" s="1"/>
      <c r="U1266" s="1"/>
      <c r="V1266" s="1"/>
    </row>
    <row r="1267" spans="7:22">
      <c r="G1267" s="1"/>
      <c r="H1267" s="1"/>
      <c r="K1267" s="1"/>
      <c r="L1267" s="1"/>
      <c r="O1267" s="1"/>
      <c r="P1267" s="1"/>
      <c r="Q1267" s="1"/>
      <c r="R1267" s="1"/>
      <c r="S1267" s="1"/>
      <c r="T1267" s="1"/>
      <c r="U1267" s="1"/>
      <c r="V1267" s="1"/>
    </row>
    <row r="1268" spans="7:22">
      <c r="G1268" s="1"/>
      <c r="H1268" s="1"/>
      <c r="K1268" s="1"/>
      <c r="L1268" s="1"/>
      <c r="O1268" s="1"/>
      <c r="P1268" s="1"/>
      <c r="Q1268" s="1"/>
      <c r="R1268" s="1"/>
      <c r="S1268" s="1"/>
      <c r="T1268" s="1"/>
      <c r="U1268" s="1"/>
      <c r="V1268" s="1"/>
    </row>
    <row r="1269" spans="7:22">
      <c r="G1269" s="1"/>
      <c r="H1269" s="1"/>
      <c r="K1269" s="1"/>
      <c r="L1269" s="1"/>
      <c r="O1269" s="1"/>
      <c r="P1269" s="1"/>
      <c r="Q1269" s="1"/>
      <c r="R1269" s="1"/>
      <c r="S1269" s="1"/>
      <c r="T1269" s="1"/>
      <c r="U1269" s="1"/>
      <c r="V1269" s="1"/>
    </row>
    <row r="1270" spans="7:22">
      <c r="G1270" s="1"/>
      <c r="H1270" s="1"/>
      <c r="K1270" s="1"/>
      <c r="L1270" s="1"/>
      <c r="O1270" s="1"/>
      <c r="P1270" s="1"/>
      <c r="Q1270" s="1"/>
      <c r="R1270" s="1"/>
      <c r="S1270" s="1"/>
      <c r="T1270" s="1"/>
      <c r="U1270" s="1"/>
      <c r="V1270" s="1"/>
    </row>
    <row r="1271" spans="7:22">
      <c r="G1271" s="1"/>
      <c r="H1271" s="1"/>
      <c r="K1271" s="1"/>
      <c r="L1271" s="1"/>
      <c r="O1271" s="1"/>
      <c r="P1271" s="1"/>
      <c r="Q1271" s="1"/>
      <c r="R1271" s="1"/>
      <c r="S1271" s="1"/>
      <c r="T1271" s="1"/>
      <c r="U1271" s="1"/>
      <c r="V1271" s="1"/>
    </row>
    <row r="1272" spans="7:22">
      <c r="G1272" s="1"/>
      <c r="H1272" s="1"/>
      <c r="K1272" s="1"/>
      <c r="L1272" s="1"/>
      <c r="O1272" s="1"/>
      <c r="P1272" s="1"/>
      <c r="Q1272" s="1"/>
      <c r="R1272" s="1"/>
      <c r="S1272" s="1"/>
      <c r="T1272" s="1"/>
      <c r="U1272" s="1"/>
      <c r="V1272" s="1"/>
    </row>
    <row r="1273" spans="7:22">
      <c r="G1273" s="1"/>
      <c r="H1273" s="1"/>
      <c r="K1273" s="1"/>
      <c r="L1273" s="1"/>
      <c r="O1273" s="1"/>
      <c r="P1273" s="1"/>
      <c r="Q1273" s="1"/>
      <c r="R1273" s="1"/>
      <c r="S1273" s="1"/>
      <c r="T1273" s="1"/>
      <c r="U1273" s="1"/>
      <c r="V1273" s="1"/>
    </row>
    <row r="1274" spans="7:22">
      <c r="G1274" s="1"/>
      <c r="H1274" s="1"/>
      <c r="K1274" s="1"/>
      <c r="L1274" s="1"/>
      <c r="O1274" s="1"/>
      <c r="P1274" s="1"/>
      <c r="Q1274" s="1"/>
      <c r="R1274" s="1"/>
      <c r="S1274" s="1"/>
      <c r="T1274" s="1"/>
      <c r="U1274" s="1"/>
      <c r="V1274" s="1"/>
    </row>
    <row r="1275" spans="7:22">
      <c r="G1275" s="1"/>
      <c r="H1275" s="1"/>
      <c r="K1275" s="1"/>
      <c r="L1275" s="1"/>
      <c r="O1275" s="1"/>
      <c r="P1275" s="1"/>
      <c r="Q1275" s="1"/>
      <c r="R1275" s="1"/>
      <c r="S1275" s="1"/>
      <c r="T1275" s="1"/>
      <c r="U1275" s="1"/>
      <c r="V1275" s="1"/>
    </row>
    <row r="1276" spans="7:22">
      <c r="G1276" s="1"/>
      <c r="H1276" s="1"/>
      <c r="K1276" s="1"/>
      <c r="L1276" s="1"/>
      <c r="O1276" s="1"/>
      <c r="P1276" s="1"/>
      <c r="Q1276" s="1"/>
      <c r="R1276" s="1"/>
      <c r="S1276" s="1"/>
      <c r="T1276" s="1"/>
      <c r="U1276" s="1"/>
      <c r="V1276" s="1"/>
    </row>
    <row r="1277" spans="7:22">
      <c r="G1277" s="1"/>
      <c r="H1277" s="1"/>
      <c r="K1277" s="1"/>
      <c r="L1277" s="1"/>
      <c r="O1277" s="1"/>
      <c r="P1277" s="1"/>
      <c r="Q1277" s="1"/>
      <c r="R1277" s="1"/>
      <c r="S1277" s="1"/>
      <c r="T1277" s="1"/>
      <c r="U1277" s="1"/>
      <c r="V1277" s="1"/>
    </row>
    <row r="1278" spans="7:22">
      <c r="G1278" s="1"/>
      <c r="H1278" s="1"/>
      <c r="K1278" s="1"/>
      <c r="L1278" s="1"/>
      <c r="O1278" s="1"/>
      <c r="P1278" s="1"/>
      <c r="Q1278" s="1"/>
      <c r="R1278" s="1"/>
      <c r="S1278" s="1"/>
      <c r="T1278" s="1"/>
      <c r="U1278" s="1"/>
      <c r="V1278" s="1"/>
    </row>
    <row r="1279" spans="7:22">
      <c r="G1279" s="1"/>
      <c r="H1279" s="1"/>
      <c r="K1279" s="1"/>
      <c r="L1279" s="1"/>
      <c r="O1279" s="1"/>
      <c r="P1279" s="1"/>
      <c r="Q1279" s="1"/>
      <c r="R1279" s="1"/>
      <c r="S1279" s="1"/>
      <c r="T1279" s="1"/>
      <c r="U1279" s="1"/>
      <c r="V1279" s="1"/>
    </row>
    <row r="1280" spans="7:22">
      <c r="G1280" s="1"/>
      <c r="H1280" s="1"/>
      <c r="K1280" s="1"/>
      <c r="L1280" s="1"/>
      <c r="O1280" s="1"/>
      <c r="P1280" s="1"/>
      <c r="Q1280" s="1"/>
      <c r="R1280" s="1"/>
      <c r="S1280" s="1"/>
      <c r="T1280" s="1"/>
      <c r="U1280" s="1"/>
      <c r="V1280" s="1"/>
    </row>
    <row r="1281" spans="7:22">
      <c r="G1281" s="1"/>
      <c r="H1281" s="1"/>
      <c r="K1281" s="1"/>
      <c r="L1281" s="1"/>
      <c r="O1281" s="1"/>
      <c r="P1281" s="1"/>
      <c r="Q1281" s="1"/>
      <c r="R1281" s="1"/>
      <c r="S1281" s="1"/>
      <c r="T1281" s="1"/>
      <c r="U1281" s="1"/>
      <c r="V1281" s="1"/>
    </row>
    <row r="1282" spans="7:22">
      <c r="G1282" s="1"/>
      <c r="H1282" s="1"/>
      <c r="K1282" s="1"/>
      <c r="L1282" s="1"/>
      <c r="O1282" s="1"/>
      <c r="P1282" s="1"/>
      <c r="Q1282" s="1"/>
      <c r="R1282" s="1"/>
      <c r="S1282" s="1"/>
      <c r="T1282" s="1"/>
      <c r="U1282" s="1"/>
      <c r="V1282" s="1"/>
    </row>
    <row r="1283" spans="7:22">
      <c r="G1283" s="1"/>
      <c r="H1283" s="1"/>
      <c r="K1283" s="1"/>
      <c r="L1283" s="1"/>
      <c r="O1283" s="1"/>
      <c r="P1283" s="1"/>
      <c r="Q1283" s="1"/>
      <c r="R1283" s="1"/>
      <c r="S1283" s="1"/>
      <c r="T1283" s="1"/>
      <c r="U1283" s="1"/>
      <c r="V1283" s="1"/>
    </row>
    <row r="1284" spans="7:22">
      <c r="G1284" s="1"/>
      <c r="H1284" s="1"/>
      <c r="K1284" s="1"/>
      <c r="L1284" s="1"/>
      <c r="O1284" s="1"/>
      <c r="P1284" s="1"/>
      <c r="Q1284" s="1"/>
      <c r="R1284" s="1"/>
      <c r="S1284" s="1"/>
      <c r="T1284" s="1"/>
      <c r="U1284" s="1"/>
      <c r="V1284" s="1"/>
    </row>
    <row r="1285" spans="7:22">
      <c r="G1285" s="1"/>
      <c r="H1285" s="1"/>
      <c r="K1285" s="1"/>
      <c r="L1285" s="1"/>
      <c r="O1285" s="1"/>
      <c r="P1285" s="1"/>
      <c r="Q1285" s="1"/>
      <c r="R1285" s="1"/>
      <c r="S1285" s="1"/>
      <c r="T1285" s="1"/>
      <c r="U1285" s="1"/>
      <c r="V1285" s="1"/>
    </row>
    <row r="1286" spans="7:22">
      <c r="G1286" s="1"/>
      <c r="H1286" s="1"/>
      <c r="K1286" s="1"/>
      <c r="L1286" s="1"/>
      <c r="O1286" s="1"/>
      <c r="P1286" s="1"/>
      <c r="Q1286" s="1"/>
      <c r="R1286" s="1"/>
      <c r="S1286" s="1"/>
      <c r="T1286" s="1"/>
      <c r="U1286" s="1"/>
      <c r="V1286" s="1"/>
    </row>
    <row r="1287" spans="7:22">
      <c r="G1287" s="1"/>
      <c r="H1287" s="1"/>
      <c r="K1287" s="1"/>
      <c r="L1287" s="1"/>
      <c r="O1287" s="1"/>
      <c r="P1287" s="1"/>
      <c r="Q1287" s="1"/>
      <c r="R1287" s="1"/>
      <c r="S1287" s="1"/>
      <c r="T1287" s="1"/>
      <c r="U1287" s="1"/>
      <c r="V1287" s="1"/>
    </row>
    <row r="1288" spans="7:22">
      <c r="G1288" s="1"/>
      <c r="H1288" s="1"/>
      <c r="K1288" s="1"/>
      <c r="L1288" s="1"/>
      <c r="O1288" s="1"/>
      <c r="P1288" s="1"/>
      <c r="Q1288" s="1"/>
      <c r="R1288" s="1"/>
      <c r="S1288" s="1"/>
      <c r="T1288" s="1"/>
      <c r="U1288" s="1"/>
      <c r="V1288" s="1"/>
    </row>
    <row r="1289" spans="7:22">
      <c r="G1289" s="1"/>
      <c r="H1289" s="1"/>
      <c r="K1289" s="1"/>
      <c r="L1289" s="1"/>
      <c r="O1289" s="1"/>
      <c r="P1289" s="1"/>
      <c r="Q1289" s="1"/>
      <c r="R1289" s="1"/>
      <c r="S1289" s="1"/>
      <c r="T1289" s="1"/>
      <c r="U1289" s="1"/>
      <c r="V1289" s="1"/>
    </row>
    <row r="1290" spans="7:22">
      <c r="G1290" s="1"/>
      <c r="H1290" s="1"/>
      <c r="K1290" s="1"/>
      <c r="L1290" s="1"/>
      <c r="O1290" s="1"/>
      <c r="P1290" s="1"/>
      <c r="Q1290" s="1"/>
      <c r="R1290" s="1"/>
      <c r="S1290" s="1"/>
      <c r="T1290" s="1"/>
      <c r="U1290" s="1"/>
      <c r="V1290" s="1"/>
    </row>
    <row r="1291" spans="7:22">
      <c r="G1291" s="1"/>
      <c r="H1291" s="1"/>
      <c r="K1291" s="1"/>
      <c r="L1291" s="1"/>
      <c r="O1291" s="1"/>
      <c r="P1291" s="1"/>
      <c r="Q1291" s="1"/>
      <c r="R1291" s="1"/>
      <c r="S1291" s="1"/>
      <c r="T1291" s="1"/>
      <c r="U1291" s="1"/>
      <c r="V1291" s="1"/>
    </row>
    <row r="1292" spans="7:22">
      <c r="G1292" s="1"/>
      <c r="H1292" s="1"/>
      <c r="K1292" s="1"/>
      <c r="L1292" s="1"/>
      <c r="O1292" s="1"/>
      <c r="P1292" s="1"/>
      <c r="Q1292" s="1"/>
      <c r="R1292" s="1"/>
      <c r="S1292" s="1"/>
      <c r="T1292" s="1"/>
      <c r="U1292" s="1"/>
      <c r="V1292" s="1"/>
    </row>
    <row r="1293" spans="7:22">
      <c r="G1293" s="1"/>
      <c r="H1293" s="1"/>
      <c r="K1293" s="1"/>
      <c r="L1293" s="1"/>
      <c r="O1293" s="1"/>
      <c r="P1293" s="1"/>
      <c r="Q1293" s="1"/>
      <c r="R1293" s="1"/>
      <c r="S1293" s="1"/>
      <c r="T1293" s="1"/>
      <c r="U1293" s="1"/>
      <c r="V1293" s="1"/>
    </row>
    <row r="1294" spans="7:22">
      <c r="G1294" s="1"/>
      <c r="H1294" s="1"/>
      <c r="K1294" s="1"/>
      <c r="L1294" s="1"/>
      <c r="O1294" s="1"/>
      <c r="P1294" s="1"/>
      <c r="Q1294" s="1"/>
      <c r="R1294" s="1"/>
      <c r="S1294" s="1"/>
      <c r="T1294" s="1"/>
      <c r="U1294" s="1"/>
      <c r="V1294" s="1"/>
    </row>
    <row r="1295" spans="7:22">
      <c r="G1295" s="1"/>
      <c r="H1295" s="1"/>
      <c r="K1295" s="1"/>
      <c r="L1295" s="1"/>
      <c r="O1295" s="1"/>
      <c r="P1295" s="1"/>
      <c r="Q1295" s="1"/>
      <c r="R1295" s="1"/>
      <c r="S1295" s="1"/>
      <c r="T1295" s="1"/>
      <c r="U1295" s="1"/>
      <c r="V1295" s="1"/>
    </row>
    <row r="1296" spans="7:22">
      <c r="G1296" s="1"/>
      <c r="H1296" s="1"/>
      <c r="K1296" s="1"/>
      <c r="L1296" s="1"/>
      <c r="O1296" s="1"/>
      <c r="P1296" s="1"/>
      <c r="Q1296" s="1"/>
      <c r="R1296" s="1"/>
      <c r="S1296" s="1"/>
      <c r="T1296" s="1"/>
      <c r="U1296" s="1"/>
      <c r="V1296" s="1"/>
    </row>
    <row r="1297" spans="7:22">
      <c r="G1297" s="1"/>
      <c r="H1297" s="1"/>
      <c r="K1297" s="1"/>
      <c r="L1297" s="1"/>
      <c r="O1297" s="1"/>
      <c r="P1297" s="1"/>
      <c r="Q1297" s="1"/>
      <c r="R1297" s="1"/>
      <c r="S1297" s="1"/>
      <c r="T1297" s="1"/>
      <c r="U1297" s="1"/>
      <c r="V1297" s="1"/>
    </row>
    <row r="1298" spans="7:22">
      <c r="G1298" s="1"/>
      <c r="H1298" s="1"/>
      <c r="K1298" s="1"/>
      <c r="L1298" s="1"/>
      <c r="O1298" s="1"/>
      <c r="P1298" s="1"/>
      <c r="Q1298" s="1"/>
      <c r="R1298" s="1"/>
      <c r="S1298" s="1"/>
      <c r="T1298" s="1"/>
      <c r="U1298" s="1"/>
      <c r="V1298" s="1"/>
    </row>
    <row r="1299" spans="7:22">
      <c r="G1299" s="1"/>
      <c r="H1299" s="1"/>
      <c r="K1299" s="1"/>
      <c r="L1299" s="1"/>
      <c r="O1299" s="1"/>
      <c r="P1299" s="1"/>
      <c r="Q1299" s="1"/>
      <c r="R1299" s="1"/>
      <c r="S1299" s="1"/>
      <c r="T1299" s="1"/>
      <c r="U1299" s="1"/>
      <c r="V1299" s="1"/>
    </row>
    <row r="1300" spans="7:22">
      <c r="G1300" s="1"/>
      <c r="H1300" s="1"/>
      <c r="K1300" s="1"/>
      <c r="L1300" s="1"/>
      <c r="O1300" s="1"/>
      <c r="P1300" s="1"/>
      <c r="Q1300" s="1"/>
      <c r="R1300" s="1"/>
      <c r="S1300" s="1"/>
      <c r="T1300" s="1"/>
      <c r="U1300" s="1"/>
      <c r="V1300" s="1"/>
    </row>
    <row r="1301" spans="7:22">
      <c r="G1301" s="1"/>
      <c r="H1301" s="1"/>
      <c r="K1301" s="1"/>
      <c r="L1301" s="1"/>
      <c r="O1301" s="1"/>
      <c r="P1301" s="1"/>
      <c r="Q1301" s="1"/>
      <c r="R1301" s="1"/>
      <c r="S1301" s="1"/>
      <c r="T1301" s="1"/>
      <c r="U1301" s="1"/>
      <c r="V1301" s="1"/>
    </row>
    <row r="1302" spans="7:22">
      <c r="G1302" s="1"/>
      <c r="H1302" s="1"/>
      <c r="K1302" s="1"/>
      <c r="L1302" s="1"/>
      <c r="O1302" s="1"/>
      <c r="P1302" s="1"/>
      <c r="Q1302" s="1"/>
      <c r="R1302" s="1"/>
      <c r="S1302" s="1"/>
      <c r="T1302" s="1"/>
      <c r="U1302" s="1"/>
      <c r="V1302" s="1"/>
    </row>
    <row r="1303" spans="7:22">
      <c r="G1303" s="1"/>
      <c r="H1303" s="1"/>
      <c r="K1303" s="1"/>
      <c r="L1303" s="1"/>
      <c r="O1303" s="1"/>
      <c r="P1303" s="1"/>
      <c r="Q1303" s="1"/>
      <c r="R1303" s="1"/>
      <c r="S1303" s="1"/>
      <c r="T1303" s="1"/>
      <c r="U1303" s="1"/>
      <c r="V1303" s="1"/>
    </row>
    <row r="1304" spans="7:22">
      <c r="G1304" s="1"/>
      <c r="H1304" s="1"/>
      <c r="K1304" s="1"/>
      <c r="L1304" s="1"/>
      <c r="O1304" s="1"/>
      <c r="P1304" s="1"/>
      <c r="Q1304" s="1"/>
      <c r="R1304" s="1"/>
      <c r="S1304" s="1"/>
      <c r="T1304" s="1"/>
      <c r="U1304" s="1"/>
      <c r="V1304" s="1"/>
    </row>
    <row r="1305" spans="7:22">
      <c r="G1305" s="1"/>
      <c r="H1305" s="1"/>
      <c r="K1305" s="1"/>
      <c r="L1305" s="1"/>
      <c r="O1305" s="1"/>
      <c r="P1305" s="1"/>
      <c r="Q1305" s="1"/>
      <c r="R1305" s="1"/>
      <c r="S1305" s="1"/>
      <c r="T1305" s="1"/>
      <c r="U1305" s="1"/>
      <c r="V1305" s="1"/>
    </row>
    <row r="1306" spans="7:22">
      <c r="G1306" s="1"/>
      <c r="H1306" s="1"/>
      <c r="K1306" s="1"/>
      <c r="L1306" s="1"/>
      <c r="O1306" s="1"/>
      <c r="P1306" s="1"/>
      <c r="Q1306" s="1"/>
      <c r="R1306" s="1"/>
      <c r="S1306" s="1"/>
      <c r="T1306" s="1"/>
      <c r="U1306" s="1"/>
      <c r="V1306" s="1"/>
    </row>
    <row r="1307" spans="7:22">
      <c r="G1307" s="1"/>
      <c r="H1307" s="1"/>
      <c r="K1307" s="1"/>
      <c r="L1307" s="1"/>
      <c r="O1307" s="1"/>
      <c r="P1307" s="1"/>
      <c r="Q1307" s="1"/>
      <c r="R1307" s="1"/>
      <c r="S1307" s="1"/>
      <c r="T1307" s="1"/>
      <c r="U1307" s="1"/>
      <c r="V1307" s="1"/>
    </row>
    <row r="1308" spans="7:22">
      <c r="G1308" s="1"/>
      <c r="H1308" s="1"/>
      <c r="K1308" s="1"/>
      <c r="L1308" s="1"/>
      <c r="O1308" s="1"/>
      <c r="P1308" s="1"/>
      <c r="Q1308" s="1"/>
      <c r="R1308" s="1"/>
      <c r="S1308" s="1"/>
      <c r="T1308" s="1"/>
      <c r="U1308" s="1"/>
      <c r="V1308" s="1"/>
    </row>
    <row r="1309" spans="7:22">
      <c r="G1309" s="1"/>
      <c r="H1309" s="1"/>
      <c r="K1309" s="1"/>
      <c r="L1309" s="1"/>
      <c r="O1309" s="1"/>
      <c r="P1309" s="1"/>
      <c r="Q1309" s="1"/>
      <c r="R1309" s="1"/>
      <c r="S1309" s="1"/>
      <c r="T1309" s="1"/>
      <c r="U1309" s="1"/>
      <c r="V1309" s="1"/>
    </row>
    <row r="1310" spans="7:22">
      <c r="G1310" s="1"/>
      <c r="H1310" s="1"/>
      <c r="K1310" s="1"/>
      <c r="L1310" s="1"/>
      <c r="O1310" s="1"/>
      <c r="P1310" s="1"/>
      <c r="Q1310" s="1"/>
      <c r="R1310" s="1"/>
      <c r="S1310" s="1"/>
      <c r="T1310" s="1"/>
      <c r="U1310" s="1"/>
      <c r="V1310" s="1"/>
    </row>
    <row r="1311" spans="7:22">
      <c r="G1311" s="1"/>
      <c r="H1311" s="1"/>
      <c r="K1311" s="1"/>
      <c r="L1311" s="1"/>
      <c r="O1311" s="1"/>
      <c r="P1311" s="1"/>
      <c r="Q1311" s="1"/>
      <c r="R1311" s="1"/>
      <c r="S1311" s="1"/>
      <c r="T1311" s="1"/>
      <c r="U1311" s="1"/>
      <c r="V1311" s="1"/>
    </row>
    <row r="1312" spans="7:22">
      <c r="G1312" s="1"/>
      <c r="H1312" s="1"/>
      <c r="K1312" s="1"/>
      <c r="L1312" s="1"/>
      <c r="O1312" s="1"/>
      <c r="P1312" s="1"/>
      <c r="Q1312" s="1"/>
      <c r="R1312" s="1"/>
      <c r="S1312" s="1"/>
      <c r="T1312" s="1"/>
      <c r="U1312" s="1"/>
      <c r="V1312" s="1"/>
    </row>
    <row r="1313" spans="7:22">
      <c r="G1313" s="1"/>
      <c r="H1313" s="1"/>
      <c r="K1313" s="1"/>
      <c r="L1313" s="1"/>
      <c r="O1313" s="1"/>
      <c r="P1313" s="1"/>
      <c r="Q1313" s="1"/>
      <c r="R1313" s="1"/>
      <c r="S1313" s="1"/>
      <c r="T1313" s="1"/>
      <c r="U1313" s="1"/>
      <c r="V1313" s="1"/>
    </row>
    <row r="1314" spans="7:22">
      <c r="G1314" s="1"/>
      <c r="H1314" s="1"/>
      <c r="K1314" s="1"/>
      <c r="L1314" s="1"/>
      <c r="O1314" s="1"/>
      <c r="P1314" s="1"/>
      <c r="Q1314" s="1"/>
      <c r="R1314" s="1"/>
      <c r="S1314" s="1"/>
      <c r="T1314" s="1"/>
      <c r="U1314" s="1"/>
      <c r="V1314" s="1"/>
    </row>
    <row r="1315" spans="7:22">
      <c r="G1315" s="1"/>
      <c r="H1315" s="1"/>
      <c r="K1315" s="1"/>
      <c r="L1315" s="1"/>
      <c r="O1315" s="1"/>
      <c r="P1315" s="1"/>
      <c r="Q1315" s="1"/>
      <c r="R1315" s="1"/>
      <c r="S1315" s="1"/>
      <c r="T1315" s="1"/>
      <c r="U1315" s="1"/>
      <c r="V1315" s="1"/>
    </row>
    <row r="1316" spans="7:22">
      <c r="G1316" s="1"/>
      <c r="H1316" s="1"/>
      <c r="K1316" s="1"/>
      <c r="L1316" s="1"/>
      <c r="O1316" s="1"/>
      <c r="P1316" s="1"/>
      <c r="Q1316" s="1"/>
      <c r="R1316" s="1"/>
      <c r="S1316" s="1"/>
      <c r="T1316" s="1"/>
      <c r="U1316" s="1"/>
      <c r="V1316" s="1"/>
    </row>
    <row r="1317" spans="7:22">
      <c r="G1317" s="1"/>
      <c r="H1317" s="1"/>
      <c r="K1317" s="1"/>
      <c r="L1317" s="1"/>
      <c r="O1317" s="1"/>
      <c r="P1317" s="1"/>
      <c r="Q1317" s="1"/>
      <c r="R1317" s="1"/>
      <c r="S1317" s="1"/>
      <c r="T1317" s="1"/>
      <c r="U1317" s="1"/>
      <c r="V1317" s="1"/>
    </row>
    <row r="1318" spans="7:22">
      <c r="G1318" s="1"/>
      <c r="H1318" s="1"/>
      <c r="K1318" s="1"/>
      <c r="L1318" s="1"/>
      <c r="O1318" s="1"/>
      <c r="P1318" s="1"/>
      <c r="Q1318" s="1"/>
      <c r="R1318" s="1"/>
      <c r="S1318" s="1"/>
      <c r="T1318" s="1"/>
      <c r="U1318" s="1"/>
      <c r="V1318" s="1"/>
    </row>
    <row r="1319" spans="7:22">
      <c r="G1319" s="1"/>
      <c r="H1319" s="1"/>
      <c r="K1319" s="1"/>
      <c r="L1319" s="1"/>
      <c r="O1319" s="1"/>
      <c r="P1319" s="1"/>
      <c r="Q1319" s="1"/>
      <c r="R1319" s="1"/>
      <c r="S1319" s="1"/>
      <c r="T1319" s="1"/>
      <c r="U1319" s="1"/>
      <c r="V1319" s="1"/>
    </row>
    <row r="1320" spans="7:22">
      <c r="G1320" s="1"/>
      <c r="H1320" s="1"/>
      <c r="K1320" s="1"/>
      <c r="L1320" s="1"/>
      <c r="O1320" s="1"/>
      <c r="P1320" s="1"/>
      <c r="Q1320" s="1"/>
      <c r="R1320" s="1"/>
      <c r="S1320" s="1"/>
      <c r="T1320" s="1"/>
      <c r="U1320" s="1"/>
      <c r="V1320" s="1"/>
    </row>
    <row r="1321" spans="7:22">
      <c r="G1321" s="1"/>
      <c r="H1321" s="1"/>
      <c r="K1321" s="1"/>
      <c r="L1321" s="1"/>
      <c r="O1321" s="1"/>
      <c r="P1321" s="1"/>
      <c r="Q1321" s="1"/>
      <c r="R1321" s="1"/>
      <c r="S1321" s="1"/>
      <c r="T1321" s="1"/>
      <c r="U1321" s="1"/>
      <c r="V1321" s="1"/>
    </row>
    <row r="1322" spans="7:22">
      <c r="G1322" s="1"/>
      <c r="H1322" s="1"/>
      <c r="K1322" s="1"/>
      <c r="L1322" s="1"/>
      <c r="O1322" s="1"/>
      <c r="P1322" s="1"/>
      <c r="Q1322" s="1"/>
      <c r="R1322" s="1"/>
      <c r="S1322" s="1"/>
      <c r="T1322" s="1"/>
      <c r="U1322" s="1"/>
      <c r="V1322" s="1"/>
    </row>
    <row r="1323" spans="7:22">
      <c r="G1323" s="1"/>
      <c r="H1323" s="1"/>
      <c r="K1323" s="1"/>
      <c r="L1323" s="1"/>
      <c r="O1323" s="1"/>
      <c r="P1323" s="1"/>
      <c r="Q1323" s="1"/>
      <c r="R1323" s="1"/>
      <c r="S1323" s="1"/>
      <c r="T1323" s="1"/>
      <c r="U1323" s="1"/>
      <c r="V1323" s="1"/>
    </row>
    <row r="1324" spans="7:22">
      <c r="G1324" s="1"/>
      <c r="H1324" s="1"/>
      <c r="K1324" s="1"/>
      <c r="L1324" s="1"/>
      <c r="O1324" s="1"/>
      <c r="P1324" s="1"/>
      <c r="Q1324" s="1"/>
      <c r="R1324" s="1"/>
      <c r="S1324" s="1"/>
      <c r="T1324" s="1"/>
      <c r="U1324" s="1"/>
      <c r="V1324" s="1"/>
    </row>
    <row r="1325" spans="7:22">
      <c r="G1325" s="1"/>
      <c r="H1325" s="1"/>
      <c r="K1325" s="1"/>
      <c r="L1325" s="1"/>
      <c r="O1325" s="1"/>
      <c r="P1325" s="1"/>
      <c r="Q1325" s="1"/>
      <c r="R1325" s="1"/>
      <c r="S1325" s="1"/>
      <c r="T1325" s="1"/>
      <c r="U1325" s="1"/>
      <c r="V1325" s="1"/>
    </row>
    <row r="1326" spans="7:22">
      <c r="G1326" s="1"/>
      <c r="H1326" s="1"/>
      <c r="K1326" s="1"/>
      <c r="L1326" s="1"/>
      <c r="O1326" s="1"/>
      <c r="P1326" s="1"/>
      <c r="Q1326" s="1"/>
      <c r="R1326" s="1"/>
      <c r="S1326" s="1"/>
      <c r="T1326" s="1"/>
      <c r="U1326" s="1"/>
      <c r="V1326" s="1"/>
    </row>
    <row r="1327" spans="7:22">
      <c r="G1327" s="1"/>
      <c r="H1327" s="1"/>
      <c r="K1327" s="1"/>
      <c r="L1327" s="1"/>
      <c r="O1327" s="1"/>
      <c r="P1327" s="1"/>
      <c r="Q1327" s="1"/>
      <c r="R1327" s="1"/>
      <c r="S1327" s="1"/>
      <c r="T1327" s="1"/>
      <c r="U1327" s="1"/>
      <c r="V1327" s="1"/>
    </row>
    <row r="1328" spans="7:22">
      <c r="G1328" s="1"/>
      <c r="H1328" s="1"/>
      <c r="K1328" s="1"/>
      <c r="L1328" s="1"/>
      <c r="O1328" s="1"/>
      <c r="P1328" s="1"/>
      <c r="Q1328" s="1"/>
      <c r="R1328" s="1"/>
      <c r="S1328" s="1"/>
      <c r="T1328" s="1"/>
      <c r="U1328" s="1"/>
      <c r="V1328" s="1"/>
    </row>
    <row r="1329" spans="7:22">
      <c r="G1329" s="1"/>
      <c r="H1329" s="1"/>
      <c r="K1329" s="1"/>
      <c r="L1329" s="1"/>
      <c r="O1329" s="1"/>
      <c r="P1329" s="1"/>
      <c r="Q1329" s="1"/>
      <c r="R1329" s="1"/>
      <c r="S1329" s="1"/>
      <c r="T1329" s="1"/>
      <c r="U1329" s="1"/>
      <c r="V1329" s="1"/>
    </row>
    <row r="1330" spans="7:22">
      <c r="G1330" s="1"/>
      <c r="H1330" s="1"/>
      <c r="K1330" s="1"/>
      <c r="L1330" s="1"/>
      <c r="O1330" s="1"/>
      <c r="P1330" s="1"/>
      <c r="Q1330" s="1"/>
      <c r="R1330" s="1"/>
      <c r="S1330" s="1"/>
      <c r="T1330" s="1"/>
      <c r="U1330" s="1"/>
      <c r="V1330" s="1"/>
    </row>
    <row r="1331" spans="7:22">
      <c r="G1331" s="1"/>
      <c r="H1331" s="1"/>
      <c r="K1331" s="1"/>
      <c r="L1331" s="1"/>
      <c r="O1331" s="1"/>
      <c r="P1331" s="1"/>
      <c r="Q1331" s="1"/>
      <c r="R1331" s="1"/>
      <c r="S1331" s="1"/>
      <c r="T1331" s="1"/>
      <c r="U1331" s="1"/>
      <c r="V1331" s="1"/>
    </row>
    <row r="1332" spans="7:22">
      <c r="G1332" s="1"/>
      <c r="H1332" s="1"/>
      <c r="K1332" s="1"/>
      <c r="L1332" s="1"/>
      <c r="O1332" s="1"/>
      <c r="P1332" s="1"/>
      <c r="Q1332" s="1"/>
      <c r="R1332" s="1"/>
      <c r="S1332" s="1"/>
      <c r="T1332" s="1"/>
      <c r="U1332" s="1"/>
      <c r="V1332" s="1"/>
    </row>
    <row r="1333" spans="7:22">
      <c r="G1333" s="1"/>
      <c r="H1333" s="1"/>
      <c r="K1333" s="1"/>
      <c r="L1333" s="1"/>
      <c r="O1333" s="1"/>
      <c r="P1333" s="1"/>
      <c r="Q1333" s="1"/>
      <c r="R1333" s="1"/>
      <c r="S1333" s="1"/>
      <c r="T1333" s="1"/>
      <c r="U1333" s="1"/>
      <c r="V1333" s="1"/>
    </row>
    <row r="1334" spans="7:22">
      <c r="G1334" s="1"/>
      <c r="H1334" s="1"/>
      <c r="K1334" s="1"/>
      <c r="L1334" s="1"/>
      <c r="O1334" s="1"/>
      <c r="P1334" s="1"/>
      <c r="Q1334" s="1"/>
      <c r="R1334" s="1"/>
      <c r="S1334" s="1"/>
      <c r="T1334" s="1"/>
      <c r="U1334" s="1"/>
      <c r="V1334" s="1"/>
    </row>
    <row r="1335" spans="7:22">
      <c r="G1335" s="1"/>
      <c r="H1335" s="1"/>
      <c r="K1335" s="1"/>
      <c r="L1335" s="1"/>
      <c r="O1335" s="1"/>
      <c r="P1335" s="1"/>
      <c r="Q1335" s="1"/>
      <c r="R1335" s="1"/>
      <c r="S1335" s="1"/>
      <c r="T1335" s="1"/>
      <c r="U1335" s="1"/>
      <c r="V1335" s="1"/>
    </row>
    <row r="1336" spans="7:22">
      <c r="G1336" s="1"/>
      <c r="H1336" s="1"/>
      <c r="K1336" s="1"/>
      <c r="L1336" s="1"/>
      <c r="O1336" s="1"/>
      <c r="P1336" s="1"/>
      <c r="Q1336" s="1"/>
      <c r="R1336" s="1"/>
      <c r="S1336" s="1"/>
      <c r="T1336" s="1"/>
      <c r="U1336" s="1"/>
      <c r="V1336" s="1"/>
    </row>
    <row r="1337" spans="7:22">
      <c r="G1337" s="1"/>
      <c r="H1337" s="1"/>
      <c r="K1337" s="1"/>
      <c r="L1337" s="1"/>
      <c r="O1337" s="1"/>
      <c r="P1337" s="1"/>
      <c r="Q1337" s="1"/>
      <c r="R1337" s="1"/>
      <c r="S1337" s="1"/>
      <c r="T1337" s="1"/>
      <c r="U1337" s="1"/>
      <c r="V1337" s="1"/>
    </row>
    <row r="1338" spans="7:22">
      <c r="G1338" s="1"/>
      <c r="H1338" s="1"/>
      <c r="K1338" s="1"/>
      <c r="L1338" s="1"/>
      <c r="O1338" s="1"/>
      <c r="P1338" s="1"/>
      <c r="Q1338" s="1"/>
      <c r="R1338" s="1"/>
      <c r="S1338" s="1"/>
      <c r="T1338" s="1"/>
      <c r="U1338" s="1"/>
      <c r="V1338" s="1"/>
    </row>
    <row r="1339" spans="7:22">
      <c r="G1339" s="1"/>
      <c r="H1339" s="1"/>
      <c r="K1339" s="1"/>
      <c r="L1339" s="1"/>
      <c r="O1339" s="1"/>
      <c r="P1339" s="1"/>
      <c r="Q1339" s="1"/>
      <c r="R1339" s="1"/>
      <c r="S1339" s="1"/>
      <c r="T1339" s="1"/>
      <c r="U1339" s="1"/>
      <c r="V1339" s="1"/>
    </row>
    <row r="1340" spans="7:22">
      <c r="G1340" s="1"/>
      <c r="H1340" s="1"/>
      <c r="K1340" s="1"/>
      <c r="L1340" s="1"/>
      <c r="O1340" s="1"/>
      <c r="P1340" s="1"/>
      <c r="Q1340" s="1"/>
      <c r="R1340" s="1"/>
      <c r="S1340" s="1"/>
      <c r="T1340" s="1"/>
      <c r="U1340" s="1"/>
      <c r="V1340" s="1"/>
    </row>
    <row r="1341" spans="7:22">
      <c r="G1341" s="1"/>
      <c r="H1341" s="1"/>
      <c r="K1341" s="1"/>
      <c r="L1341" s="1"/>
      <c r="O1341" s="1"/>
      <c r="P1341" s="1"/>
      <c r="Q1341" s="1"/>
      <c r="R1341" s="1"/>
      <c r="S1341" s="1"/>
      <c r="T1341" s="1"/>
      <c r="U1341" s="1"/>
      <c r="V1341" s="1"/>
    </row>
    <row r="1342" spans="7:22">
      <c r="G1342" s="1"/>
      <c r="H1342" s="1"/>
      <c r="K1342" s="1"/>
      <c r="L1342" s="1"/>
      <c r="O1342" s="1"/>
      <c r="P1342" s="1"/>
      <c r="Q1342" s="1"/>
      <c r="R1342" s="1"/>
      <c r="S1342" s="1"/>
      <c r="T1342" s="1"/>
      <c r="U1342" s="1"/>
      <c r="V1342" s="1"/>
    </row>
    <row r="1343" spans="7:22">
      <c r="G1343" s="1"/>
      <c r="H1343" s="1"/>
      <c r="K1343" s="1"/>
      <c r="L1343" s="1"/>
      <c r="O1343" s="1"/>
      <c r="P1343" s="1"/>
      <c r="Q1343" s="1"/>
      <c r="R1343" s="1"/>
      <c r="S1343" s="1"/>
      <c r="T1343" s="1"/>
      <c r="U1343" s="1"/>
      <c r="V1343" s="1"/>
    </row>
    <row r="1344" spans="7:22">
      <c r="G1344" s="1"/>
      <c r="H1344" s="1"/>
      <c r="K1344" s="1"/>
      <c r="L1344" s="1"/>
      <c r="O1344" s="1"/>
      <c r="P1344" s="1"/>
      <c r="Q1344" s="1"/>
      <c r="R1344" s="1"/>
      <c r="S1344" s="1"/>
      <c r="T1344" s="1"/>
      <c r="U1344" s="1"/>
      <c r="V1344" s="1"/>
    </row>
    <row r="1345" spans="7:22">
      <c r="G1345" s="1"/>
      <c r="H1345" s="1"/>
      <c r="K1345" s="1"/>
      <c r="L1345" s="1"/>
      <c r="O1345" s="1"/>
      <c r="P1345" s="1"/>
      <c r="Q1345" s="1"/>
      <c r="R1345" s="1"/>
      <c r="S1345" s="1"/>
      <c r="T1345" s="1"/>
      <c r="U1345" s="1"/>
      <c r="V1345" s="1"/>
    </row>
    <row r="1346" spans="7:22">
      <c r="G1346" s="1"/>
      <c r="H1346" s="1"/>
      <c r="K1346" s="1"/>
      <c r="L1346" s="1"/>
      <c r="O1346" s="1"/>
      <c r="P1346" s="1"/>
      <c r="Q1346" s="1"/>
      <c r="R1346" s="1"/>
      <c r="S1346" s="1"/>
      <c r="T1346" s="1"/>
      <c r="U1346" s="1"/>
      <c r="V1346" s="1"/>
    </row>
    <row r="1347" spans="7:22">
      <c r="G1347" s="1"/>
      <c r="H1347" s="1"/>
      <c r="K1347" s="1"/>
      <c r="L1347" s="1"/>
      <c r="O1347" s="1"/>
      <c r="P1347" s="1"/>
      <c r="Q1347" s="1"/>
      <c r="R1347" s="1"/>
      <c r="S1347" s="1"/>
      <c r="T1347" s="1"/>
      <c r="U1347" s="1"/>
      <c r="V1347" s="1"/>
    </row>
    <row r="1348" spans="7:22">
      <c r="G1348" s="1"/>
      <c r="H1348" s="1"/>
      <c r="K1348" s="1"/>
      <c r="L1348" s="1"/>
      <c r="O1348" s="1"/>
      <c r="P1348" s="1"/>
      <c r="Q1348" s="1"/>
      <c r="R1348" s="1"/>
      <c r="S1348" s="1"/>
      <c r="T1348" s="1"/>
      <c r="U1348" s="1"/>
      <c r="V1348" s="1"/>
    </row>
    <row r="1349" spans="7:22">
      <c r="G1349" s="1"/>
      <c r="H1349" s="1"/>
      <c r="K1349" s="1"/>
      <c r="L1349" s="1"/>
      <c r="O1349" s="1"/>
      <c r="P1349" s="1"/>
      <c r="Q1349" s="1"/>
      <c r="R1349" s="1"/>
      <c r="S1349" s="1"/>
      <c r="T1349" s="1"/>
      <c r="U1349" s="1"/>
      <c r="V1349" s="1"/>
    </row>
    <row r="1350" spans="7:22">
      <c r="G1350" s="1"/>
      <c r="H1350" s="1"/>
      <c r="K1350" s="1"/>
      <c r="L1350" s="1"/>
      <c r="O1350" s="1"/>
      <c r="P1350" s="1"/>
      <c r="Q1350" s="1"/>
      <c r="R1350" s="1"/>
      <c r="S1350" s="1"/>
      <c r="T1350" s="1"/>
      <c r="U1350" s="1"/>
      <c r="V1350" s="1"/>
    </row>
    <row r="1351" spans="7:22">
      <c r="G1351" s="1"/>
      <c r="H1351" s="1"/>
      <c r="K1351" s="1"/>
      <c r="L1351" s="1"/>
      <c r="O1351" s="1"/>
      <c r="P1351" s="1"/>
      <c r="Q1351" s="1"/>
      <c r="R1351" s="1"/>
      <c r="S1351" s="1"/>
      <c r="T1351" s="1"/>
      <c r="U1351" s="1"/>
      <c r="V1351" s="1"/>
    </row>
    <row r="1352" spans="7:22">
      <c r="G1352" s="1"/>
      <c r="H1352" s="1"/>
      <c r="K1352" s="1"/>
      <c r="L1352" s="1"/>
      <c r="O1352" s="1"/>
      <c r="P1352" s="1"/>
      <c r="Q1352" s="1"/>
      <c r="R1352" s="1"/>
      <c r="S1352" s="1"/>
      <c r="T1352" s="1"/>
      <c r="U1352" s="1"/>
      <c r="V1352" s="1"/>
    </row>
    <row r="1353" spans="7:22">
      <c r="G1353" s="1"/>
      <c r="H1353" s="1"/>
      <c r="K1353" s="1"/>
      <c r="L1353" s="1"/>
      <c r="O1353" s="1"/>
      <c r="P1353" s="1"/>
      <c r="Q1353" s="1"/>
      <c r="R1353" s="1"/>
      <c r="S1353" s="1"/>
      <c r="T1353" s="1"/>
      <c r="U1353" s="1"/>
      <c r="V1353" s="1"/>
    </row>
    <row r="1354" spans="7:22">
      <c r="G1354" s="1"/>
      <c r="H1354" s="1"/>
      <c r="K1354" s="1"/>
      <c r="L1354" s="1"/>
      <c r="O1354" s="1"/>
      <c r="P1354" s="1"/>
      <c r="Q1354" s="1"/>
      <c r="R1354" s="1"/>
      <c r="S1354" s="1"/>
      <c r="T1354" s="1"/>
      <c r="U1354" s="1"/>
      <c r="V1354" s="1"/>
    </row>
    <row r="1355" spans="7:22">
      <c r="G1355" s="1"/>
      <c r="H1355" s="1"/>
      <c r="K1355" s="1"/>
      <c r="L1355" s="1"/>
      <c r="O1355" s="1"/>
      <c r="P1355" s="1"/>
      <c r="Q1355" s="1"/>
      <c r="R1355" s="1"/>
      <c r="S1355" s="1"/>
      <c r="T1355" s="1"/>
      <c r="U1355" s="1"/>
      <c r="V1355" s="1"/>
    </row>
    <row r="1356" spans="7:22">
      <c r="G1356" s="1"/>
      <c r="H1356" s="1"/>
      <c r="K1356" s="1"/>
      <c r="L1356" s="1"/>
      <c r="O1356" s="1"/>
      <c r="P1356" s="1"/>
      <c r="Q1356" s="1"/>
      <c r="R1356" s="1"/>
      <c r="S1356" s="1"/>
      <c r="T1356" s="1"/>
      <c r="U1356" s="1"/>
      <c r="V1356" s="1"/>
    </row>
    <row r="1357" spans="7:22">
      <c r="G1357" s="1"/>
      <c r="H1357" s="1"/>
      <c r="K1357" s="1"/>
      <c r="L1357" s="1"/>
      <c r="O1357" s="1"/>
      <c r="P1357" s="1"/>
      <c r="Q1357" s="1"/>
      <c r="R1357" s="1"/>
      <c r="S1357" s="1"/>
      <c r="T1357" s="1"/>
      <c r="U1357" s="1"/>
      <c r="V1357" s="1"/>
    </row>
    <row r="1358" spans="7:22">
      <c r="G1358" s="1"/>
      <c r="H1358" s="1"/>
      <c r="K1358" s="1"/>
      <c r="L1358" s="1"/>
      <c r="O1358" s="1"/>
      <c r="P1358" s="1"/>
      <c r="Q1358" s="1"/>
      <c r="R1358" s="1"/>
      <c r="S1358" s="1"/>
      <c r="T1358" s="1"/>
      <c r="U1358" s="1"/>
      <c r="V1358" s="1"/>
    </row>
    <row r="1359" spans="7:22">
      <c r="G1359" s="1"/>
      <c r="H1359" s="1"/>
      <c r="K1359" s="1"/>
      <c r="L1359" s="1"/>
      <c r="O1359" s="1"/>
      <c r="P1359" s="1"/>
      <c r="Q1359" s="1"/>
      <c r="R1359" s="1"/>
      <c r="S1359" s="1"/>
      <c r="T1359" s="1"/>
      <c r="U1359" s="1"/>
      <c r="V1359" s="1"/>
    </row>
    <row r="1360" spans="7:22">
      <c r="G1360" s="1"/>
      <c r="H1360" s="1"/>
      <c r="K1360" s="1"/>
      <c r="L1360" s="1"/>
      <c r="O1360" s="1"/>
      <c r="P1360" s="1"/>
      <c r="Q1360" s="1"/>
      <c r="R1360" s="1"/>
      <c r="S1360" s="1"/>
      <c r="T1360" s="1"/>
      <c r="U1360" s="1"/>
      <c r="V1360" s="1"/>
    </row>
    <row r="1361" spans="7:22">
      <c r="G1361" s="1"/>
      <c r="H1361" s="1"/>
      <c r="K1361" s="1"/>
      <c r="L1361" s="1"/>
      <c r="O1361" s="1"/>
      <c r="P1361" s="1"/>
      <c r="Q1361" s="1"/>
      <c r="R1361" s="1"/>
      <c r="S1361" s="1"/>
      <c r="T1361" s="1"/>
      <c r="U1361" s="1"/>
      <c r="V1361" s="1"/>
    </row>
    <row r="1362" spans="7:22">
      <c r="G1362" s="1"/>
      <c r="H1362" s="1"/>
      <c r="K1362" s="1"/>
      <c r="L1362" s="1"/>
      <c r="O1362" s="1"/>
      <c r="P1362" s="1"/>
      <c r="Q1362" s="1"/>
      <c r="R1362" s="1"/>
      <c r="S1362" s="1"/>
      <c r="T1362" s="1"/>
      <c r="U1362" s="1"/>
      <c r="V1362" s="1"/>
    </row>
    <row r="1363" spans="7:22">
      <c r="G1363" s="1"/>
      <c r="H1363" s="1"/>
      <c r="K1363" s="1"/>
      <c r="L1363" s="1"/>
      <c r="O1363" s="1"/>
      <c r="P1363" s="1"/>
      <c r="Q1363" s="1"/>
      <c r="R1363" s="1"/>
      <c r="S1363" s="1"/>
      <c r="T1363" s="1"/>
      <c r="U1363" s="1"/>
      <c r="V1363" s="1"/>
    </row>
    <row r="1364" spans="7:22">
      <c r="G1364" s="1"/>
      <c r="H1364" s="1"/>
      <c r="K1364" s="1"/>
      <c r="L1364" s="1"/>
      <c r="O1364" s="1"/>
      <c r="P1364" s="1"/>
      <c r="Q1364" s="1"/>
      <c r="R1364" s="1"/>
      <c r="S1364" s="1"/>
      <c r="T1364" s="1"/>
      <c r="U1364" s="1"/>
      <c r="V1364" s="1"/>
    </row>
    <row r="1365" spans="7:22">
      <c r="G1365" s="1"/>
      <c r="H1365" s="1"/>
      <c r="K1365" s="1"/>
      <c r="L1365" s="1"/>
      <c r="O1365" s="1"/>
      <c r="P1365" s="1"/>
      <c r="Q1365" s="1"/>
      <c r="R1365" s="1"/>
      <c r="S1365" s="1"/>
      <c r="T1365" s="1"/>
      <c r="U1365" s="1"/>
      <c r="V1365" s="1"/>
    </row>
    <row r="1366" spans="7:22">
      <c r="G1366" s="1"/>
      <c r="H1366" s="1"/>
      <c r="K1366" s="1"/>
      <c r="L1366" s="1"/>
      <c r="O1366" s="1"/>
      <c r="P1366" s="1"/>
      <c r="Q1366" s="1"/>
      <c r="R1366" s="1"/>
      <c r="S1366" s="1"/>
      <c r="T1366" s="1"/>
      <c r="U1366" s="1"/>
      <c r="V1366" s="1"/>
    </row>
    <row r="1367" spans="7:22">
      <c r="G1367" s="1"/>
      <c r="H1367" s="1"/>
      <c r="K1367" s="1"/>
      <c r="L1367" s="1"/>
      <c r="O1367" s="1"/>
      <c r="P1367" s="1"/>
      <c r="Q1367" s="1"/>
      <c r="R1367" s="1"/>
      <c r="S1367" s="1"/>
      <c r="T1367" s="1"/>
      <c r="U1367" s="1"/>
      <c r="V1367" s="1"/>
    </row>
    <row r="1368" spans="7:22">
      <c r="G1368" s="1"/>
      <c r="H1368" s="1"/>
      <c r="K1368" s="1"/>
      <c r="L1368" s="1"/>
      <c r="O1368" s="1"/>
      <c r="P1368" s="1"/>
      <c r="Q1368" s="1"/>
      <c r="R1368" s="1"/>
      <c r="S1368" s="1"/>
      <c r="T1368" s="1"/>
      <c r="U1368" s="1"/>
      <c r="V1368" s="1"/>
    </row>
    <row r="1369" spans="7:22">
      <c r="G1369" s="1"/>
      <c r="H1369" s="1"/>
      <c r="K1369" s="1"/>
      <c r="L1369" s="1"/>
      <c r="O1369" s="1"/>
      <c r="P1369" s="1"/>
      <c r="Q1369" s="1"/>
      <c r="R1369" s="1"/>
      <c r="S1369" s="1"/>
      <c r="T1369" s="1"/>
      <c r="U1369" s="1"/>
      <c r="V1369" s="1"/>
    </row>
    <row r="1370" spans="7:22">
      <c r="G1370" s="1"/>
      <c r="H1370" s="1"/>
      <c r="K1370" s="1"/>
      <c r="L1370" s="1"/>
      <c r="O1370" s="1"/>
      <c r="P1370" s="1"/>
      <c r="Q1370" s="1"/>
      <c r="R1370" s="1"/>
      <c r="S1370" s="1"/>
      <c r="T1370" s="1"/>
      <c r="U1370" s="1"/>
      <c r="V1370" s="1"/>
    </row>
    <row r="1371" spans="7:22">
      <c r="G1371" s="1"/>
      <c r="H1371" s="1"/>
      <c r="K1371" s="1"/>
      <c r="L1371" s="1"/>
      <c r="O1371" s="1"/>
      <c r="P1371" s="1"/>
      <c r="Q1371" s="1"/>
      <c r="R1371" s="1"/>
      <c r="S1371" s="1"/>
      <c r="T1371" s="1"/>
      <c r="U1371" s="1"/>
      <c r="V1371" s="1"/>
    </row>
    <row r="1372" spans="7:22">
      <c r="G1372" s="1"/>
      <c r="H1372" s="1"/>
      <c r="K1372" s="1"/>
      <c r="L1372" s="1"/>
      <c r="O1372" s="1"/>
      <c r="P1372" s="1"/>
      <c r="Q1372" s="1"/>
      <c r="R1372" s="1"/>
      <c r="S1372" s="1"/>
      <c r="T1372" s="1"/>
      <c r="U1372" s="1"/>
      <c r="V1372" s="1"/>
    </row>
    <row r="1373" spans="7:22">
      <c r="G1373" s="1"/>
      <c r="H1373" s="1"/>
      <c r="K1373" s="1"/>
      <c r="L1373" s="1"/>
      <c r="O1373" s="1"/>
      <c r="P1373" s="1"/>
      <c r="Q1373" s="1"/>
      <c r="R1373" s="1"/>
      <c r="S1373" s="1"/>
      <c r="T1373" s="1"/>
      <c r="U1373" s="1"/>
      <c r="V1373" s="1"/>
    </row>
    <row r="1374" spans="7:22">
      <c r="G1374" s="1"/>
      <c r="H1374" s="1"/>
      <c r="K1374" s="1"/>
      <c r="L1374" s="1"/>
      <c r="O1374" s="1"/>
      <c r="P1374" s="1"/>
      <c r="Q1374" s="1"/>
      <c r="R1374" s="1"/>
      <c r="S1374" s="1"/>
      <c r="T1374" s="1"/>
      <c r="U1374" s="1"/>
      <c r="V1374" s="1"/>
    </row>
    <row r="1375" spans="7:22">
      <c r="G1375" s="1"/>
      <c r="H1375" s="1"/>
      <c r="K1375" s="1"/>
      <c r="L1375" s="1"/>
      <c r="O1375" s="1"/>
      <c r="P1375" s="1"/>
      <c r="Q1375" s="1"/>
      <c r="R1375" s="1"/>
      <c r="S1375" s="1"/>
      <c r="T1375" s="1"/>
      <c r="U1375" s="1"/>
      <c r="V1375" s="1"/>
    </row>
    <row r="1376" spans="7:22">
      <c r="G1376" s="1"/>
      <c r="H1376" s="1"/>
      <c r="K1376" s="1"/>
      <c r="L1376" s="1"/>
      <c r="O1376" s="1"/>
      <c r="P1376" s="1"/>
      <c r="Q1376" s="1"/>
      <c r="R1376" s="1"/>
      <c r="S1376" s="1"/>
      <c r="T1376" s="1"/>
      <c r="U1376" s="1"/>
      <c r="V1376" s="1"/>
    </row>
    <row r="1377" spans="7:22">
      <c r="G1377" s="1"/>
      <c r="H1377" s="1"/>
      <c r="K1377" s="1"/>
      <c r="L1377" s="1"/>
      <c r="O1377" s="1"/>
      <c r="P1377" s="1"/>
      <c r="Q1377" s="1"/>
      <c r="R1377" s="1"/>
      <c r="S1377" s="1"/>
      <c r="T1377" s="1"/>
      <c r="U1377" s="1"/>
      <c r="V1377" s="1"/>
    </row>
    <row r="1378" spans="7:22">
      <c r="G1378" s="1"/>
      <c r="H1378" s="1"/>
      <c r="K1378" s="1"/>
      <c r="L1378" s="1"/>
      <c r="O1378" s="1"/>
      <c r="P1378" s="1"/>
      <c r="Q1378" s="1"/>
      <c r="R1378" s="1"/>
      <c r="S1378" s="1"/>
      <c r="T1378" s="1"/>
      <c r="U1378" s="1"/>
      <c r="V1378" s="1"/>
    </row>
    <row r="1379" spans="7:22">
      <c r="G1379" s="1"/>
      <c r="H1379" s="1"/>
      <c r="K1379" s="1"/>
      <c r="L1379" s="1"/>
      <c r="O1379" s="1"/>
      <c r="P1379" s="1"/>
      <c r="Q1379" s="1"/>
      <c r="R1379" s="1"/>
      <c r="S1379" s="1"/>
      <c r="T1379" s="1"/>
      <c r="U1379" s="1"/>
      <c r="V1379" s="1"/>
    </row>
    <row r="1380" spans="7:22">
      <c r="G1380" s="1"/>
      <c r="H1380" s="1"/>
      <c r="K1380" s="1"/>
      <c r="L1380" s="1"/>
      <c r="O1380" s="1"/>
      <c r="P1380" s="1"/>
      <c r="Q1380" s="1"/>
      <c r="R1380" s="1"/>
      <c r="S1380" s="1"/>
      <c r="T1380" s="1"/>
      <c r="U1380" s="1"/>
      <c r="V1380" s="1"/>
    </row>
    <row r="1381" spans="7:22">
      <c r="G1381" s="1"/>
      <c r="H1381" s="1"/>
      <c r="K1381" s="1"/>
      <c r="L1381" s="1"/>
      <c r="O1381" s="1"/>
      <c r="P1381" s="1"/>
      <c r="Q1381" s="1"/>
      <c r="R1381" s="1"/>
      <c r="S1381" s="1"/>
      <c r="T1381" s="1"/>
      <c r="U1381" s="1"/>
      <c r="V1381" s="1"/>
    </row>
    <row r="1382" spans="7:22">
      <c r="G1382" s="1"/>
      <c r="H1382" s="1"/>
      <c r="K1382" s="1"/>
      <c r="L1382" s="1"/>
      <c r="O1382" s="1"/>
      <c r="P1382" s="1"/>
      <c r="Q1382" s="1"/>
      <c r="R1382" s="1"/>
      <c r="S1382" s="1"/>
      <c r="T1382" s="1"/>
      <c r="U1382" s="1"/>
      <c r="V1382" s="1"/>
    </row>
    <row r="1383" spans="7:22">
      <c r="G1383" s="1"/>
      <c r="H1383" s="1"/>
      <c r="K1383" s="1"/>
      <c r="L1383" s="1"/>
      <c r="O1383" s="1"/>
      <c r="P1383" s="1"/>
      <c r="Q1383" s="1"/>
      <c r="R1383" s="1"/>
      <c r="S1383" s="1"/>
      <c r="T1383" s="1"/>
      <c r="U1383" s="1"/>
      <c r="V1383" s="1"/>
    </row>
    <row r="1384" spans="7:22">
      <c r="G1384" s="1"/>
      <c r="H1384" s="1"/>
      <c r="K1384" s="1"/>
      <c r="L1384" s="1"/>
      <c r="O1384" s="1"/>
      <c r="P1384" s="1"/>
      <c r="Q1384" s="1"/>
      <c r="R1384" s="1"/>
      <c r="S1384" s="1"/>
      <c r="T1384" s="1"/>
      <c r="U1384" s="1"/>
      <c r="V1384" s="1"/>
    </row>
    <row r="1385" spans="7:22">
      <c r="G1385" s="1"/>
      <c r="H1385" s="1"/>
      <c r="K1385" s="1"/>
      <c r="L1385" s="1"/>
      <c r="O1385" s="1"/>
      <c r="P1385" s="1"/>
      <c r="Q1385" s="1"/>
      <c r="R1385" s="1"/>
      <c r="S1385" s="1"/>
      <c r="T1385" s="1"/>
      <c r="U1385" s="1"/>
      <c r="V1385" s="1"/>
    </row>
    <row r="1386" spans="7:22">
      <c r="G1386" s="1"/>
      <c r="H1386" s="1"/>
      <c r="K1386" s="1"/>
      <c r="L1386" s="1"/>
      <c r="O1386" s="1"/>
      <c r="P1386" s="1"/>
      <c r="Q1386" s="1"/>
      <c r="R1386" s="1"/>
      <c r="S1386" s="1"/>
      <c r="T1386" s="1"/>
      <c r="U1386" s="1"/>
      <c r="V1386" s="1"/>
    </row>
    <row r="1387" spans="7:22">
      <c r="G1387" s="1"/>
      <c r="H1387" s="1"/>
      <c r="K1387" s="1"/>
      <c r="L1387" s="1"/>
      <c r="O1387" s="1"/>
      <c r="P1387" s="1"/>
      <c r="Q1387" s="1"/>
      <c r="R1387" s="1"/>
      <c r="S1387" s="1"/>
      <c r="T1387" s="1"/>
      <c r="U1387" s="1"/>
      <c r="V1387" s="1"/>
    </row>
    <row r="1388" spans="7:22">
      <c r="G1388" s="1"/>
      <c r="H1388" s="1"/>
      <c r="K1388" s="1"/>
      <c r="L1388" s="1"/>
      <c r="O1388" s="1"/>
      <c r="P1388" s="1"/>
      <c r="Q1388" s="1"/>
      <c r="R1388" s="1"/>
      <c r="S1388" s="1"/>
      <c r="T1388" s="1"/>
      <c r="U1388" s="1"/>
      <c r="V1388" s="1"/>
    </row>
    <row r="1389" spans="7:22">
      <c r="G1389" s="1"/>
      <c r="H1389" s="1"/>
      <c r="K1389" s="1"/>
      <c r="L1389" s="1"/>
      <c r="O1389" s="1"/>
      <c r="P1389" s="1"/>
      <c r="Q1389" s="1"/>
      <c r="R1389" s="1"/>
      <c r="S1389" s="1"/>
      <c r="T1389" s="1"/>
      <c r="U1389" s="1"/>
      <c r="V1389" s="1"/>
    </row>
    <row r="1390" spans="7:22">
      <c r="G1390" s="1"/>
      <c r="H1390" s="1"/>
      <c r="K1390" s="1"/>
      <c r="L1390" s="1"/>
      <c r="O1390" s="1"/>
      <c r="P1390" s="1"/>
      <c r="Q1390" s="1"/>
      <c r="R1390" s="1"/>
      <c r="S1390" s="1"/>
      <c r="T1390" s="1"/>
      <c r="U1390" s="1"/>
      <c r="V1390" s="1"/>
    </row>
    <row r="1391" spans="7:22">
      <c r="G1391" s="1"/>
      <c r="H1391" s="1"/>
      <c r="K1391" s="1"/>
      <c r="L1391" s="1"/>
      <c r="O1391" s="1"/>
      <c r="P1391" s="1"/>
      <c r="Q1391" s="1"/>
      <c r="R1391" s="1"/>
      <c r="S1391" s="1"/>
      <c r="T1391" s="1"/>
      <c r="U1391" s="1"/>
      <c r="V1391" s="1"/>
    </row>
    <row r="1392" spans="7:22">
      <c r="G1392" s="1"/>
      <c r="H1392" s="1"/>
      <c r="K1392" s="1"/>
      <c r="L1392" s="1"/>
      <c r="O1392" s="1"/>
      <c r="P1392" s="1"/>
      <c r="Q1392" s="1"/>
      <c r="R1392" s="1"/>
      <c r="S1392" s="1"/>
      <c r="T1392" s="1"/>
      <c r="U1392" s="1"/>
      <c r="V1392" s="1"/>
    </row>
    <row r="1393" spans="7:22">
      <c r="G1393" s="1"/>
      <c r="H1393" s="1"/>
      <c r="K1393" s="1"/>
      <c r="L1393" s="1"/>
      <c r="O1393" s="1"/>
      <c r="P1393" s="1"/>
      <c r="Q1393" s="1"/>
      <c r="R1393" s="1"/>
      <c r="S1393" s="1"/>
      <c r="T1393" s="1"/>
      <c r="U1393" s="1"/>
      <c r="V1393" s="1"/>
    </row>
    <row r="1394" spans="7:22">
      <c r="G1394" s="1"/>
      <c r="H1394" s="1"/>
      <c r="K1394" s="1"/>
      <c r="L1394" s="1"/>
      <c r="O1394" s="1"/>
      <c r="P1394" s="1"/>
      <c r="Q1394" s="1"/>
      <c r="R1394" s="1"/>
      <c r="S1394" s="1"/>
      <c r="T1394" s="1"/>
      <c r="U1394" s="1"/>
      <c r="V1394" s="1"/>
    </row>
    <row r="1395" spans="7:22">
      <c r="G1395" s="1"/>
      <c r="H1395" s="1"/>
      <c r="K1395" s="1"/>
      <c r="L1395" s="1"/>
      <c r="O1395" s="1"/>
      <c r="P1395" s="1"/>
      <c r="Q1395" s="1"/>
      <c r="R1395" s="1"/>
      <c r="S1395" s="1"/>
      <c r="T1395" s="1"/>
      <c r="U1395" s="1"/>
      <c r="V1395" s="1"/>
    </row>
    <row r="1396" spans="7:22">
      <c r="G1396" s="1"/>
      <c r="H1396" s="1"/>
      <c r="K1396" s="1"/>
      <c r="L1396" s="1"/>
      <c r="O1396" s="1"/>
      <c r="P1396" s="1"/>
      <c r="Q1396" s="1"/>
      <c r="R1396" s="1"/>
      <c r="S1396" s="1"/>
      <c r="T1396" s="1"/>
      <c r="U1396" s="1"/>
      <c r="V1396" s="1"/>
    </row>
    <row r="1397" spans="7:22">
      <c r="G1397" s="1"/>
      <c r="H1397" s="1"/>
      <c r="K1397" s="1"/>
      <c r="L1397" s="1"/>
      <c r="O1397" s="1"/>
      <c r="P1397" s="1"/>
      <c r="Q1397" s="1"/>
      <c r="R1397" s="1"/>
      <c r="S1397" s="1"/>
      <c r="T1397" s="1"/>
      <c r="U1397" s="1"/>
      <c r="V1397" s="1"/>
    </row>
    <row r="1398" spans="7:22">
      <c r="G1398" s="1"/>
      <c r="H1398" s="1"/>
      <c r="K1398" s="1"/>
      <c r="L1398" s="1"/>
      <c r="O1398" s="1"/>
      <c r="P1398" s="1"/>
      <c r="Q1398" s="1"/>
      <c r="R1398" s="1"/>
      <c r="S1398" s="1"/>
      <c r="T1398" s="1"/>
      <c r="U1398" s="1"/>
      <c r="V1398" s="1"/>
    </row>
    <row r="1399" spans="7:22">
      <c r="G1399" s="1"/>
      <c r="H1399" s="1"/>
      <c r="K1399" s="1"/>
      <c r="L1399" s="1"/>
      <c r="O1399" s="1"/>
      <c r="P1399" s="1"/>
      <c r="Q1399" s="1"/>
      <c r="R1399" s="1"/>
      <c r="S1399" s="1"/>
      <c r="T1399" s="1"/>
      <c r="U1399" s="1"/>
      <c r="V1399" s="1"/>
    </row>
    <row r="1400" spans="7:22">
      <c r="G1400" s="1"/>
      <c r="H1400" s="1"/>
      <c r="K1400" s="1"/>
      <c r="L1400" s="1"/>
      <c r="O1400" s="1"/>
      <c r="P1400" s="1"/>
      <c r="Q1400" s="1"/>
      <c r="R1400" s="1"/>
      <c r="S1400" s="1"/>
      <c r="T1400" s="1"/>
      <c r="U1400" s="1"/>
      <c r="V1400" s="1"/>
    </row>
    <row r="1401" spans="7:22">
      <c r="G1401" s="1"/>
      <c r="H1401" s="1"/>
      <c r="K1401" s="1"/>
      <c r="L1401" s="1"/>
      <c r="O1401" s="1"/>
      <c r="P1401" s="1"/>
      <c r="Q1401" s="1"/>
      <c r="R1401" s="1"/>
      <c r="S1401" s="1"/>
      <c r="T1401" s="1"/>
      <c r="U1401" s="1"/>
      <c r="V1401" s="1"/>
    </row>
    <row r="1402" spans="7:22">
      <c r="G1402" s="1"/>
      <c r="H1402" s="1"/>
      <c r="K1402" s="1"/>
      <c r="L1402" s="1"/>
      <c r="O1402" s="1"/>
      <c r="P1402" s="1"/>
      <c r="Q1402" s="1"/>
      <c r="R1402" s="1"/>
      <c r="S1402" s="1"/>
      <c r="T1402" s="1"/>
      <c r="U1402" s="1"/>
      <c r="V1402" s="1"/>
    </row>
    <row r="1403" spans="7:22">
      <c r="G1403" s="1"/>
      <c r="H1403" s="1"/>
      <c r="K1403" s="1"/>
      <c r="L1403" s="1"/>
      <c r="O1403" s="1"/>
      <c r="P1403" s="1"/>
      <c r="Q1403" s="1"/>
      <c r="R1403" s="1"/>
      <c r="S1403" s="1"/>
      <c r="T1403" s="1"/>
      <c r="U1403" s="1"/>
      <c r="V1403" s="1"/>
    </row>
    <row r="1404" spans="7:22">
      <c r="G1404" s="1"/>
      <c r="H1404" s="1"/>
      <c r="K1404" s="1"/>
      <c r="L1404" s="1"/>
      <c r="O1404" s="1"/>
      <c r="P1404" s="1"/>
      <c r="Q1404" s="1"/>
      <c r="R1404" s="1"/>
      <c r="S1404" s="1"/>
      <c r="T1404" s="1"/>
      <c r="U1404" s="1"/>
      <c r="V1404" s="1"/>
    </row>
    <row r="1405" spans="7:22">
      <c r="G1405" s="1"/>
      <c r="H1405" s="1"/>
      <c r="K1405" s="1"/>
      <c r="L1405" s="1"/>
      <c r="O1405" s="1"/>
      <c r="P1405" s="1"/>
      <c r="Q1405" s="1"/>
      <c r="R1405" s="1"/>
      <c r="S1405" s="1"/>
      <c r="T1405" s="1"/>
      <c r="U1405" s="1"/>
      <c r="V1405" s="1"/>
    </row>
    <row r="1406" spans="7:22">
      <c r="G1406" s="1"/>
      <c r="H1406" s="1"/>
      <c r="K1406" s="1"/>
      <c r="L1406" s="1"/>
      <c r="O1406" s="1"/>
      <c r="P1406" s="1"/>
      <c r="Q1406" s="1"/>
      <c r="R1406" s="1"/>
      <c r="S1406" s="1"/>
      <c r="T1406" s="1"/>
      <c r="U1406" s="1"/>
      <c r="V1406" s="1"/>
    </row>
    <row r="1407" spans="7:22">
      <c r="G1407" s="1"/>
      <c r="H1407" s="1"/>
      <c r="K1407" s="1"/>
      <c r="L1407" s="1"/>
      <c r="O1407" s="1"/>
      <c r="P1407" s="1"/>
      <c r="Q1407" s="1"/>
      <c r="R1407" s="1"/>
      <c r="S1407" s="1"/>
      <c r="T1407" s="1"/>
      <c r="U1407" s="1"/>
      <c r="V1407" s="1"/>
    </row>
    <row r="1408" spans="7:22">
      <c r="G1408" s="1"/>
      <c r="H1408" s="1"/>
      <c r="K1408" s="1"/>
      <c r="L1408" s="1"/>
      <c r="O1408" s="1"/>
      <c r="P1408" s="1"/>
      <c r="Q1408" s="1"/>
      <c r="R1408" s="1"/>
      <c r="S1408" s="1"/>
      <c r="T1408" s="1"/>
      <c r="U1408" s="1"/>
      <c r="V1408" s="1"/>
    </row>
    <row r="1409" spans="7:22">
      <c r="G1409" s="1"/>
      <c r="H1409" s="1"/>
      <c r="K1409" s="1"/>
      <c r="L1409" s="1"/>
      <c r="O1409" s="1"/>
      <c r="P1409" s="1"/>
      <c r="Q1409" s="1"/>
      <c r="R1409" s="1"/>
      <c r="S1409" s="1"/>
      <c r="T1409" s="1"/>
      <c r="U1409" s="1"/>
      <c r="V1409" s="1"/>
    </row>
    <row r="1410" spans="7:22">
      <c r="G1410" s="1"/>
      <c r="H1410" s="1"/>
      <c r="K1410" s="1"/>
      <c r="L1410" s="1"/>
      <c r="O1410" s="1"/>
      <c r="P1410" s="1"/>
      <c r="Q1410" s="1"/>
      <c r="R1410" s="1"/>
      <c r="S1410" s="1"/>
      <c r="T1410" s="1"/>
      <c r="U1410" s="1"/>
      <c r="V1410" s="1"/>
    </row>
    <row r="1411" spans="7:22">
      <c r="G1411" s="1"/>
      <c r="H1411" s="1"/>
      <c r="K1411" s="1"/>
      <c r="L1411" s="1"/>
      <c r="O1411" s="1"/>
      <c r="P1411" s="1"/>
      <c r="Q1411" s="1"/>
      <c r="R1411" s="1"/>
      <c r="S1411" s="1"/>
      <c r="T1411" s="1"/>
      <c r="U1411" s="1"/>
      <c r="V1411" s="1"/>
    </row>
    <row r="1412" spans="7:22">
      <c r="G1412" s="1"/>
      <c r="H1412" s="1"/>
      <c r="K1412" s="1"/>
      <c r="L1412" s="1"/>
      <c r="O1412" s="1"/>
      <c r="P1412" s="1"/>
      <c r="Q1412" s="1"/>
      <c r="R1412" s="1"/>
      <c r="S1412" s="1"/>
      <c r="T1412" s="1"/>
      <c r="U1412" s="1"/>
      <c r="V1412" s="1"/>
    </row>
    <row r="1413" spans="7:22">
      <c r="G1413" s="1"/>
      <c r="H1413" s="1"/>
      <c r="K1413" s="1"/>
      <c r="L1413" s="1"/>
      <c r="O1413" s="1"/>
      <c r="P1413" s="1"/>
      <c r="Q1413" s="1"/>
      <c r="R1413" s="1"/>
      <c r="S1413" s="1"/>
      <c r="T1413" s="1"/>
      <c r="U1413" s="1"/>
      <c r="V1413" s="1"/>
    </row>
    <row r="1414" spans="7:22">
      <c r="G1414" s="1"/>
      <c r="H1414" s="1"/>
      <c r="K1414" s="1"/>
      <c r="L1414" s="1"/>
      <c r="O1414" s="1"/>
      <c r="P1414" s="1"/>
      <c r="Q1414" s="1"/>
      <c r="R1414" s="1"/>
      <c r="S1414" s="1"/>
      <c r="T1414" s="1"/>
      <c r="U1414" s="1"/>
      <c r="V1414" s="1"/>
    </row>
    <row r="1415" spans="7:22">
      <c r="G1415" s="1"/>
      <c r="H1415" s="1"/>
      <c r="K1415" s="1"/>
      <c r="L1415" s="1"/>
      <c r="O1415" s="1"/>
      <c r="P1415" s="1"/>
      <c r="Q1415" s="1"/>
      <c r="R1415" s="1"/>
      <c r="S1415" s="1"/>
      <c r="T1415" s="1"/>
      <c r="U1415" s="1"/>
      <c r="V1415" s="1"/>
    </row>
    <row r="1416" spans="7:22">
      <c r="G1416" s="1"/>
      <c r="H1416" s="1"/>
      <c r="K1416" s="1"/>
      <c r="L1416" s="1"/>
      <c r="O1416" s="1"/>
      <c r="P1416" s="1"/>
      <c r="Q1416" s="1"/>
      <c r="R1416" s="1"/>
      <c r="S1416" s="1"/>
      <c r="T1416" s="1"/>
      <c r="U1416" s="1"/>
      <c r="V1416" s="1"/>
    </row>
    <row r="1417" spans="7:22">
      <c r="G1417" s="1"/>
      <c r="H1417" s="1"/>
      <c r="K1417" s="1"/>
      <c r="L1417" s="1"/>
      <c r="O1417" s="1"/>
      <c r="P1417" s="1"/>
      <c r="Q1417" s="1"/>
      <c r="R1417" s="1"/>
      <c r="S1417" s="1"/>
      <c r="T1417" s="1"/>
      <c r="U1417" s="1"/>
      <c r="V1417" s="1"/>
    </row>
    <row r="1418" spans="7:22">
      <c r="G1418" s="1"/>
      <c r="H1418" s="1"/>
      <c r="K1418" s="1"/>
      <c r="L1418" s="1"/>
      <c r="O1418" s="1"/>
      <c r="P1418" s="1"/>
      <c r="Q1418" s="1"/>
      <c r="R1418" s="1"/>
      <c r="S1418" s="1"/>
      <c r="T1418" s="1"/>
      <c r="U1418" s="1"/>
      <c r="V1418" s="1"/>
    </row>
    <row r="1419" spans="7:22">
      <c r="G1419" s="1"/>
      <c r="H1419" s="1"/>
      <c r="K1419" s="1"/>
      <c r="L1419" s="1"/>
      <c r="O1419" s="1"/>
      <c r="P1419" s="1"/>
      <c r="Q1419" s="1"/>
      <c r="R1419" s="1"/>
      <c r="S1419" s="1"/>
      <c r="T1419" s="1"/>
      <c r="U1419" s="1"/>
      <c r="V1419" s="1"/>
    </row>
    <row r="1420" spans="7:22">
      <c r="G1420" s="1"/>
      <c r="H1420" s="1"/>
      <c r="K1420" s="1"/>
      <c r="L1420" s="1"/>
    </row>
    <row r="1421" spans="7:22">
      <c r="G1421" s="1"/>
      <c r="H1421" s="1"/>
      <c r="K1421" s="1"/>
      <c r="L1421" s="1"/>
    </row>
    <row r="1422" spans="7:22">
      <c r="G1422" s="1"/>
      <c r="H1422" s="1"/>
      <c r="K1422" s="1"/>
      <c r="L1422" s="1"/>
    </row>
    <row r="1423" spans="7:22">
      <c r="G1423" s="1"/>
      <c r="H1423" s="1"/>
      <c r="K1423" s="1"/>
      <c r="L1423" s="1"/>
    </row>
    <row r="1424" spans="7:22">
      <c r="G1424" s="1"/>
      <c r="H1424" s="1"/>
      <c r="K1424" s="1"/>
      <c r="L1424" s="1"/>
    </row>
    <row r="1425" spans="7:12">
      <c r="G1425" s="1"/>
      <c r="H1425" s="1"/>
      <c r="K1425" s="1"/>
      <c r="L1425" s="1"/>
    </row>
    <row r="1426" spans="7:12">
      <c r="G1426" s="1"/>
      <c r="H1426" s="1"/>
      <c r="K1426" s="1"/>
      <c r="L1426" s="1"/>
    </row>
    <row r="1427" spans="7:12">
      <c r="G1427" s="1"/>
      <c r="H1427" s="1"/>
      <c r="K1427" s="1"/>
      <c r="L1427" s="1"/>
    </row>
    <row r="1428" spans="7:12">
      <c r="G1428" s="1"/>
      <c r="H1428" s="1"/>
      <c r="K1428" s="1"/>
      <c r="L1428" s="1"/>
    </row>
    <row r="1429" spans="7:12">
      <c r="G1429" s="1"/>
      <c r="H1429" s="1"/>
      <c r="K1429" s="1"/>
      <c r="L1429" s="1"/>
    </row>
    <row r="1430" spans="7:12">
      <c r="G1430" s="1"/>
      <c r="H1430" s="1"/>
      <c r="K1430" s="1"/>
      <c r="L1430" s="1"/>
    </row>
    <row r="1431" spans="7:12">
      <c r="G1431" s="1"/>
      <c r="H1431" s="1"/>
      <c r="K1431" s="1"/>
      <c r="L1431" s="1"/>
    </row>
    <row r="1432" spans="7:12">
      <c r="G1432" s="1"/>
      <c r="H1432" s="1"/>
      <c r="K1432" s="1"/>
      <c r="L1432" s="1"/>
    </row>
    <row r="1433" spans="7:12">
      <c r="G1433" s="1"/>
      <c r="H1433" s="1"/>
      <c r="K1433" s="1"/>
      <c r="L1433" s="1"/>
    </row>
    <row r="1434" spans="7:12">
      <c r="K1434" s="1"/>
      <c r="L1434" s="1"/>
    </row>
    <row r="1435" spans="7:12">
      <c r="K1435" s="1"/>
      <c r="L1435" s="1"/>
    </row>
    <row r="1436" spans="7:12">
      <c r="K1436" s="1"/>
      <c r="L1436" s="1"/>
    </row>
    <row r="1437" spans="7:12">
      <c r="K1437" s="1"/>
      <c r="L1437" s="1"/>
    </row>
    <row r="1438" spans="7:12">
      <c r="K1438" s="1"/>
      <c r="L1438" s="1"/>
    </row>
    <row r="1439" spans="7:12">
      <c r="K1439" s="1"/>
      <c r="L1439" s="1"/>
    </row>
    <row r="1440" spans="7:12">
      <c r="K1440" s="1"/>
      <c r="L1440" s="1"/>
    </row>
    <row r="1441" spans="11:12">
      <c r="K1441" s="1"/>
      <c r="L1441" s="1"/>
    </row>
  </sheetData>
  <mergeCells count="18">
    <mergeCell ref="V28:V29"/>
    <mergeCell ref="G5:H5"/>
    <mergeCell ref="K5:L5"/>
    <mergeCell ref="V8:V9"/>
    <mergeCell ref="V12:V13"/>
    <mergeCell ref="V16:V17"/>
    <mergeCell ref="V20:V21"/>
    <mergeCell ref="V24:V25"/>
    <mergeCell ref="V56:V57"/>
    <mergeCell ref="V60:V61"/>
    <mergeCell ref="V64:V65"/>
    <mergeCell ref="V68:V69"/>
    <mergeCell ref="V32:V33"/>
    <mergeCell ref="V36:V37"/>
    <mergeCell ref="V40:V41"/>
    <mergeCell ref="V44:V45"/>
    <mergeCell ref="V48:V49"/>
    <mergeCell ref="V52:V53"/>
  </mergeCells>
  <pageMargins left="0.7" right="0.7" top="0.75" bottom="0.75" header="0.3" footer="0.3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32"/>
  <sheetViews>
    <sheetView workbookViewId="0">
      <selection activeCell="E17" sqref="E17"/>
    </sheetView>
  </sheetViews>
  <sheetFormatPr baseColWidth="10" defaultColWidth="8.83203125" defaultRowHeight="14" x14ac:dyDescent="0"/>
  <cols>
    <col min="1" max="1" width="8.83203125" style="1"/>
    <col min="2" max="2" width="25.5" bestFit="1" customWidth="1"/>
    <col min="3" max="3" width="14.33203125" bestFit="1" customWidth="1"/>
    <col min="4" max="5" width="8.83203125" style="1"/>
    <col min="6" max="6" width="20" bestFit="1" customWidth="1"/>
    <col min="7" max="7" width="18.1640625" bestFit="1" customWidth="1"/>
    <col min="8" max="8" width="10.5" bestFit="1" customWidth="1"/>
    <col min="9" max="9" width="11.5" bestFit="1" customWidth="1"/>
    <col min="10" max="10" width="10.1640625" bestFit="1" customWidth="1"/>
    <col min="11" max="11" width="11.5" bestFit="1" customWidth="1"/>
    <col min="12" max="12" width="19.5" bestFit="1" customWidth="1"/>
    <col min="13" max="29" width="8.83203125" style="1"/>
  </cols>
  <sheetData>
    <row r="1" spans="2:12" s="1" customFormat="1"/>
    <row r="2" spans="2:12" s="1" customFormat="1" ht="15" thickBot="1"/>
    <row r="3" spans="2:12" ht="18">
      <c r="B3" s="105" t="s">
        <v>0</v>
      </c>
      <c r="C3" s="106"/>
      <c r="F3" s="105" t="s">
        <v>67</v>
      </c>
      <c r="G3" s="125"/>
      <c r="H3" s="125"/>
      <c r="I3" s="125"/>
      <c r="J3" s="125"/>
      <c r="K3" s="125"/>
      <c r="L3" s="106"/>
    </row>
    <row r="4" spans="2:12">
      <c r="B4" s="31" t="s">
        <v>50</v>
      </c>
      <c r="C4" s="88">
        <f>'(Q1 and Q4) Binomal Model'!Q38</f>
        <v>0.49084831711019783</v>
      </c>
      <c r="F4" s="77"/>
      <c r="G4" s="13" t="s">
        <v>63</v>
      </c>
      <c r="H4" s="13" t="s">
        <v>59</v>
      </c>
      <c r="I4" s="10" t="s">
        <v>60</v>
      </c>
      <c r="J4" s="86" t="s">
        <v>64</v>
      </c>
      <c r="K4" s="86" t="s">
        <v>65</v>
      </c>
      <c r="L4" s="87" t="s">
        <v>66</v>
      </c>
    </row>
    <row r="5" spans="2:12">
      <c r="B5" s="31" t="s">
        <v>52</v>
      </c>
      <c r="C5" s="89" t="s">
        <v>69</v>
      </c>
      <c r="F5" s="31" t="s">
        <v>53</v>
      </c>
      <c r="G5" s="80">
        <v>-10</v>
      </c>
      <c r="H5" s="81">
        <f>C9</f>
        <v>1.03</v>
      </c>
      <c r="I5" s="81">
        <f>G5*H5*100</f>
        <v>-1030</v>
      </c>
      <c r="J5" s="78">
        <f>C12</f>
        <v>1.1499999999999999</v>
      </c>
      <c r="K5" s="81">
        <f>J5*G5*100</f>
        <v>-1150</v>
      </c>
      <c r="L5" s="122">
        <f>K7+(1000000-I7)</f>
        <v>1000076.4</v>
      </c>
    </row>
    <row r="6" spans="2:12">
      <c r="B6" s="31" t="s">
        <v>51</v>
      </c>
      <c r="C6" s="32">
        <v>1000000</v>
      </c>
      <c r="F6" s="31" t="s">
        <v>54</v>
      </c>
      <c r="G6" s="82">
        <v>491</v>
      </c>
      <c r="H6" s="81">
        <f>C8</f>
        <v>38.78</v>
      </c>
      <c r="I6" s="81">
        <f>G6*H6</f>
        <v>19040.98</v>
      </c>
      <c r="J6" s="78">
        <f>C11</f>
        <v>39.18</v>
      </c>
      <c r="K6" s="80">
        <f>J6*G6</f>
        <v>19237.38</v>
      </c>
      <c r="L6" s="123"/>
    </row>
    <row r="7" spans="2:12" ht="15" thickBot="1">
      <c r="B7" s="120" t="s">
        <v>55</v>
      </c>
      <c r="C7" s="121"/>
      <c r="F7" s="85" t="s">
        <v>61</v>
      </c>
      <c r="G7" s="83" t="s">
        <v>62</v>
      </c>
      <c r="H7" s="83" t="s">
        <v>62</v>
      </c>
      <c r="I7" s="84">
        <f>SUM(I5:I6)</f>
        <v>18010.98</v>
      </c>
      <c r="J7" s="79" t="s">
        <v>62</v>
      </c>
      <c r="K7" s="84">
        <f>SUM(K5:K6)</f>
        <v>18087.38</v>
      </c>
      <c r="L7" s="124"/>
    </row>
    <row r="8" spans="2:12">
      <c r="B8" s="31" t="s">
        <v>56</v>
      </c>
      <c r="C8" s="32">
        <v>38.78</v>
      </c>
      <c r="F8" s="1"/>
      <c r="G8" s="1"/>
      <c r="H8" s="1"/>
      <c r="I8" s="1"/>
      <c r="J8" s="1"/>
      <c r="K8" s="1"/>
      <c r="L8" s="1"/>
    </row>
    <row r="9" spans="2:12">
      <c r="B9" s="31" t="s">
        <v>58</v>
      </c>
      <c r="C9" s="32">
        <v>1.03</v>
      </c>
      <c r="F9" s="1"/>
      <c r="G9" s="1"/>
      <c r="H9" s="1"/>
      <c r="I9" s="1"/>
      <c r="J9" s="1"/>
      <c r="K9" s="1"/>
      <c r="L9" s="1"/>
    </row>
    <row r="10" spans="2:12">
      <c r="B10" s="120" t="s">
        <v>57</v>
      </c>
      <c r="C10" s="121"/>
      <c r="F10" s="1"/>
      <c r="G10" s="1"/>
      <c r="H10" s="1"/>
      <c r="I10" s="1"/>
      <c r="J10" s="1"/>
      <c r="K10" s="1"/>
      <c r="L10" s="1"/>
    </row>
    <row r="11" spans="2:12">
      <c r="B11" s="31" t="s">
        <v>56</v>
      </c>
      <c r="C11" s="32">
        <v>39.18</v>
      </c>
      <c r="F11" s="1"/>
      <c r="G11" s="1"/>
      <c r="H11" s="1"/>
      <c r="I11" s="1"/>
      <c r="J11" s="1"/>
      <c r="K11" s="1"/>
      <c r="L11" s="1"/>
    </row>
    <row r="12" spans="2:12" ht="15" thickBot="1">
      <c r="B12" s="35" t="s">
        <v>58</v>
      </c>
      <c r="C12" s="18">
        <v>1.1499999999999999</v>
      </c>
      <c r="F12" s="1"/>
      <c r="G12" s="1"/>
      <c r="H12" s="1"/>
      <c r="I12" s="1"/>
      <c r="J12" s="1"/>
      <c r="K12" s="1"/>
      <c r="L12" s="1"/>
    </row>
    <row r="13" spans="2:12">
      <c r="B13" s="1"/>
      <c r="C13" s="1"/>
      <c r="F13" s="1"/>
      <c r="G13" s="1"/>
      <c r="H13" s="1"/>
      <c r="I13" s="1"/>
      <c r="J13" s="1"/>
      <c r="K13" s="1"/>
      <c r="L13" s="1"/>
    </row>
    <row r="14" spans="2:12" s="1" customFormat="1"/>
    <row r="15" spans="2:12" s="1" customFormat="1"/>
    <row r="16" spans="2:12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pans="2:3" s="1" customFormat="1"/>
    <row r="322" spans="2:3" s="1" customFormat="1"/>
    <row r="323" spans="2:3" s="1" customFormat="1"/>
    <row r="324" spans="2:3" s="1" customFormat="1"/>
    <row r="325" spans="2:3" s="1" customFormat="1"/>
    <row r="326" spans="2:3" s="1" customFormat="1"/>
    <row r="327" spans="2:3" s="1" customFormat="1"/>
    <row r="328" spans="2:3" s="1" customFormat="1"/>
    <row r="329" spans="2:3" s="1" customFormat="1"/>
    <row r="330" spans="2:3" s="1" customFormat="1"/>
    <row r="331" spans="2:3" s="1" customFormat="1"/>
    <row r="332" spans="2:3" s="1" customFormat="1">
      <c r="B332"/>
      <c r="C332"/>
    </row>
  </sheetData>
  <mergeCells count="5">
    <mergeCell ref="B3:C3"/>
    <mergeCell ref="B7:C7"/>
    <mergeCell ref="B10:C10"/>
    <mergeCell ref="L5:L7"/>
    <mergeCell ref="F3:L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Brief</vt:lpstr>
      <vt:lpstr>(Q1) Volatility Estimates</vt:lpstr>
      <vt:lpstr>(Q1 and Q2) Black-Scholes Model</vt:lpstr>
      <vt:lpstr>(Q3) Implied Volatility</vt:lpstr>
      <vt:lpstr>(Q1 and Q4) Binomal Model</vt:lpstr>
      <vt:lpstr>(Q5) Static Hedging Portfolio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Depauw</dc:creator>
  <cp:lastModifiedBy>Samuel Robert Showalter</cp:lastModifiedBy>
  <dcterms:created xsi:type="dcterms:W3CDTF">2016-05-03T22:17:46Z</dcterms:created>
  <dcterms:modified xsi:type="dcterms:W3CDTF">2016-05-15T22:45:51Z</dcterms:modified>
</cp:coreProperties>
</file>
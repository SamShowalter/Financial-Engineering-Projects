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/>
  <workbookPr showInkAnnotation="0" autoCompressPictures="0"/>
  <bookViews>
    <workbookView xWindow="0" yWindow="0" windowWidth="19200" windowHeight="8180" tabRatio="500"/>
  </bookViews>
  <sheets>
    <sheet name="Average Wealth at Retirement" sheetId="6" r:id="rId1"/>
    <sheet name="Finance Monte Carlo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D10" i="1"/>
</calcChain>
</file>

<file path=xl/sharedStrings.xml><?xml version="1.0" encoding="utf-8"?>
<sst xmlns="http://schemas.openxmlformats.org/spreadsheetml/2006/main" count="24" uniqueCount="23">
  <si>
    <t>Principle Amount</t>
  </si>
  <si>
    <t>Annual Addition</t>
  </si>
  <si>
    <t>S&amp;P 500</t>
  </si>
  <si>
    <t>Average ROR (1871-2014)</t>
  </si>
  <si>
    <t>Year</t>
  </si>
  <si>
    <t>Years to Retirement</t>
  </si>
  <si>
    <t>Annual Return</t>
  </si>
  <si>
    <t>Accumulated Wealth</t>
  </si>
  <si>
    <t>Accumulating Wealth</t>
  </si>
  <si>
    <t>Results of Monte Carlo Simulation</t>
  </si>
  <si>
    <t>Sample Number</t>
  </si>
  <si>
    <t>Simulation Stats</t>
  </si>
  <si>
    <t>repetitions</t>
  </si>
  <si>
    <t>seconds</t>
  </si>
  <si>
    <t>Summary Statistics</t>
  </si>
  <si>
    <t>Notes</t>
  </si>
  <si>
    <t>Average</t>
  </si>
  <si>
    <t>SD</t>
  </si>
  <si>
    <t>Max</t>
  </si>
  <si>
    <t>Min</t>
  </si>
  <si>
    <t>Only the first 100 repetitions are displayed on this worksheet.</t>
  </si>
  <si>
    <t>$D$10</t>
  </si>
  <si>
    <t>Volatility (STDEV)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</si>
</sst>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000%"/>
    <numFmt numFmtId="165" formatCode="0.000%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Times New Roman"/>
      <family val="1"/>
    </font>
    <font>
      <sz val="24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b/>
      <sz val="12"/>
      <color indexed="56"/>
      <name val="Times New Roman"/>
      <family val="1"/>
    </font>
    <font>
      <b/>
      <sz val="12"/>
      <color indexed="10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6" fillId="0" borderId="0"/>
    <xf numFmtId="0" fontId="4" fillId="0" borderId="0"/>
  </cellStyleXfs>
  <cellXfs count="55">
    <xf numFmtId="0" fontId="0" fillId="0" borderId="0" xfId="0"/>
    <xf numFmtId="164" fontId="0" fillId="0" borderId="0" xfId="2" applyNumberFormat="1" applyFont="1"/>
    <xf numFmtId="44" fontId="0" fillId="0" borderId="0" xfId="1" applyFont="1"/>
    <xf numFmtId="44" fontId="0" fillId="0" borderId="0" xfId="0" applyNumberFormat="1"/>
    <xf numFmtId="0" fontId="5" fillId="0" borderId="0" xfId="9" applyFont="1" applyAlignment="1">
      <alignment horizontal="left"/>
    </xf>
    <xf numFmtId="0" fontId="6" fillId="0" borderId="0" xfId="11"/>
    <xf numFmtId="0" fontId="4" fillId="0" borderId="0" xfId="9"/>
    <xf numFmtId="1" fontId="4" fillId="0" borderId="0" xfId="9" applyNumberFormat="1" applyFont="1"/>
    <xf numFmtId="0" fontId="4" fillId="0" borderId="0" xfId="12"/>
    <xf numFmtId="0" fontId="4" fillId="0" borderId="1" xfId="9" applyBorder="1" applyAlignment="1">
      <alignment horizontal="center" wrapText="1"/>
    </xf>
    <xf numFmtId="0" fontId="4" fillId="0" borderId="0" xfId="9" applyBorder="1" applyAlignment="1">
      <alignment wrapText="1"/>
    </xf>
    <xf numFmtId="0" fontId="4" fillId="0" borderId="0" xfId="9" applyAlignment="1">
      <alignment wrapText="1"/>
    </xf>
    <xf numFmtId="0" fontId="6" fillId="0" borderId="0" xfId="11" applyAlignment="1">
      <alignment wrapText="1"/>
    </xf>
    <xf numFmtId="0" fontId="4" fillId="0" borderId="0" xfId="9" applyAlignment="1">
      <alignment horizontal="center"/>
    </xf>
    <xf numFmtId="0" fontId="4" fillId="0" borderId="0" xfId="9" applyFont="1" applyBorder="1"/>
    <xf numFmtId="1" fontId="4" fillId="0" borderId="4" xfId="9" applyNumberFormat="1" applyFont="1" applyBorder="1"/>
    <xf numFmtId="0" fontId="4" fillId="0" borderId="5" xfId="9" applyFont="1" applyBorder="1"/>
    <xf numFmtId="1" fontId="4" fillId="0" borderId="6" xfId="9" applyNumberFormat="1" applyFont="1" applyBorder="1"/>
    <xf numFmtId="0" fontId="4" fillId="0" borderId="7" xfId="9" applyFont="1" applyBorder="1"/>
    <xf numFmtId="0" fontId="10" fillId="0" borderId="0" xfId="9" applyFont="1" applyAlignment="1">
      <alignment horizontal="center"/>
    </xf>
    <xf numFmtId="0" fontId="4" fillId="0" borderId="0" xfId="9" applyBorder="1"/>
    <xf numFmtId="1" fontId="4" fillId="0" borderId="0" xfId="9" applyNumberFormat="1" applyFont="1" applyBorder="1"/>
    <xf numFmtId="0" fontId="4" fillId="0" borderId="11" xfId="9" applyBorder="1"/>
    <xf numFmtId="0" fontId="4" fillId="0" borderId="13" xfId="9" applyBorder="1"/>
    <xf numFmtId="0" fontId="9" fillId="0" borderId="14" xfId="9" applyFont="1" applyBorder="1"/>
    <xf numFmtId="0" fontId="9" fillId="0" borderId="15" xfId="9" applyFont="1" applyBorder="1"/>
    <xf numFmtId="0" fontId="4" fillId="0" borderId="16" xfId="9" applyFont="1" applyBorder="1"/>
    <xf numFmtId="0" fontId="4" fillId="0" borderId="4" xfId="9" applyFont="1" applyBorder="1"/>
    <xf numFmtId="0" fontId="4" fillId="0" borderId="13" xfId="9" applyFont="1" applyBorder="1"/>
    <xf numFmtId="0" fontId="4" fillId="0" borderId="18" xfId="11" applyFont="1" applyBorder="1"/>
    <xf numFmtId="0" fontId="4" fillId="0" borderId="0" xfId="11" applyFont="1" applyBorder="1"/>
    <xf numFmtId="1" fontId="4" fillId="0" borderId="0" xfId="10" applyNumberFormat="1" applyFont="1"/>
    <xf numFmtId="0" fontId="4" fillId="0" borderId="4" xfId="9" applyBorder="1"/>
    <xf numFmtId="0" fontId="4" fillId="0" borderId="18" xfId="9" applyFont="1" applyBorder="1"/>
    <xf numFmtId="0" fontId="4" fillId="0" borderId="6" xfId="9" applyBorder="1"/>
    <xf numFmtId="0" fontId="4" fillId="0" borderId="20" xfId="9" applyBorder="1"/>
    <xf numFmtId="0" fontId="4" fillId="0" borderId="21" xfId="9" applyFont="1" applyBorder="1"/>
    <xf numFmtId="0" fontId="4" fillId="0" borderId="1" xfId="9" applyFont="1" applyBorder="1"/>
    <xf numFmtId="0" fontId="4" fillId="0" borderId="20" xfId="9" applyFont="1" applyBorder="1"/>
    <xf numFmtId="0" fontId="6" fillId="0" borderId="0" xfId="11" applyBorder="1"/>
    <xf numFmtId="0" fontId="10" fillId="0" borderId="0" xfId="9" applyFont="1"/>
    <xf numFmtId="0" fontId="11" fillId="0" borderId="0" xfId="9" applyFont="1" applyAlignment="1">
      <alignment horizontal="left"/>
    </xf>
    <xf numFmtId="44" fontId="4" fillId="0" borderId="12" xfId="1" applyFont="1" applyBorder="1"/>
    <xf numFmtId="44" fontId="4" fillId="0" borderId="17" xfId="1" applyFont="1" applyBorder="1"/>
    <xf numFmtId="44" fontId="4" fillId="0" borderId="19" xfId="1" applyFont="1" applyBorder="1"/>
    <xf numFmtId="165" fontId="0" fillId="0" borderId="0" xfId="2" applyNumberFormat="1" applyFont="1"/>
    <xf numFmtId="44" fontId="4" fillId="0" borderId="0" xfId="1" applyFont="1" applyAlignment="1">
      <alignment horizontal="center"/>
    </xf>
    <xf numFmtId="44" fontId="4" fillId="0" borderId="1" xfId="1" applyFont="1" applyBorder="1" applyAlignment="1">
      <alignment horizontal="center" wrapText="1"/>
    </xf>
    <xf numFmtId="0" fontId="7" fillId="0" borderId="2" xfId="9" applyFont="1" applyBorder="1" applyAlignment="1">
      <alignment horizontal="center" wrapText="1"/>
    </xf>
    <xf numFmtId="0" fontId="4" fillId="0" borderId="3" xfId="12" applyBorder="1" applyAlignment="1">
      <alignment horizontal="center" wrapText="1"/>
    </xf>
    <xf numFmtId="0" fontId="8" fillId="0" borderId="8" xfId="9" applyFont="1" applyBorder="1" applyAlignment="1">
      <alignment horizontal="center"/>
    </xf>
    <xf numFmtId="0" fontId="8" fillId="0" borderId="9" xfId="9" applyFont="1" applyBorder="1" applyAlignment="1">
      <alignment horizontal="center"/>
    </xf>
    <xf numFmtId="0" fontId="8" fillId="0" borderId="10" xfId="9" applyFont="1" applyBorder="1" applyAlignment="1">
      <alignment horizontal="center"/>
    </xf>
    <xf numFmtId="0" fontId="9" fillId="0" borderId="9" xfId="9" applyFont="1" applyBorder="1" applyAlignment="1">
      <alignment horizontal="center"/>
    </xf>
    <xf numFmtId="0" fontId="9" fillId="0" borderId="10" xfId="9" applyFont="1" applyBorder="1" applyAlignment="1">
      <alignment horizontal="center"/>
    </xf>
  </cellXfs>
  <cellStyles count="13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2"/>
    <cellStyle name="Normal_AutoCorr" xfId="11"/>
    <cellStyle name="Normal_MonteCarlo" xfId="9"/>
    <cellStyle name="Percent" xfId="2" builtinId="5"/>
    <cellStyle name="Percent 2" xfId="1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$D$10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'Average Wealth at Retirement'!$AL$1</c:f>
              <c:strCache>
                <c:ptCount val="1"/>
                <c:pt idx="0">
                  <c:v>$D$10</c:v>
                </c:pt>
              </c:strCache>
            </c:strRef>
          </c:tx>
          <c:marker>
            <c:symbol val="none"/>
          </c:marker>
          <c:xVal>
            <c:numRef>
              <c:f>'Average Wealth at Retirement'!$AK$2:$AK$135</c:f>
              <c:numCache>
                <c:formatCode>General</c:formatCode>
                <c:ptCount val="134"/>
                <c:pt idx="0">
                  <c:v>0.0</c:v>
                </c:pt>
                <c:pt idx="1">
                  <c:v>0.0</c:v>
                </c:pt>
                <c:pt idx="2">
                  <c:v>1.0E6</c:v>
                </c:pt>
                <c:pt idx="3">
                  <c:v>1.0E6</c:v>
                </c:pt>
                <c:pt idx="4">
                  <c:v>2.0E6</c:v>
                </c:pt>
                <c:pt idx="5">
                  <c:v>2.0E6</c:v>
                </c:pt>
                <c:pt idx="6">
                  <c:v>3.0E6</c:v>
                </c:pt>
                <c:pt idx="7">
                  <c:v>3.0E6</c:v>
                </c:pt>
                <c:pt idx="8">
                  <c:v>4.0E6</c:v>
                </c:pt>
                <c:pt idx="9">
                  <c:v>4.0E6</c:v>
                </c:pt>
                <c:pt idx="10">
                  <c:v>5.0E6</c:v>
                </c:pt>
                <c:pt idx="11">
                  <c:v>5.0E6</c:v>
                </c:pt>
                <c:pt idx="12">
                  <c:v>6.0E6</c:v>
                </c:pt>
                <c:pt idx="13">
                  <c:v>6.0E6</c:v>
                </c:pt>
                <c:pt idx="14">
                  <c:v>7.0E6</c:v>
                </c:pt>
                <c:pt idx="15">
                  <c:v>7.0E6</c:v>
                </c:pt>
                <c:pt idx="16">
                  <c:v>8.0E6</c:v>
                </c:pt>
                <c:pt idx="17">
                  <c:v>8.0E6</c:v>
                </c:pt>
                <c:pt idx="18">
                  <c:v>9.0E6</c:v>
                </c:pt>
                <c:pt idx="19">
                  <c:v>9.0E6</c:v>
                </c:pt>
                <c:pt idx="20">
                  <c:v>1.0E7</c:v>
                </c:pt>
                <c:pt idx="21">
                  <c:v>1.0E7</c:v>
                </c:pt>
                <c:pt idx="22">
                  <c:v>1.1E7</c:v>
                </c:pt>
                <c:pt idx="23">
                  <c:v>1.1E7</c:v>
                </c:pt>
                <c:pt idx="24">
                  <c:v>1.2E7</c:v>
                </c:pt>
                <c:pt idx="25">
                  <c:v>1.2E7</c:v>
                </c:pt>
                <c:pt idx="26">
                  <c:v>1.3E7</c:v>
                </c:pt>
                <c:pt idx="27">
                  <c:v>1.3E7</c:v>
                </c:pt>
                <c:pt idx="28">
                  <c:v>1.4E7</c:v>
                </c:pt>
                <c:pt idx="29">
                  <c:v>1.4E7</c:v>
                </c:pt>
                <c:pt idx="30">
                  <c:v>1.5E7</c:v>
                </c:pt>
                <c:pt idx="31">
                  <c:v>1.5E7</c:v>
                </c:pt>
                <c:pt idx="32">
                  <c:v>1.6E7</c:v>
                </c:pt>
                <c:pt idx="33">
                  <c:v>1.6E7</c:v>
                </c:pt>
                <c:pt idx="34">
                  <c:v>1.7E7</c:v>
                </c:pt>
                <c:pt idx="35">
                  <c:v>1.7E7</c:v>
                </c:pt>
                <c:pt idx="36">
                  <c:v>1.8E7</c:v>
                </c:pt>
                <c:pt idx="37">
                  <c:v>1.8E7</c:v>
                </c:pt>
                <c:pt idx="38">
                  <c:v>1.9E7</c:v>
                </c:pt>
                <c:pt idx="39">
                  <c:v>1.9E7</c:v>
                </c:pt>
                <c:pt idx="40">
                  <c:v>2.0E7</c:v>
                </c:pt>
                <c:pt idx="41">
                  <c:v>2.0E7</c:v>
                </c:pt>
                <c:pt idx="42">
                  <c:v>2.1E7</c:v>
                </c:pt>
                <c:pt idx="43">
                  <c:v>2.1E7</c:v>
                </c:pt>
                <c:pt idx="44">
                  <c:v>2.2E7</c:v>
                </c:pt>
                <c:pt idx="45">
                  <c:v>2.2E7</c:v>
                </c:pt>
                <c:pt idx="46">
                  <c:v>2.3E7</c:v>
                </c:pt>
                <c:pt idx="47">
                  <c:v>2.3E7</c:v>
                </c:pt>
                <c:pt idx="48">
                  <c:v>2.4E7</c:v>
                </c:pt>
                <c:pt idx="49">
                  <c:v>2.4E7</c:v>
                </c:pt>
                <c:pt idx="50">
                  <c:v>2.5E7</c:v>
                </c:pt>
                <c:pt idx="51">
                  <c:v>2.5E7</c:v>
                </c:pt>
                <c:pt idx="52">
                  <c:v>2.6E7</c:v>
                </c:pt>
                <c:pt idx="53">
                  <c:v>2.6E7</c:v>
                </c:pt>
                <c:pt idx="54">
                  <c:v>2.7E7</c:v>
                </c:pt>
                <c:pt idx="55">
                  <c:v>2.7E7</c:v>
                </c:pt>
                <c:pt idx="56">
                  <c:v>2.8E7</c:v>
                </c:pt>
                <c:pt idx="57">
                  <c:v>2.8E7</c:v>
                </c:pt>
                <c:pt idx="58">
                  <c:v>2.9E7</c:v>
                </c:pt>
                <c:pt idx="59">
                  <c:v>2.9E7</c:v>
                </c:pt>
                <c:pt idx="60">
                  <c:v>3.0E7</c:v>
                </c:pt>
                <c:pt idx="61">
                  <c:v>3.0E7</c:v>
                </c:pt>
                <c:pt idx="62">
                  <c:v>3.1E7</c:v>
                </c:pt>
                <c:pt idx="63">
                  <c:v>3.1E7</c:v>
                </c:pt>
                <c:pt idx="64">
                  <c:v>3.2E7</c:v>
                </c:pt>
                <c:pt idx="65">
                  <c:v>3.2E7</c:v>
                </c:pt>
                <c:pt idx="66">
                  <c:v>3.3E7</c:v>
                </c:pt>
                <c:pt idx="67">
                  <c:v>3.3E7</c:v>
                </c:pt>
                <c:pt idx="68">
                  <c:v>3.4E7</c:v>
                </c:pt>
                <c:pt idx="69">
                  <c:v>3.4E7</c:v>
                </c:pt>
                <c:pt idx="70">
                  <c:v>3.5E7</c:v>
                </c:pt>
                <c:pt idx="71">
                  <c:v>3.5E7</c:v>
                </c:pt>
                <c:pt idx="72">
                  <c:v>3.6E7</c:v>
                </c:pt>
                <c:pt idx="73">
                  <c:v>3.6E7</c:v>
                </c:pt>
                <c:pt idx="74">
                  <c:v>3.7E7</c:v>
                </c:pt>
                <c:pt idx="75">
                  <c:v>3.7E7</c:v>
                </c:pt>
                <c:pt idx="76">
                  <c:v>3.8E7</c:v>
                </c:pt>
                <c:pt idx="77">
                  <c:v>3.8E7</c:v>
                </c:pt>
                <c:pt idx="78">
                  <c:v>3.9E7</c:v>
                </c:pt>
                <c:pt idx="79">
                  <c:v>3.9E7</c:v>
                </c:pt>
                <c:pt idx="80">
                  <c:v>4.0E7</c:v>
                </c:pt>
                <c:pt idx="81">
                  <c:v>4.0E7</c:v>
                </c:pt>
                <c:pt idx="82">
                  <c:v>4.1E7</c:v>
                </c:pt>
                <c:pt idx="83">
                  <c:v>4.1E7</c:v>
                </c:pt>
                <c:pt idx="84">
                  <c:v>4.2E7</c:v>
                </c:pt>
                <c:pt idx="85">
                  <c:v>4.2E7</c:v>
                </c:pt>
                <c:pt idx="86">
                  <c:v>4.3E7</c:v>
                </c:pt>
                <c:pt idx="87">
                  <c:v>4.3E7</c:v>
                </c:pt>
                <c:pt idx="88">
                  <c:v>4.4E7</c:v>
                </c:pt>
                <c:pt idx="89">
                  <c:v>4.4E7</c:v>
                </c:pt>
                <c:pt idx="90">
                  <c:v>4.5E7</c:v>
                </c:pt>
                <c:pt idx="91">
                  <c:v>4.5E7</c:v>
                </c:pt>
                <c:pt idx="92">
                  <c:v>4.6E7</c:v>
                </c:pt>
                <c:pt idx="93">
                  <c:v>4.6E7</c:v>
                </c:pt>
                <c:pt idx="94">
                  <c:v>4.7E7</c:v>
                </c:pt>
                <c:pt idx="95">
                  <c:v>4.7E7</c:v>
                </c:pt>
                <c:pt idx="96">
                  <c:v>4.8E7</c:v>
                </c:pt>
                <c:pt idx="97">
                  <c:v>4.8E7</c:v>
                </c:pt>
                <c:pt idx="98">
                  <c:v>4.9E7</c:v>
                </c:pt>
                <c:pt idx="99">
                  <c:v>4.9E7</c:v>
                </c:pt>
                <c:pt idx="100">
                  <c:v>5.0E7</c:v>
                </c:pt>
                <c:pt idx="101">
                  <c:v>5.0E7</c:v>
                </c:pt>
                <c:pt idx="102">
                  <c:v>5.1E7</c:v>
                </c:pt>
                <c:pt idx="103">
                  <c:v>5.1E7</c:v>
                </c:pt>
                <c:pt idx="104">
                  <c:v>5.2E7</c:v>
                </c:pt>
                <c:pt idx="105">
                  <c:v>5.2E7</c:v>
                </c:pt>
                <c:pt idx="106">
                  <c:v>5.3E7</c:v>
                </c:pt>
                <c:pt idx="107">
                  <c:v>5.3E7</c:v>
                </c:pt>
                <c:pt idx="108">
                  <c:v>5.4E7</c:v>
                </c:pt>
                <c:pt idx="109">
                  <c:v>5.4E7</c:v>
                </c:pt>
                <c:pt idx="110">
                  <c:v>5.5E7</c:v>
                </c:pt>
                <c:pt idx="111">
                  <c:v>5.5E7</c:v>
                </c:pt>
                <c:pt idx="112">
                  <c:v>5.6E7</c:v>
                </c:pt>
                <c:pt idx="113">
                  <c:v>5.6E7</c:v>
                </c:pt>
                <c:pt idx="114">
                  <c:v>5.7E7</c:v>
                </c:pt>
                <c:pt idx="115">
                  <c:v>5.7E7</c:v>
                </c:pt>
                <c:pt idx="116">
                  <c:v>5.8E7</c:v>
                </c:pt>
                <c:pt idx="117">
                  <c:v>5.8E7</c:v>
                </c:pt>
                <c:pt idx="118">
                  <c:v>5.9E7</c:v>
                </c:pt>
                <c:pt idx="119">
                  <c:v>5.9E7</c:v>
                </c:pt>
                <c:pt idx="120">
                  <c:v>6.0E7</c:v>
                </c:pt>
                <c:pt idx="121">
                  <c:v>6.0E7</c:v>
                </c:pt>
                <c:pt idx="122">
                  <c:v>6.1E7</c:v>
                </c:pt>
                <c:pt idx="123">
                  <c:v>6.1E7</c:v>
                </c:pt>
                <c:pt idx="124">
                  <c:v>6.2E7</c:v>
                </c:pt>
                <c:pt idx="125">
                  <c:v>6.2E7</c:v>
                </c:pt>
                <c:pt idx="126">
                  <c:v>6.3E7</c:v>
                </c:pt>
                <c:pt idx="127">
                  <c:v>6.3E7</c:v>
                </c:pt>
                <c:pt idx="128">
                  <c:v>6.4E7</c:v>
                </c:pt>
                <c:pt idx="129">
                  <c:v>6.4E7</c:v>
                </c:pt>
                <c:pt idx="130">
                  <c:v>6.5E7</c:v>
                </c:pt>
                <c:pt idx="131">
                  <c:v>6.5E7</c:v>
                </c:pt>
                <c:pt idx="132">
                  <c:v>6.6E7</c:v>
                </c:pt>
                <c:pt idx="133">
                  <c:v>6.6E7</c:v>
                </c:pt>
              </c:numCache>
            </c:numRef>
          </c:xVal>
          <c:yVal>
            <c:numRef>
              <c:f>'Average Wealth at Retirement'!$AL$2:$AL$135</c:f>
              <c:numCache>
                <c:formatCode>General</c:formatCode>
                <c:ptCount val="134"/>
                <c:pt idx="0">
                  <c:v>0.0</c:v>
                </c:pt>
                <c:pt idx="1">
                  <c:v>1441.0</c:v>
                </c:pt>
                <c:pt idx="2">
                  <c:v>1441.0</c:v>
                </c:pt>
                <c:pt idx="3">
                  <c:v>2696.0</c:v>
                </c:pt>
                <c:pt idx="4">
                  <c:v>2696.0</c:v>
                </c:pt>
                <c:pt idx="5">
                  <c:v>1908.0</c:v>
                </c:pt>
                <c:pt idx="6">
                  <c:v>1908.0</c:v>
                </c:pt>
                <c:pt idx="7">
                  <c:v>1151.0</c:v>
                </c:pt>
                <c:pt idx="8">
                  <c:v>1151.0</c:v>
                </c:pt>
                <c:pt idx="9">
                  <c:v>816.0</c:v>
                </c:pt>
                <c:pt idx="10">
                  <c:v>816.0</c:v>
                </c:pt>
                <c:pt idx="11">
                  <c:v>565.0</c:v>
                </c:pt>
                <c:pt idx="12">
                  <c:v>565.0</c:v>
                </c:pt>
                <c:pt idx="13">
                  <c:v>379.0</c:v>
                </c:pt>
                <c:pt idx="14">
                  <c:v>379.0</c:v>
                </c:pt>
                <c:pt idx="15">
                  <c:v>257.0</c:v>
                </c:pt>
                <c:pt idx="16">
                  <c:v>257.0</c:v>
                </c:pt>
                <c:pt idx="17">
                  <c:v>165.0</c:v>
                </c:pt>
                <c:pt idx="18">
                  <c:v>165.0</c:v>
                </c:pt>
                <c:pt idx="19">
                  <c:v>137.0</c:v>
                </c:pt>
                <c:pt idx="20">
                  <c:v>137.0</c:v>
                </c:pt>
                <c:pt idx="21">
                  <c:v>117.0</c:v>
                </c:pt>
                <c:pt idx="22">
                  <c:v>117.0</c:v>
                </c:pt>
                <c:pt idx="23">
                  <c:v>69.0</c:v>
                </c:pt>
                <c:pt idx="24">
                  <c:v>69.0</c:v>
                </c:pt>
                <c:pt idx="25">
                  <c:v>56.0</c:v>
                </c:pt>
                <c:pt idx="26">
                  <c:v>56.0</c:v>
                </c:pt>
                <c:pt idx="27">
                  <c:v>61.0</c:v>
                </c:pt>
                <c:pt idx="28">
                  <c:v>61.0</c:v>
                </c:pt>
                <c:pt idx="29">
                  <c:v>30.0</c:v>
                </c:pt>
                <c:pt idx="30">
                  <c:v>30.0</c:v>
                </c:pt>
                <c:pt idx="31">
                  <c:v>30.0</c:v>
                </c:pt>
                <c:pt idx="32">
                  <c:v>30.0</c:v>
                </c:pt>
                <c:pt idx="33">
                  <c:v>19.0</c:v>
                </c:pt>
                <c:pt idx="34">
                  <c:v>19.0</c:v>
                </c:pt>
                <c:pt idx="35">
                  <c:v>16.0</c:v>
                </c:pt>
                <c:pt idx="36">
                  <c:v>16.0</c:v>
                </c:pt>
                <c:pt idx="37">
                  <c:v>9.0</c:v>
                </c:pt>
                <c:pt idx="38">
                  <c:v>9.0</c:v>
                </c:pt>
                <c:pt idx="39">
                  <c:v>14.0</c:v>
                </c:pt>
                <c:pt idx="40">
                  <c:v>14.0</c:v>
                </c:pt>
                <c:pt idx="41">
                  <c:v>7.0</c:v>
                </c:pt>
                <c:pt idx="42">
                  <c:v>7.0</c:v>
                </c:pt>
                <c:pt idx="43">
                  <c:v>3.0</c:v>
                </c:pt>
                <c:pt idx="44">
                  <c:v>3.0</c:v>
                </c:pt>
                <c:pt idx="45">
                  <c:v>9.0</c:v>
                </c:pt>
                <c:pt idx="46">
                  <c:v>9.0</c:v>
                </c:pt>
                <c:pt idx="47">
                  <c:v>5.0</c:v>
                </c:pt>
                <c:pt idx="48">
                  <c:v>5.0</c:v>
                </c:pt>
                <c:pt idx="49">
                  <c:v>9.0</c:v>
                </c:pt>
                <c:pt idx="50">
                  <c:v>9.0</c:v>
                </c:pt>
                <c:pt idx="51">
                  <c:v>4.0</c:v>
                </c:pt>
                <c:pt idx="52">
                  <c:v>4.0</c:v>
                </c:pt>
                <c:pt idx="53">
                  <c:v>3.0</c:v>
                </c:pt>
                <c:pt idx="54">
                  <c:v>3.0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2.0</c:v>
                </c:pt>
                <c:pt idx="60">
                  <c:v>2.0</c:v>
                </c:pt>
                <c:pt idx="61">
                  <c:v>5.0</c:v>
                </c:pt>
                <c:pt idx="62">
                  <c:v>5.0</c:v>
                </c:pt>
                <c:pt idx="63">
                  <c:v>2.0</c:v>
                </c:pt>
                <c:pt idx="64">
                  <c:v>2.0</c:v>
                </c:pt>
                <c:pt idx="65">
                  <c:v>1.0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2.0</c:v>
                </c:pt>
                <c:pt idx="70">
                  <c:v>2.0</c:v>
                </c:pt>
                <c:pt idx="71">
                  <c:v>1.0</c:v>
                </c:pt>
                <c:pt idx="72">
                  <c:v>1.0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1.0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1.0</c:v>
                </c:pt>
                <c:pt idx="92">
                  <c:v>1.0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1.0</c:v>
                </c:pt>
                <c:pt idx="124">
                  <c:v>1.0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1.0</c:v>
                </c:pt>
                <c:pt idx="132">
                  <c:v>1.0</c:v>
                </c:pt>
                <c:pt idx="13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528056"/>
        <c:axId val="2106531064"/>
      </c:scatterChart>
      <c:valAx>
        <c:axId val="2106528056"/>
        <c:scaling>
          <c:orientation val="minMax"/>
          <c:max val="6.6E7"/>
          <c:min val="0.0"/>
        </c:scaling>
        <c:delete val="0"/>
        <c:axPos val="b"/>
        <c:numFmt formatCode="General" sourceLinked="1"/>
        <c:majorTickMark val="out"/>
        <c:minorTickMark val="none"/>
        <c:tickLblPos val="nextTo"/>
        <c:crossAx val="2106531064"/>
        <c:crosses val="autoZero"/>
        <c:crossBetween val="midCat"/>
      </c:valAx>
      <c:valAx>
        <c:axId val="2106531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2106528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N135"/>
  <sheetViews>
    <sheetView showGridLines="0" tabSelected="1" workbookViewId="0">
      <selection activeCell="H2" sqref="H2"/>
    </sheetView>
  </sheetViews>
  <sheetFormatPr baseColWidth="10" defaultColWidth="8.83203125" defaultRowHeight="15" x14ac:dyDescent="0"/>
  <cols>
    <col min="1" max="1" width="8" style="13" customWidth="1"/>
    <col min="2" max="2" width="15" style="46" bestFit="1" customWidth="1"/>
    <col min="3" max="3" width="10.6640625" style="5" customWidth="1"/>
    <col min="4" max="4" width="7.6640625" style="5" customWidth="1"/>
    <col min="5" max="5" width="7.6640625" style="6" customWidth="1"/>
    <col min="6" max="6" width="11.6640625" style="7" customWidth="1"/>
    <col min="7" max="7" width="9.6640625" style="6" bestFit="1" customWidth="1"/>
    <col min="8" max="8" width="5.83203125" style="6" customWidth="1"/>
    <col min="9" max="9" width="9.1640625" style="6" customWidth="1"/>
    <col min="10" max="10" width="15" style="6" bestFit="1" customWidth="1"/>
    <col min="11" max="14" width="9.1640625" style="6" customWidth="1"/>
    <col min="15" max="17" width="8.83203125" style="6"/>
    <col min="18" max="19" width="8.83203125" style="5"/>
    <col min="20" max="20" width="14.1640625" style="5" customWidth="1"/>
    <col min="21" max="22" width="11.1640625" style="5" customWidth="1"/>
    <col min="23" max="24" width="8.83203125" style="5"/>
    <col min="25" max="26" width="8.83203125" style="8"/>
    <col min="27" max="33" width="8.83203125" style="5"/>
    <col min="34" max="43" width="8.83203125" style="6"/>
    <col min="44" max="50" width="8.83203125" style="5"/>
    <col min="51" max="256" width="8.83203125" style="6"/>
    <col min="257" max="257" width="8" style="6" customWidth="1"/>
    <col min="258" max="259" width="10.6640625" style="6" customWidth="1"/>
    <col min="260" max="261" width="7.6640625" style="6" customWidth="1"/>
    <col min="262" max="262" width="11.6640625" style="6" customWidth="1"/>
    <col min="263" max="263" width="8.83203125" style="6"/>
    <col min="264" max="264" width="5.83203125" style="6" customWidth="1"/>
    <col min="265" max="270" width="9.1640625" style="6" customWidth="1"/>
    <col min="271" max="275" width="8.83203125" style="6"/>
    <col min="276" max="276" width="14.1640625" style="6" customWidth="1"/>
    <col min="277" max="278" width="11.1640625" style="6" customWidth="1"/>
    <col min="279" max="512" width="8.83203125" style="6"/>
    <col min="513" max="513" width="8" style="6" customWidth="1"/>
    <col min="514" max="515" width="10.6640625" style="6" customWidth="1"/>
    <col min="516" max="517" width="7.6640625" style="6" customWidth="1"/>
    <col min="518" max="518" width="11.6640625" style="6" customWidth="1"/>
    <col min="519" max="519" width="8.83203125" style="6"/>
    <col min="520" max="520" width="5.83203125" style="6" customWidth="1"/>
    <col min="521" max="526" width="9.1640625" style="6" customWidth="1"/>
    <col min="527" max="531" width="8.83203125" style="6"/>
    <col min="532" max="532" width="14.1640625" style="6" customWidth="1"/>
    <col min="533" max="534" width="11.1640625" style="6" customWidth="1"/>
    <col min="535" max="768" width="8.83203125" style="6"/>
    <col min="769" max="769" width="8" style="6" customWidth="1"/>
    <col min="770" max="771" width="10.6640625" style="6" customWidth="1"/>
    <col min="772" max="773" width="7.6640625" style="6" customWidth="1"/>
    <col min="774" max="774" width="11.6640625" style="6" customWidth="1"/>
    <col min="775" max="775" width="8.83203125" style="6"/>
    <col min="776" max="776" width="5.83203125" style="6" customWidth="1"/>
    <col min="777" max="782" width="9.1640625" style="6" customWidth="1"/>
    <col min="783" max="787" width="8.83203125" style="6"/>
    <col min="788" max="788" width="14.1640625" style="6" customWidth="1"/>
    <col min="789" max="790" width="11.1640625" style="6" customWidth="1"/>
    <col min="791" max="1024" width="8.83203125" style="6"/>
    <col min="1025" max="1025" width="8" style="6" customWidth="1"/>
    <col min="1026" max="1027" width="10.6640625" style="6" customWidth="1"/>
    <col min="1028" max="1029" width="7.6640625" style="6" customWidth="1"/>
    <col min="1030" max="1030" width="11.6640625" style="6" customWidth="1"/>
    <col min="1031" max="1031" width="8.83203125" style="6"/>
    <col min="1032" max="1032" width="5.83203125" style="6" customWidth="1"/>
    <col min="1033" max="1038" width="9.1640625" style="6" customWidth="1"/>
    <col min="1039" max="1043" width="8.83203125" style="6"/>
    <col min="1044" max="1044" width="14.1640625" style="6" customWidth="1"/>
    <col min="1045" max="1046" width="11.1640625" style="6" customWidth="1"/>
    <col min="1047" max="1280" width="8.83203125" style="6"/>
    <col min="1281" max="1281" width="8" style="6" customWidth="1"/>
    <col min="1282" max="1283" width="10.6640625" style="6" customWidth="1"/>
    <col min="1284" max="1285" width="7.6640625" style="6" customWidth="1"/>
    <col min="1286" max="1286" width="11.6640625" style="6" customWidth="1"/>
    <col min="1287" max="1287" width="8.83203125" style="6"/>
    <col min="1288" max="1288" width="5.83203125" style="6" customWidth="1"/>
    <col min="1289" max="1294" width="9.1640625" style="6" customWidth="1"/>
    <col min="1295" max="1299" width="8.83203125" style="6"/>
    <col min="1300" max="1300" width="14.1640625" style="6" customWidth="1"/>
    <col min="1301" max="1302" width="11.1640625" style="6" customWidth="1"/>
    <col min="1303" max="1536" width="8.83203125" style="6"/>
    <col min="1537" max="1537" width="8" style="6" customWidth="1"/>
    <col min="1538" max="1539" width="10.6640625" style="6" customWidth="1"/>
    <col min="1540" max="1541" width="7.6640625" style="6" customWidth="1"/>
    <col min="1542" max="1542" width="11.6640625" style="6" customWidth="1"/>
    <col min="1543" max="1543" width="8.83203125" style="6"/>
    <col min="1544" max="1544" width="5.83203125" style="6" customWidth="1"/>
    <col min="1545" max="1550" width="9.1640625" style="6" customWidth="1"/>
    <col min="1551" max="1555" width="8.83203125" style="6"/>
    <col min="1556" max="1556" width="14.1640625" style="6" customWidth="1"/>
    <col min="1557" max="1558" width="11.1640625" style="6" customWidth="1"/>
    <col min="1559" max="1792" width="8.83203125" style="6"/>
    <col min="1793" max="1793" width="8" style="6" customWidth="1"/>
    <col min="1794" max="1795" width="10.6640625" style="6" customWidth="1"/>
    <col min="1796" max="1797" width="7.6640625" style="6" customWidth="1"/>
    <col min="1798" max="1798" width="11.6640625" style="6" customWidth="1"/>
    <col min="1799" max="1799" width="8.83203125" style="6"/>
    <col min="1800" max="1800" width="5.83203125" style="6" customWidth="1"/>
    <col min="1801" max="1806" width="9.1640625" style="6" customWidth="1"/>
    <col min="1807" max="1811" width="8.83203125" style="6"/>
    <col min="1812" max="1812" width="14.1640625" style="6" customWidth="1"/>
    <col min="1813" max="1814" width="11.1640625" style="6" customWidth="1"/>
    <col min="1815" max="2048" width="8.83203125" style="6"/>
    <col min="2049" max="2049" width="8" style="6" customWidth="1"/>
    <col min="2050" max="2051" width="10.6640625" style="6" customWidth="1"/>
    <col min="2052" max="2053" width="7.6640625" style="6" customWidth="1"/>
    <col min="2054" max="2054" width="11.6640625" style="6" customWidth="1"/>
    <col min="2055" max="2055" width="8.83203125" style="6"/>
    <col min="2056" max="2056" width="5.83203125" style="6" customWidth="1"/>
    <col min="2057" max="2062" width="9.1640625" style="6" customWidth="1"/>
    <col min="2063" max="2067" width="8.83203125" style="6"/>
    <col min="2068" max="2068" width="14.1640625" style="6" customWidth="1"/>
    <col min="2069" max="2070" width="11.1640625" style="6" customWidth="1"/>
    <col min="2071" max="2304" width="8.83203125" style="6"/>
    <col min="2305" max="2305" width="8" style="6" customWidth="1"/>
    <col min="2306" max="2307" width="10.6640625" style="6" customWidth="1"/>
    <col min="2308" max="2309" width="7.6640625" style="6" customWidth="1"/>
    <col min="2310" max="2310" width="11.6640625" style="6" customWidth="1"/>
    <col min="2311" max="2311" width="8.83203125" style="6"/>
    <col min="2312" max="2312" width="5.83203125" style="6" customWidth="1"/>
    <col min="2313" max="2318" width="9.1640625" style="6" customWidth="1"/>
    <col min="2319" max="2323" width="8.83203125" style="6"/>
    <col min="2324" max="2324" width="14.1640625" style="6" customWidth="1"/>
    <col min="2325" max="2326" width="11.1640625" style="6" customWidth="1"/>
    <col min="2327" max="2560" width="8.83203125" style="6"/>
    <col min="2561" max="2561" width="8" style="6" customWidth="1"/>
    <col min="2562" max="2563" width="10.6640625" style="6" customWidth="1"/>
    <col min="2564" max="2565" width="7.6640625" style="6" customWidth="1"/>
    <col min="2566" max="2566" width="11.6640625" style="6" customWidth="1"/>
    <col min="2567" max="2567" width="8.83203125" style="6"/>
    <col min="2568" max="2568" width="5.83203125" style="6" customWidth="1"/>
    <col min="2569" max="2574" width="9.1640625" style="6" customWidth="1"/>
    <col min="2575" max="2579" width="8.83203125" style="6"/>
    <col min="2580" max="2580" width="14.1640625" style="6" customWidth="1"/>
    <col min="2581" max="2582" width="11.1640625" style="6" customWidth="1"/>
    <col min="2583" max="2816" width="8.83203125" style="6"/>
    <col min="2817" max="2817" width="8" style="6" customWidth="1"/>
    <col min="2818" max="2819" width="10.6640625" style="6" customWidth="1"/>
    <col min="2820" max="2821" width="7.6640625" style="6" customWidth="1"/>
    <col min="2822" max="2822" width="11.6640625" style="6" customWidth="1"/>
    <col min="2823" max="2823" width="8.83203125" style="6"/>
    <col min="2824" max="2824" width="5.83203125" style="6" customWidth="1"/>
    <col min="2825" max="2830" width="9.1640625" style="6" customWidth="1"/>
    <col min="2831" max="2835" width="8.83203125" style="6"/>
    <col min="2836" max="2836" width="14.1640625" style="6" customWidth="1"/>
    <col min="2837" max="2838" width="11.1640625" style="6" customWidth="1"/>
    <col min="2839" max="3072" width="8.83203125" style="6"/>
    <col min="3073" max="3073" width="8" style="6" customWidth="1"/>
    <col min="3074" max="3075" width="10.6640625" style="6" customWidth="1"/>
    <col min="3076" max="3077" width="7.6640625" style="6" customWidth="1"/>
    <col min="3078" max="3078" width="11.6640625" style="6" customWidth="1"/>
    <col min="3079" max="3079" width="8.83203125" style="6"/>
    <col min="3080" max="3080" width="5.83203125" style="6" customWidth="1"/>
    <col min="3081" max="3086" width="9.1640625" style="6" customWidth="1"/>
    <col min="3087" max="3091" width="8.83203125" style="6"/>
    <col min="3092" max="3092" width="14.1640625" style="6" customWidth="1"/>
    <col min="3093" max="3094" width="11.1640625" style="6" customWidth="1"/>
    <col min="3095" max="3328" width="8.83203125" style="6"/>
    <col min="3329" max="3329" width="8" style="6" customWidth="1"/>
    <col min="3330" max="3331" width="10.6640625" style="6" customWidth="1"/>
    <col min="3332" max="3333" width="7.6640625" style="6" customWidth="1"/>
    <col min="3334" max="3334" width="11.6640625" style="6" customWidth="1"/>
    <col min="3335" max="3335" width="8.83203125" style="6"/>
    <col min="3336" max="3336" width="5.83203125" style="6" customWidth="1"/>
    <col min="3337" max="3342" width="9.1640625" style="6" customWidth="1"/>
    <col min="3343" max="3347" width="8.83203125" style="6"/>
    <col min="3348" max="3348" width="14.1640625" style="6" customWidth="1"/>
    <col min="3349" max="3350" width="11.1640625" style="6" customWidth="1"/>
    <col min="3351" max="3584" width="8.83203125" style="6"/>
    <col min="3585" max="3585" width="8" style="6" customWidth="1"/>
    <col min="3586" max="3587" width="10.6640625" style="6" customWidth="1"/>
    <col min="3588" max="3589" width="7.6640625" style="6" customWidth="1"/>
    <col min="3590" max="3590" width="11.6640625" style="6" customWidth="1"/>
    <col min="3591" max="3591" width="8.83203125" style="6"/>
    <col min="3592" max="3592" width="5.83203125" style="6" customWidth="1"/>
    <col min="3593" max="3598" width="9.1640625" style="6" customWidth="1"/>
    <col min="3599" max="3603" width="8.83203125" style="6"/>
    <col min="3604" max="3604" width="14.1640625" style="6" customWidth="1"/>
    <col min="3605" max="3606" width="11.1640625" style="6" customWidth="1"/>
    <col min="3607" max="3840" width="8.83203125" style="6"/>
    <col min="3841" max="3841" width="8" style="6" customWidth="1"/>
    <col min="3842" max="3843" width="10.6640625" style="6" customWidth="1"/>
    <col min="3844" max="3845" width="7.6640625" style="6" customWidth="1"/>
    <col min="3846" max="3846" width="11.6640625" style="6" customWidth="1"/>
    <col min="3847" max="3847" width="8.83203125" style="6"/>
    <col min="3848" max="3848" width="5.83203125" style="6" customWidth="1"/>
    <col min="3849" max="3854" width="9.1640625" style="6" customWidth="1"/>
    <col min="3855" max="3859" width="8.83203125" style="6"/>
    <col min="3860" max="3860" width="14.1640625" style="6" customWidth="1"/>
    <col min="3861" max="3862" width="11.1640625" style="6" customWidth="1"/>
    <col min="3863" max="4096" width="8.83203125" style="6"/>
    <col min="4097" max="4097" width="8" style="6" customWidth="1"/>
    <col min="4098" max="4099" width="10.6640625" style="6" customWidth="1"/>
    <col min="4100" max="4101" width="7.6640625" style="6" customWidth="1"/>
    <col min="4102" max="4102" width="11.6640625" style="6" customWidth="1"/>
    <col min="4103" max="4103" width="8.83203125" style="6"/>
    <col min="4104" max="4104" width="5.83203125" style="6" customWidth="1"/>
    <col min="4105" max="4110" width="9.1640625" style="6" customWidth="1"/>
    <col min="4111" max="4115" width="8.83203125" style="6"/>
    <col min="4116" max="4116" width="14.1640625" style="6" customWidth="1"/>
    <col min="4117" max="4118" width="11.1640625" style="6" customWidth="1"/>
    <col min="4119" max="4352" width="8.83203125" style="6"/>
    <col min="4353" max="4353" width="8" style="6" customWidth="1"/>
    <col min="4354" max="4355" width="10.6640625" style="6" customWidth="1"/>
    <col min="4356" max="4357" width="7.6640625" style="6" customWidth="1"/>
    <col min="4358" max="4358" width="11.6640625" style="6" customWidth="1"/>
    <col min="4359" max="4359" width="8.83203125" style="6"/>
    <col min="4360" max="4360" width="5.83203125" style="6" customWidth="1"/>
    <col min="4361" max="4366" width="9.1640625" style="6" customWidth="1"/>
    <col min="4367" max="4371" width="8.83203125" style="6"/>
    <col min="4372" max="4372" width="14.1640625" style="6" customWidth="1"/>
    <col min="4373" max="4374" width="11.1640625" style="6" customWidth="1"/>
    <col min="4375" max="4608" width="8.83203125" style="6"/>
    <col min="4609" max="4609" width="8" style="6" customWidth="1"/>
    <col min="4610" max="4611" width="10.6640625" style="6" customWidth="1"/>
    <col min="4612" max="4613" width="7.6640625" style="6" customWidth="1"/>
    <col min="4614" max="4614" width="11.6640625" style="6" customWidth="1"/>
    <col min="4615" max="4615" width="8.83203125" style="6"/>
    <col min="4616" max="4616" width="5.83203125" style="6" customWidth="1"/>
    <col min="4617" max="4622" width="9.1640625" style="6" customWidth="1"/>
    <col min="4623" max="4627" width="8.83203125" style="6"/>
    <col min="4628" max="4628" width="14.1640625" style="6" customWidth="1"/>
    <col min="4629" max="4630" width="11.1640625" style="6" customWidth="1"/>
    <col min="4631" max="4864" width="8.83203125" style="6"/>
    <col min="4865" max="4865" width="8" style="6" customWidth="1"/>
    <col min="4866" max="4867" width="10.6640625" style="6" customWidth="1"/>
    <col min="4868" max="4869" width="7.6640625" style="6" customWidth="1"/>
    <col min="4870" max="4870" width="11.6640625" style="6" customWidth="1"/>
    <col min="4871" max="4871" width="8.83203125" style="6"/>
    <col min="4872" max="4872" width="5.83203125" style="6" customWidth="1"/>
    <col min="4873" max="4878" width="9.1640625" style="6" customWidth="1"/>
    <col min="4879" max="4883" width="8.83203125" style="6"/>
    <col min="4884" max="4884" width="14.1640625" style="6" customWidth="1"/>
    <col min="4885" max="4886" width="11.1640625" style="6" customWidth="1"/>
    <col min="4887" max="5120" width="8.83203125" style="6"/>
    <col min="5121" max="5121" width="8" style="6" customWidth="1"/>
    <col min="5122" max="5123" width="10.6640625" style="6" customWidth="1"/>
    <col min="5124" max="5125" width="7.6640625" style="6" customWidth="1"/>
    <col min="5126" max="5126" width="11.6640625" style="6" customWidth="1"/>
    <col min="5127" max="5127" width="8.83203125" style="6"/>
    <col min="5128" max="5128" width="5.83203125" style="6" customWidth="1"/>
    <col min="5129" max="5134" width="9.1640625" style="6" customWidth="1"/>
    <col min="5135" max="5139" width="8.83203125" style="6"/>
    <col min="5140" max="5140" width="14.1640625" style="6" customWidth="1"/>
    <col min="5141" max="5142" width="11.1640625" style="6" customWidth="1"/>
    <col min="5143" max="5376" width="8.83203125" style="6"/>
    <col min="5377" max="5377" width="8" style="6" customWidth="1"/>
    <col min="5378" max="5379" width="10.6640625" style="6" customWidth="1"/>
    <col min="5380" max="5381" width="7.6640625" style="6" customWidth="1"/>
    <col min="5382" max="5382" width="11.6640625" style="6" customWidth="1"/>
    <col min="5383" max="5383" width="8.83203125" style="6"/>
    <col min="5384" max="5384" width="5.83203125" style="6" customWidth="1"/>
    <col min="5385" max="5390" width="9.1640625" style="6" customWidth="1"/>
    <col min="5391" max="5395" width="8.83203125" style="6"/>
    <col min="5396" max="5396" width="14.1640625" style="6" customWidth="1"/>
    <col min="5397" max="5398" width="11.1640625" style="6" customWidth="1"/>
    <col min="5399" max="5632" width="8.83203125" style="6"/>
    <col min="5633" max="5633" width="8" style="6" customWidth="1"/>
    <col min="5634" max="5635" width="10.6640625" style="6" customWidth="1"/>
    <col min="5636" max="5637" width="7.6640625" style="6" customWidth="1"/>
    <col min="5638" max="5638" width="11.6640625" style="6" customWidth="1"/>
    <col min="5639" max="5639" width="8.83203125" style="6"/>
    <col min="5640" max="5640" width="5.83203125" style="6" customWidth="1"/>
    <col min="5641" max="5646" width="9.1640625" style="6" customWidth="1"/>
    <col min="5647" max="5651" width="8.83203125" style="6"/>
    <col min="5652" max="5652" width="14.1640625" style="6" customWidth="1"/>
    <col min="5653" max="5654" width="11.1640625" style="6" customWidth="1"/>
    <col min="5655" max="5888" width="8.83203125" style="6"/>
    <col min="5889" max="5889" width="8" style="6" customWidth="1"/>
    <col min="5890" max="5891" width="10.6640625" style="6" customWidth="1"/>
    <col min="5892" max="5893" width="7.6640625" style="6" customWidth="1"/>
    <col min="5894" max="5894" width="11.6640625" style="6" customWidth="1"/>
    <col min="5895" max="5895" width="8.83203125" style="6"/>
    <col min="5896" max="5896" width="5.83203125" style="6" customWidth="1"/>
    <col min="5897" max="5902" width="9.1640625" style="6" customWidth="1"/>
    <col min="5903" max="5907" width="8.83203125" style="6"/>
    <col min="5908" max="5908" width="14.1640625" style="6" customWidth="1"/>
    <col min="5909" max="5910" width="11.1640625" style="6" customWidth="1"/>
    <col min="5911" max="6144" width="8.83203125" style="6"/>
    <col min="6145" max="6145" width="8" style="6" customWidth="1"/>
    <col min="6146" max="6147" width="10.6640625" style="6" customWidth="1"/>
    <col min="6148" max="6149" width="7.6640625" style="6" customWidth="1"/>
    <col min="6150" max="6150" width="11.6640625" style="6" customWidth="1"/>
    <col min="6151" max="6151" width="8.83203125" style="6"/>
    <col min="6152" max="6152" width="5.83203125" style="6" customWidth="1"/>
    <col min="6153" max="6158" width="9.1640625" style="6" customWidth="1"/>
    <col min="6159" max="6163" width="8.83203125" style="6"/>
    <col min="6164" max="6164" width="14.1640625" style="6" customWidth="1"/>
    <col min="6165" max="6166" width="11.1640625" style="6" customWidth="1"/>
    <col min="6167" max="6400" width="8.83203125" style="6"/>
    <col min="6401" max="6401" width="8" style="6" customWidth="1"/>
    <col min="6402" max="6403" width="10.6640625" style="6" customWidth="1"/>
    <col min="6404" max="6405" width="7.6640625" style="6" customWidth="1"/>
    <col min="6406" max="6406" width="11.6640625" style="6" customWidth="1"/>
    <col min="6407" max="6407" width="8.83203125" style="6"/>
    <col min="6408" max="6408" width="5.83203125" style="6" customWidth="1"/>
    <col min="6409" max="6414" width="9.1640625" style="6" customWidth="1"/>
    <col min="6415" max="6419" width="8.83203125" style="6"/>
    <col min="6420" max="6420" width="14.1640625" style="6" customWidth="1"/>
    <col min="6421" max="6422" width="11.1640625" style="6" customWidth="1"/>
    <col min="6423" max="6656" width="8.83203125" style="6"/>
    <col min="6657" max="6657" width="8" style="6" customWidth="1"/>
    <col min="6658" max="6659" width="10.6640625" style="6" customWidth="1"/>
    <col min="6660" max="6661" width="7.6640625" style="6" customWidth="1"/>
    <col min="6662" max="6662" width="11.6640625" style="6" customWidth="1"/>
    <col min="6663" max="6663" width="8.83203125" style="6"/>
    <col min="6664" max="6664" width="5.83203125" style="6" customWidth="1"/>
    <col min="6665" max="6670" width="9.1640625" style="6" customWidth="1"/>
    <col min="6671" max="6675" width="8.83203125" style="6"/>
    <col min="6676" max="6676" width="14.1640625" style="6" customWidth="1"/>
    <col min="6677" max="6678" width="11.1640625" style="6" customWidth="1"/>
    <col min="6679" max="6912" width="8.83203125" style="6"/>
    <col min="6913" max="6913" width="8" style="6" customWidth="1"/>
    <col min="6914" max="6915" width="10.6640625" style="6" customWidth="1"/>
    <col min="6916" max="6917" width="7.6640625" style="6" customWidth="1"/>
    <col min="6918" max="6918" width="11.6640625" style="6" customWidth="1"/>
    <col min="6919" max="6919" width="8.83203125" style="6"/>
    <col min="6920" max="6920" width="5.83203125" style="6" customWidth="1"/>
    <col min="6921" max="6926" width="9.1640625" style="6" customWidth="1"/>
    <col min="6927" max="6931" width="8.83203125" style="6"/>
    <col min="6932" max="6932" width="14.1640625" style="6" customWidth="1"/>
    <col min="6933" max="6934" width="11.1640625" style="6" customWidth="1"/>
    <col min="6935" max="7168" width="8.83203125" style="6"/>
    <col min="7169" max="7169" width="8" style="6" customWidth="1"/>
    <col min="7170" max="7171" width="10.6640625" style="6" customWidth="1"/>
    <col min="7172" max="7173" width="7.6640625" style="6" customWidth="1"/>
    <col min="7174" max="7174" width="11.6640625" style="6" customWidth="1"/>
    <col min="7175" max="7175" width="8.83203125" style="6"/>
    <col min="7176" max="7176" width="5.83203125" style="6" customWidth="1"/>
    <col min="7177" max="7182" width="9.1640625" style="6" customWidth="1"/>
    <col min="7183" max="7187" width="8.83203125" style="6"/>
    <col min="7188" max="7188" width="14.1640625" style="6" customWidth="1"/>
    <col min="7189" max="7190" width="11.1640625" style="6" customWidth="1"/>
    <col min="7191" max="7424" width="8.83203125" style="6"/>
    <col min="7425" max="7425" width="8" style="6" customWidth="1"/>
    <col min="7426" max="7427" width="10.6640625" style="6" customWidth="1"/>
    <col min="7428" max="7429" width="7.6640625" style="6" customWidth="1"/>
    <col min="7430" max="7430" width="11.6640625" style="6" customWidth="1"/>
    <col min="7431" max="7431" width="8.83203125" style="6"/>
    <col min="7432" max="7432" width="5.83203125" style="6" customWidth="1"/>
    <col min="7433" max="7438" width="9.1640625" style="6" customWidth="1"/>
    <col min="7439" max="7443" width="8.83203125" style="6"/>
    <col min="7444" max="7444" width="14.1640625" style="6" customWidth="1"/>
    <col min="7445" max="7446" width="11.1640625" style="6" customWidth="1"/>
    <col min="7447" max="7680" width="8.83203125" style="6"/>
    <col min="7681" max="7681" width="8" style="6" customWidth="1"/>
    <col min="7682" max="7683" width="10.6640625" style="6" customWidth="1"/>
    <col min="7684" max="7685" width="7.6640625" style="6" customWidth="1"/>
    <col min="7686" max="7686" width="11.6640625" style="6" customWidth="1"/>
    <col min="7687" max="7687" width="8.83203125" style="6"/>
    <col min="7688" max="7688" width="5.83203125" style="6" customWidth="1"/>
    <col min="7689" max="7694" width="9.1640625" style="6" customWidth="1"/>
    <col min="7695" max="7699" width="8.83203125" style="6"/>
    <col min="7700" max="7700" width="14.1640625" style="6" customWidth="1"/>
    <col min="7701" max="7702" width="11.1640625" style="6" customWidth="1"/>
    <col min="7703" max="7936" width="8.83203125" style="6"/>
    <col min="7937" max="7937" width="8" style="6" customWidth="1"/>
    <col min="7938" max="7939" width="10.6640625" style="6" customWidth="1"/>
    <col min="7940" max="7941" width="7.6640625" style="6" customWidth="1"/>
    <col min="7942" max="7942" width="11.6640625" style="6" customWidth="1"/>
    <col min="7943" max="7943" width="8.83203125" style="6"/>
    <col min="7944" max="7944" width="5.83203125" style="6" customWidth="1"/>
    <col min="7945" max="7950" width="9.1640625" style="6" customWidth="1"/>
    <col min="7951" max="7955" width="8.83203125" style="6"/>
    <col min="7956" max="7956" width="14.1640625" style="6" customWidth="1"/>
    <col min="7957" max="7958" width="11.1640625" style="6" customWidth="1"/>
    <col min="7959" max="8192" width="8.83203125" style="6"/>
    <col min="8193" max="8193" width="8" style="6" customWidth="1"/>
    <col min="8194" max="8195" width="10.6640625" style="6" customWidth="1"/>
    <col min="8196" max="8197" width="7.6640625" style="6" customWidth="1"/>
    <col min="8198" max="8198" width="11.6640625" style="6" customWidth="1"/>
    <col min="8199" max="8199" width="8.83203125" style="6"/>
    <col min="8200" max="8200" width="5.83203125" style="6" customWidth="1"/>
    <col min="8201" max="8206" width="9.1640625" style="6" customWidth="1"/>
    <col min="8207" max="8211" width="8.83203125" style="6"/>
    <col min="8212" max="8212" width="14.1640625" style="6" customWidth="1"/>
    <col min="8213" max="8214" width="11.1640625" style="6" customWidth="1"/>
    <col min="8215" max="8448" width="8.83203125" style="6"/>
    <col min="8449" max="8449" width="8" style="6" customWidth="1"/>
    <col min="8450" max="8451" width="10.6640625" style="6" customWidth="1"/>
    <col min="8452" max="8453" width="7.6640625" style="6" customWidth="1"/>
    <col min="8454" max="8454" width="11.6640625" style="6" customWidth="1"/>
    <col min="8455" max="8455" width="8.83203125" style="6"/>
    <col min="8456" max="8456" width="5.83203125" style="6" customWidth="1"/>
    <col min="8457" max="8462" width="9.1640625" style="6" customWidth="1"/>
    <col min="8463" max="8467" width="8.83203125" style="6"/>
    <col min="8468" max="8468" width="14.1640625" style="6" customWidth="1"/>
    <col min="8469" max="8470" width="11.1640625" style="6" customWidth="1"/>
    <col min="8471" max="8704" width="8.83203125" style="6"/>
    <col min="8705" max="8705" width="8" style="6" customWidth="1"/>
    <col min="8706" max="8707" width="10.6640625" style="6" customWidth="1"/>
    <col min="8708" max="8709" width="7.6640625" style="6" customWidth="1"/>
    <col min="8710" max="8710" width="11.6640625" style="6" customWidth="1"/>
    <col min="8711" max="8711" width="8.83203125" style="6"/>
    <col min="8712" max="8712" width="5.83203125" style="6" customWidth="1"/>
    <col min="8713" max="8718" width="9.1640625" style="6" customWidth="1"/>
    <col min="8719" max="8723" width="8.83203125" style="6"/>
    <col min="8724" max="8724" width="14.1640625" style="6" customWidth="1"/>
    <col min="8725" max="8726" width="11.1640625" style="6" customWidth="1"/>
    <col min="8727" max="8960" width="8.83203125" style="6"/>
    <col min="8961" max="8961" width="8" style="6" customWidth="1"/>
    <col min="8962" max="8963" width="10.6640625" style="6" customWidth="1"/>
    <col min="8964" max="8965" width="7.6640625" style="6" customWidth="1"/>
    <col min="8966" max="8966" width="11.6640625" style="6" customWidth="1"/>
    <col min="8967" max="8967" width="8.83203125" style="6"/>
    <col min="8968" max="8968" width="5.83203125" style="6" customWidth="1"/>
    <col min="8969" max="8974" width="9.1640625" style="6" customWidth="1"/>
    <col min="8975" max="8979" width="8.83203125" style="6"/>
    <col min="8980" max="8980" width="14.1640625" style="6" customWidth="1"/>
    <col min="8981" max="8982" width="11.1640625" style="6" customWidth="1"/>
    <col min="8983" max="9216" width="8.83203125" style="6"/>
    <col min="9217" max="9217" width="8" style="6" customWidth="1"/>
    <col min="9218" max="9219" width="10.6640625" style="6" customWidth="1"/>
    <col min="9220" max="9221" width="7.6640625" style="6" customWidth="1"/>
    <col min="9222" max="9222" width="11.6640625" style="6" customWidth="1"/>
    <col min="9223" max="9223" width="8.83203125" style="6"/>
    <col min="9224" max="9224" width="5.83203125" style="6" customWidth="1"/>
    <col min="9225" max="9230" width="9.1640625" style="6" customWidth="1"/>
    <col min="9231" max="9235" width="8.83203125" style="6"/>
    <col min="9236" max="9236" width="14.1640625" style="6" customWidth="1"/>
    <col min="9237" max="9238" width="11.1640625" style="6" customWidth="1"/>
    <col min="9239" max="9472" width="8.83203125" style="6"/>
    <col min="9473" max="9473" width="8" style="6" customWidth="1"/>
    <col min="9474" max="9475" width="10.6640625" style="6" customWidth="1"/>
    <col min="9476" max="9477" width="7.6640625" style="6" customWidth="1"/>
    <col min="9478" max="9478" width="11.6640625" style="6" customWidth="1"/>
    <col min="9479" max="9479" width="8.83203125" style="6"/>
    <col min="9480" max="9480" width="5.83203125" style="6" customWidth="1"/>
    <col min="9481" max="9486" width="9.1640625" style="6" customWidth="1"/>
    <col min="9487" max="9491" width="8.83203125" style="6"/>
    <col min="9492" max="9492" width="14.1640625" style="6" customWidth="1"/>
    <col min="9493" max="9494" width="11.1640625" style="6" customWidth="1"/>
    <col min="9495" max="9728" width="8.83203125" style="6"/>
    <col min="9729" max="9729" width="8" style="6" customWidth="1"/>
    <col min="9730" max="9731" width="10.6640625" style="6" customWidth="1"/>
    <col min="9732" max="9733" width="7.6640625" style="6" customWidth="1"/>
    <col min="9734" max="9734" width="11.6640625" style="6" customWidth="1"/>
    <col min="9735" max="9735" width="8.83203125" style="6"/>
    <col min="9736" max="9736" width="5.83203125" style="6" customWidth="1"/>
    <col min="9737" max="9742" width="9.1640625" style="6" customWidth="1"/>
    <col min="9743" max="9747" width="8.83203125" style="6"/>
    <col min="9748" max="9748" width="14.1640625" style="6" customWidth="1"/>
    <col min="9749" max="9750" width="11.1640625" style="6" customWidth="1"/>
    <col min="9751" max="9984" width="8.83203125" style="6"/>
    <col min="9985" max="9985" width="8" style="6" customWidth="1"/>
    <col min="9986" max="9987" width="10.6640625" style="6" customWidth="1"/>
    <col min="9988" max="9989" width="7.6640625" style="6" customWidth="1"/>
    <col min="9990" max="9990" width="11.6640625" style="6" customWidth="1"/>
    <col min="9991" max="9991" width="8.83203125" style="6"/>
    <col min="9992" max="9992" width="5.83203125" style="6" customWidth="1"/>
    <col min="9993" max="9998" width="9.1640625" style="6" customWidth="1"/>
    <col min="9999" max="10003" width="8.83203125" style="6"/>
    <col min="10004" max="10004" width="14.1640625" style="6" customWidth="1"/>
    <col min="10005" max="10006" width="11.1640625" style="6" customWidth="1"/>
    <col min="10007" max="10240" width="8.83203125" style="6"/>
    <col min="10241" max="10241" width="8" style="6" customWidth="1"/>
    <col min="10242" max="10243" width="10.6640625" style="6" customWidth="1"/>
    <col min="10244" max="10245" width="7.6640625" style="6" customWidth="1"/>
    <col min="10246" max="10246" width="11.6640625" style="6" customWidth="1"/>
    <col min="10247" max="10247" width="8.83203125" style="6"/>
    <col min="10248" max="10248" width="5.83203125" style="6" customWidth="1"/>
    <col min="10249" max="10254" width="9.1640625" style="6" customWidth="1"/>
    <col min="10255" max="10259" width="8.83203125" style="6"/>
    <col min="10260" max="10260" width="14.1640625" style="6" customWidth="1"/>
    <col min="10261" max="10262" width="11.1640625" style="6" customWidth="1"/>
    <col min="10263" max="10496" width="8.83203125" style="6"/>
    <col min="10497" max="10497" width="8" style="6" customWidth="1"/>
    <col min="10498" max="10499" width="10.6640625" style="6" customWidth="1"/>
    <col min="10500" max="10501" width="7.6640625" style="6" customWidth="1"/>
    <col min="10502" max="10502" width="11.6640625" style="6" customWidth="1"/>
    <col min="10503" max="10503" width="8.83203125" style="6"/>
    <col min="10504" max="10504" width="5.83203125" style="6" customWidth="1"/>
    <col min="10505" max="10510" width="9.1640625" style="6" customWidth="1"/>
    <col min="10511" max="10515" width="8.83203125" style="6"/>
    <col min="10516" max="10516" width="14.1640625" style="6" customWidth="1"/>
    <col min="10517" max="10518" width="11.1640625" style="6" customWidth="1"/>
    <col min="10519" max="10752" width="8.83203125" style="6"/>
    <col min="10753" max="10753" width="8" style="6" customWidth="1"/>
    <col min="10754" max="10755" width="10.6640625" style="6" customWidth="1"/>
    <col min="10756" max="10757" width="7.6640625" style="6" customWidth="1"/>
    <col min="10758" max="10758" width="11.6640625" style="6" customWidth="1"/>
    <col min="10759" max="10759" width="8.83203125" style="6"/>
    <col min="10760" max="10760" width="5.83203125" style="6" customWidth="1"/>
    <col min="10761" max="10766" width="9.1640625" style="6" customWidth="1"/>
    <col min="10767" max="10771" width="8.83203125" style="6"/>
    <col min="10772" max="10772" width="14.1640625" style="6" customWidth="1"/>
    <col min="10773" max="10774" width="11.1640625" style="6" customWidth="1"/>
    <col min="10775" max="11008" width="8.83203125" style="6"/>
    <col min="11009" max="11009" width="8" style="6" customWidth="1"/>
    <col min="11010" max="11011" width="10.6640625" style="6" customWidth="1"/>
    <col min="11012" max="11013" width="7.6640625" style="6" customWidth="1"/>
    <col min="11014" max="11014" width="11.6640625" style="6" customWidth="1"/>
    <col min="11015" max="11015" width="8.83203125" style="6"/>
    <col min="11016" max="11016" width="5.83203125" style="6" customWidth="1"/>
    <col min="11017" max="11022" width="9.1640625" style="6" customWidth="1"/>
    <col min="11023" max="11027" width="8.83203125" style="6"/>
    <col min="11028" max="11028" width="14.1640625" style="6" customWidth="1"/>
    <col min="11029" max="11030" width="11.1640625" style="6" customWidth="1"/>
    <col min="11031" max="11264" width="8.83203125" style="6"/>
    <col min="11265" max="11265" width="8" style="6" customWidth="1"/>
    <col min="11266" max="11267" width="10.6640625" style="6" customWidth="1"/>
    <col min="11268" max="11269" width="7.6640625" style="6" customWidth="1"/>
    <col min="11270" max="11270" width="11.6640625" style="6" customWidth="1"/>
    <col min="11271" max="11271" width="8.83203125" style="6"/>
    <col min="11272" max="11272" width="5.83203125" style="6" customWidth="1"/>
    <col min="11273" max="11278" width="9.1640625" style="6" customWidth="1"/>
    <col min="11279" max="11283" width="8.83203125" style="6"/>
    <col min="11284" max="11284" width="14.1640625" style="6" customWidth="1"/>
    <col min="11285" max="11286" width="11.1640625" style="6" customWidth="1"/>
    <col min="11287" max="11520" width="8.83203125" style="6"/>
    <col min="11521" max="11521" width="8" style="6" customWidth="1"/>
    <col min="11522" max="11523" width="10.6640625" style="6" customWidth="1"/>
    <col min="11524" max="11525" width="7.6640625" style="6" customWidth="1"/>
    <col min="11526" max="11526" width="11.6640625" style="6" customWidth="1"/>
    <col min="11527" max="11527" width="8.83203125" style="6"/>
    <col min="11528" max="11528" width="5.83203125" style="6" customWidth="1"/>
    <col min="11529" max="11534" width="9.1640625" style="6" customWidth="1"/>
    <col min="11535" max="11539" width="8.83203125" style="6"/>
    <col min="11540" max="11540" width="14.1640625" style="6" customWidth="1"/>
    <col min="11541" max="11542" width="11.1640625" style="6" customWidth="1"/>
    <col min="11543" max="11776" width="8.83203125" style="6"/>
    <col min="11777" max="11777" width="8" style="6" customWidth="1"/>
    <col min="11778" max="11779" width="10.6640625" style="6" customWidth="1"/>
    <col min="11780" max="11781" width="7.6640625" style="6" customWidth="1"/>
    <col min="11782" max="11782" width="11.6640625" style="6" customWidth="1"/>
    <col min="11783" max="11783" width="8.83203125" style="6"/>
    <col min="11784" max="11784" width="5.83203125" style="6" customWidth="1"/>
    <col min="11785" max="11790" width="9.1640625" style="6" customWidth="1"/>
    <col min="11791" max="11795" width="8.83203125" style="6"/>
    <col min="11796" max="11796" width="14.1640625" style="6" customWidth="1"/>
    <col min="11797" max="11798" width="11.1640625" style="6" customWidth="1"/>
    <col min="11799" max="12032" width="8.83203125" style="6"/>
    <col min="12033" max="12033" width="8" style="6" customWidth="1"/>
    <col min="12034" max="12035" width="10.6640625" style="6" customWidth="1"/>
    <col min="12036" max="12037" width="7.6640625" style="6" customWidth="1"/>
    <col min="12038" max="12038" width="11.6640625" style="6" customWidth="1"/>
    <col min="12039" max="12039" width="8.83203125" style="6"/>
    <col min="12040" max="12040" width="5.83203125" style="6" customWidth="1"/>
    <col min="12041" max="12046" width="9.1640625" style="6" customWidth="1"/>
    <col min="12047" max="12051" width="8.83203125" style="6"/>
    <col min="12052" max="12052" width="14.1640625" style="6" customWidth="1"/>
    <col min="12053" max="12054" width="11.1640625" style="6" customWidth="1"/>
    <col min="12055" max="12288" width="8.83203125" style="6"/>
    <col min="12289" max="12289" width="8" style="6" customWidth="1"/>
    <col min="12290" max="12291" width="10.6640625" style="6" customWidth="1"/>
    <col min="12292" max="12293" width="7.6640625" style="6" customWidth="1"/>
    <col min="12294" max="12294" width="11.6640625" style="6" customWidth="1"/>
    <col min="12295" max="12295" width="8.83203125" style="6"/>
    <col min="12296" max="12296" width="5.83203125" style="6" customWidth="1"/>
    <col min="12297" max="12302" width="9.1640625" style="6" customWidth="1"/>
    <col min="12303" max="12307" width="8.83203125" style="6"/>
    <col min="12308" max="12308" width="14.1640625" style="6" customWidth="1"/>
    <col min="12309" max="12310" width="11.1640625" style="6" customWidth="1"/>
    <col min="12311" max="12544" width="8.83203125" style="6"/>
    <col min="12545" max="12545" width="8" style="6" customWidth="1"/>
    <col min="12546" max="12547" width="10.6640625" style="6" customWidth="1"/>
    <col min="12548" max="12549" width="7.6640625" style="6" customWidth="1"/>
    <col min="12550" max="12550" width="11.6640625" style="6" customWidth="1"/>
    <col min="12551" max="12551" width="8.83203125" style="6"/>
    <col min="12552" max="12552" width="5.83203125" style="6" customWidth="1"/>
    <col min="12553" max="12558" width="9.1640625" style="6" customWidth="1"/>
    <col min="12559" max="12563" width="8.83203125" style="6"/>
    <col min="12564" max="12564" width="14.1640625" style="6" customWidth="1"/>
    <col min="12565" max="12566" width="11.1640625" style="6" customWidth="1"/>
    <col min="12567" max="12800" width="8.83203125" style="6"/>
    <col min="12801" max="12801" width="8" style="6" customWidth="1"/>
    <col min="12802" max="12803" width="10.6640625" style="6" customWidth="1"/>
    <col min="12804" max="12805" width="7.6640625" style="6" customWidth="1"/>
    <col min="12806" max="12806" width="11.6640625" style="6" customWidth="1"/>
    <col min="12807" max="12807" width="8.83203125" style="6"/>
    <col min="12808" max="12808" width="5.83203125" style="6" customWidth="1"/>
    <col min="12809" max="12814" width="9.1640625" style="6" customWidth="1"/>
    <col min="12815" max="12819" width="8.83203125" style="6"/>
    <col min="12820" max="12820" width="14.1640625" style="6" customWidth="1"/>
    <col min="12821" max="12822" width="11.1640625" style="6" customWidth="1"/>
    <col min="12823" max="13056" width="8.83203125" style="6"/>
    <col min="13057" max="13057" width="8" style="6" customWidth="1"/>
    <col min="13058" max="13059" width="10.6640625" style="6" customWidth="1"/>
    <col min="13060" max="13061" width="7.6640625" style="6" customWidth="1"/>
    <col min="13062" max="13062" width="11.6640625" style="6" customWidth="1"/>
    <col min="13063" max="13063" width="8.83203125" style="6"/>
    <col min="13064" max="13064" width="5.83203125" style="6" customWidth="1"/>
    <col min="13065" max="13070" width="9.1640625" style="6" customWidth="1"/>
    <col min="13071" max="13075" width="8.83203125" style="6"/>
    <col min="13076" max="13076" width="14.1640625" style="6" customWidth="1"/>
    <col min="13077" max="13078" width="11.1640625" style="6" customWidth="1"/>
    <col min="13079" max="13312" width="8.83203125" style="6"/>
    <col min="13313" max="13313" width="8" style="6" customWidth="1"/>
    <col min="13314" max="13315" width="10.6640625" style="6" customWidth="1"/>
    <col min="13316" max="13317" width="7.6640625" style="6" customWidth="1"/>
    <col min="13318" max="13318" width="11.6640625" style="6" customWidth="1"/>
    <col min="13319" max="13319" width="8.83203125" style="6"/>
    <col min="13320" max="13320" width="5.83203125" style="6" customWidth="1"/>
    <col min="13321" max="13326" width="9.1640625" style="6" customWidth="1"/>
    <col min="13327" max="13331" width="8.83203125" style="6"/>
    <col min="13332" max="13332" width="14.1640625" style="6" customWidth="1"/>
    <col min="13333" max="13334" width="11.1640625" style="6" customWidth="1"/>
    <col min="13335" max="13568" width="8.83203125" style="6"/>
    <col min="13569" max="13569" width="8" style="6" customWidth="1"/>
    <col min="13570" max="13571" width="10.6640625" style="6" customWidth="1"/>
    <col min="13572" max="13573" width="7.6640625" style="6" customWidth="1"/>
    <col min="13574" max="13574" width="11.6640625" style="6" customWidth="1"/>
    <col min="13575" max="13575" width="8.83203125" style="6"/>
    <col min="13576" max="13576" width="5.83203125" style="6" customWidth="1"/>
    <col min="13577" max="13582" width="9.1640625" style="6" customWidth="1"/>
    <col min="13583" max="13587" width="8.83203125" style="6"/>
    <col min="13588" max="13588" width="14.1640625" style="6" customWidth="1"/>
    <col min="13589" max="13590" width="11.1640625" style="6" customWidth="1"/>
    <col min="13591" max="13824" width="8.83203125" style="6"/>
    <col min="13825" max="13825" width="8" style="6" customWidth="1"/>
    <col min="13826" max="13827" width="10.6640625" style="6" customWidth="1"/>
    <col min="13828" max="13829" width="7.6640625" style="6" customWidth="1"/>
    <col min="13830" max="13830" width="11.6640625" style="6" customWidth="1"/>
    <col min="13831" max="13831" width="8.83203125" style="6"/>
    <col min="13832" max="13832" width="5.83203125" style="6" customWidth="1"/>
    <col min="13833" max="13838" width="9.1640625" style="6" customWidth="1"/>
    <col min="13839" max="13843" width="8.83203125" style="6"/>
    <col min="13844" max="13844" width="14.1640625" style="6" customWidth="1"/>
    <col min="13845" max="13846" width="11.1640625" style="6" customWidth="1"/>
    <col min="13847" max="14080" width="8.83203125" style="6"/>
    <col min="14081" max="14081" width="8" style="6" customWidth="1"/>
    <col min="14082" max="14083" width="10.6640625" style="6" customWidth="1"/>
    <col min="14084" max="14085" width="7.6640625" style="6" customWidth="1"/>
    <col min="14086" max="14086" width="11.6640625" style="6" customWidth="1"/>
    <col min="14087" max="14087" width="8.83203125" style="6"/>
    <col min="14088" max="14088" width="5.83203125" style="6" customWidth="1"/>
    <col min="14089" max="14094" width="9.1640625" style="6" customWidth="1"/>
    <col min="14095" max="14099" width="8.83203125" style="6"/>
    <col min="14100" max="14100" width="14.1640625" style="6" customWidth="1"/>
    <col min="14101" max="14102" width="11.1640625" style="6" customWidth="1"/>
    <col min="14103" max="14336" width="8.83203125" style="6"/>
    <col min="14337" max="14337" width="8" style="6" customWidth="1"/>
    <col min="14338" max="14339" width="10.6640625" style="6" customWidth="1"/>
    <col min="14340" max="14341" width="7.6640625" style="6" customWidth="1"/>
    <col min="14342" max="14342" width="11.6640625" style="6" customWidth="1"/>
    <col min="14343" max="14343" width="8.83203125" style="6"/>
    <col min="14344" max="14344" width="5.83203125" style="6" customWidth="1"/>
    <col min="14345" max="14350" width="9.1640625" style="6" customWidth="1"/>
    <col min="14351" max="14355" width="8.83203125" style="6"/>
    <col min="14356" max="14356" width="14.1640625" style="6" customWidth="1"/>
    <col min="14357" max="14358" width="11.1640625" style="6" customWidth="1"/>
    <col min="14359" max="14592" width="8.83203125" style="6"/>
    <col min="14593" max="14593" width="8" style="6" customWidth="1"/>
    <col min="14594" max="14595" width="10.6640625" style="6" customWidth="1"/>
    <col min="14596" max="14597" width="7.6640625" style="6" customWidth="1"/>
    <col min="14598" max="14598" width="11.6640625" style="6" customWidth="1"/>
    <col min="14599" max="14599" width="8.83203125" style="6"/>
    <col min="14600" max="14600" width="5.83203125" style="6" customWidth="1"/>
    <col min="14601" max="14606" width="9.1640625" style="6" customWidth="1"/>
    <col min="14607" max="14611" width="8.83203125" style="6"/>
    <col min="14612" max="14612" width="14.1640625" style="6" customWidth="1"/>
    <col min="14613" max="14614" width="11.1640625" style="6" customWidth="1"/>
    <col min="14615" max="14848" width="8.83203125" style="6"/>
    <col min="14849" max="14849" width="8" style="6" customWidth="1"/>
    <col min="14850" max="14851" width="10.6640625" style="6" customWidth="1"/>
    <col min="14852" max="14853" width="7.6640625" style="6" customWidth="1"/>
    <col min="14854" max="14854" width="11.6640625" style="6" customWidth="1"/>
    <col min="14855" max="14855" width="8.83203125" style="6"/>
    <col min="14856" max="14856" width="5.83203125" style="6" customWidth="1"/>
    <col min="14857" max="14862" width="9.1640625" style="6" customWidth="1"/>
    <col min="14863" max="14867" width="8.83203125" style="6"/>
    <col min="14868" max="14868" width="14.1640625" style="6" customWidth="1"/>
    <col min="14869" max="14870" width="11.1640625" style="6" customWidth="1"/>
    <col min="14871" max="15104" width="8.83203125" style="6"/>
    <col min="15105" max="15105" width="8" style="6" customWidth="1"/>
    <col min="15106" max="15107" width="10.6640625" style="6" customWidth="1"/>
    <col min="15108" max="15109" width="7.6640625" style="6" customWidth="1"/>
    <col min="15110" max="15110" width="11.6640625" style="6" customWidth="1"/>
    <col min="15111" max="15111" width="8.83203125" style="6"/>
    <col min="15112" max="15112" width="5.83203125" style="6" customWidth="1"/>
    <col min="15113" max="15118" width="9.1640625" style="6" customWidth="1"/>
    <col min="15119" max="15123" width="8.83203125" style="6"/>
    <col min="15124" max="15124" width="14.1640625" style="6" customWidth="1"/>
    <col min="15125" max="15126" width="11.1640625" style="6" customWidth="1"/>
    <col min="15127" max="15360" width="8.83203125" style="6"/>
    <col min="15361" max="15361" width="8" style="6" customWidth="1"/>
    <col min="15362" max="15363" width="10.6640625" style="6" customWidth="1"/>
    <col min="15364" max="15365" width="7.6640625" style="6" customWidth="1"/>
    <col min="15366" max="15366" width="11.6640625" style="6" customWidth="1"/>
    <col min="15367" max="15367" width="8.83203125" style="6"/>
    <col min="15368" max="15368" width="5.83203125" style="6" customWidth="1"/>
    <col min="15369" max="15374" width="9.1640625" style="6" customWidth="1"/>
    <col min="15375" max="15379" width="8.83203125" style="6"/>
    <col min="15380" max="15380" width="14.1640625" style="6" customWidth="1"/>
    <col min="15381" max="15382" width="11.1640625" style="6" customWidth="1"/>
    <col min="15383" max="15616" width="8.83203125" style="6"/>
    <col min="15617" max="15617" width="8" style="6" customWidth="1"/>
    <col min="15618" max="15619" width="10.6640625" style="6" customWidth="1"/>
    <col min="15620" max="15621" width="7.6640625" style="6" customWidth="1"/>
    <col min="15622" max="15622" width="11.6640625" style="6" customWidth="1"/>
    <col min="15623" max="15623" width="8.83203125" style="6"/>
    <col min="15624" max="15624" width="5.83203125" style="6" customWidth="1"/>
    <col min="15625" max="15630" width="9.1640625" style="6" customWidth="1"/>
    <col min="15631" max="15635" width="8.83203125" style="6"/>
    <col min="15636" max="15636" width="14.1640625" style="6" customWidth="1"/>
    <col min="15637" max="15638" width="11.1640625" style="6" customWidth="1"/>
    <col min="15639" max="15872" width="8.83203125" style="6"/>
    <col min="15873" max="15873" width="8" style="6" customWidth="1"/>
    <col min="15874" max="15875" width="10.6640625" style="6" customWidth="1"/>
    <col min="15876" max="15877" width="7.6640625" style="6" customWidth="1"/>
    <col min="15878" max="15878" width="11.6640625" style="6" customWidth="1"/>
    <col min="15879" max="15879" width="8.83203125" style="6"/>
    <col min="15880" max="15880" width="5.83203125" style="6" customWidth="1"/>
    <col min="15881" max="15886" width="9.1640625" style="6" customWidth="1"/>
    <col min="15887" max="15891" width="8.83203125" style="6"/>
    <col min="15892" max="15892" width="14.1640625" style="6" customWidth="1"/>
    <col min="15893" max="15894" width="11.1640625" style="6" customWidth="1"/>
    <col min="15895" max="16128" width="8.83203125" style="6"/>
    <col min="16129" max="16129" width="8" style="6" customWidth="1"/>
    <col min="16130" max="16131" width="10.6640625" style="6" customWidth="1"/>
    <col min="16132" max="16133" width="7.6640625" style="6" customWidth="1"/>
    <col min="16134" max="16134" width="11.6640625" style="6" customWidth="1"/>
    <col min="16135" max="16135" width="8.83203125" style="6"/>
    <col min="16136" max="16136" width="5.83203125" style="6" customWidth="1"/>
    <col min="16137" max="16142" width="9.1640625" style="6" customWidth="1"/>
    <col min="16143" max="16147" width="8.83203125" style="6"/>
    <col min="16148" max="16148" width="14.1640625" style="6" customWidth="1"/>
    <col min="16149" max="16150" width="11.1640625" style="6" customWidth="1"/>
    <col min="16151" max="16384" width="8.83203125" style="6"/>
  </cols>
  <sheetData>
    <row r="1" spans="1:66" ht="31.5" thickBot="1">
      <c r="A1" s="4" t="s">
        <v>9</v>
      </c>
      <c r="I1" s="5"/>
      <c r="J1" s="5"/>
      <c r="K1" s="5"/>
      <c r="L1" s="5"/>
      <c r="M1" s="5"/>
      <c r="N1" s="5"/>
      <c r="O1" s="5"/>
      <c r="Q1" s="5"/>
      <c r="AH1" s="5"/>
      <c r="AI1" s="5"/>
      <c r="AJ1" s="5"/>
      <c r="AK1" s="5">
        <v>0</v>
      </c>
      <c r="AL1" s="5" t="s">
        <v>21</v>
      </c>
      <c r="AM1" s="5"/>
      <c r="AN1" s="5"/>
      <c r="AO1" s="5"/>
      <c r="AP1" s="5"/>
      <c r="AQ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spans="1:66" s="11" customFormat="1" ht="42" customHeight="1" thickBot="1">
      <c r="A2" s="9" t="s">
        <v>10</v>
      </c>
      <c r="B2" s="47" t="s">
        <v>21</v>
      </c>
      <c r="C2" s="5"/>
      <c r="D2" s="5"/>
      <c r="E2" s="10"/>
      <c r="F2" s="48" t="s">
        <v>11</v>
      </c>
      <c r="G2" s="49"/>
      <c r="I2" s="12"/>
      <c r="J2" s="12"/>
      <c r="K2" s="12"/>
      <c r="L2" s="12"/>
      <c r="M2" s="12"/>
      <c r="N2" s="12"/>
      <c r="O2" s="12"/>
      <c r="Q2" s="12"/>
      <c r="R2" s="5"/>
      <c r="S2" s="5"/>
      <c r="T2" s="5"/>
      <c r="U2" s="5"/>
      <c r="V2" s="5"/>
      <c r="W2" s="12"/>
      <c r="X2" s="12"/>
      <c r="Y2" s="8"/>
      <c r="Z2" s="8"/>
      <c r="AA2" s="12"/>
      <c r="AB2" s="12"/>
      <c r="AC2" s="12"/>
      <c r="AD2" s="12"/>
      <c r="AE2" s="12"/>
      <c r="AF2" s="12"/>
      <c r="AG2" s="12"/>
      <c r="AH2" s="12">
        <v>0</v>
      </c>
      <c r="AI2" s="12"/>
      <c r="AJ2" s="12"/>
      <c r="AK2" s="12">
        <v>0</v>
      </c>
      <c r="AL2" s="12">
        <v>0</v>
      </c>
      <c r="AM2" s="12"/>
      <c r="AN2" s="12"/>
      <c r="AO2" s="12"/>
      <c r="AP2" s="12"/>
      <c r="AQ2" s="12"/>
      <c r="AR2" s="5"/>
      <c r="AS2" s="5"/>
      <c r="AT2" s="5"/>
      <c r="AU2" s="5"/>
      <c r="AV2" s="5"/>
      <c r="AW2" s="5"/>
      <c r="AX2" s="5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</row>
    <row r="3" spans="1:66" ht="16.5" thickBot="1">
      <c r="A3" s="13">
        <v>1</v>
      </c>
      <c r="B3" s="46">
        <v>1380634.6989</v>
      </c>
      <c r="E3" s="14"/>
      <c r="F3" s="15">
        <v>10000</v>
      </c>
      <c r="G3" s="16" t="s">
        <v>12</v>
      </c>
      <c r="AH3" s="5">
        <v>0.12903225421905518</v>
      </c>
      <c r="AI3" s="5">
        <v>0</v>
      </c>
      <c r="AJ3" s="5"/>
      <c r="AK3" s="5">
        <v>0</v>
      </c>
      <c r="AL3" s="5">
        <v>1441</v>
      </c>
      <c r="AM3" s="5"/>
      <c r="AN3" s="5"/>
      <c r="AO3" s="5"/>
      <c r="AP3" s="5"/>
      <c r="AQ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</row>
    <row r="4" spans="1:66" ht="16.5" thickBot="1">
      <c r="A4" s="13">
        <v>2</v>
      </c>
      <c r="B4" s="46">
        <v>5786419.7777000004</v>
      </c>
      <c r="E4" s="14"/>
      <c r="F4" s="17">
        <v>3.9999996777623892</v>
      </c>
      <c r="G4" s="18" t="s">
        <v>13</v>
      </c>
      <c r="I4" s="50" t="s">
        <v>14</v>
      </c>
      <c r="J4" s="51"/>
      <c r="K4" s="52"/>
      <c r="L4" s="53" t="s">
        <v>15</v>
      </c>
      <c r="M4" s="53"/>
      <c r="N4" s="54"/>
      <c r="P4" s="19"/>
      <c r="AH4" s="5">
        <v>0.25806450843811035</v>
      </c>
      <c r="AI4" s="5">
        <v>3</v>
      </c>
      <c r="AJ4" s="5"/>
      <c r="AK4" s="5">
        <v>1000000</v>
      </c>
      <c r="AL4" s="5">
        <v>1441</v>
      </c>
      <c r="AM4" s="5"/>
      <c r="AN4" s="5"/>
      <c r="AO4" s="5"/>
      <c r="AP4" s="5"/>
      <c r="AQ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</row>
    <row r="5" spans="1:66">
      <c r="A5" s="13">
        <v>3</v>
      </c>
      <c r="B5" s="46">
        <v>3228998.5211</v>
      </c>
      <c r="E5" s="20"/>
      <c r="F5" s="21"/>
      <c r="G5" s="20"/>
      <c r="I5" s="22" t="s">
        <v>16</v>
      </c>
      <c r="J5" s="42">
        <v>3483344.4754607338</v>
      </c>
      <c r="K5" s="23"/>
      <c r="L5" s="24"/>
      <c r="M5" s="25"/>
      <c r="N5" s="26"/>
      <c r="P5" s="19"/>
      <c r="AH5" s="5">
        <v>0.38709676265716553</v>
      </c>
      <c r="AI5" s="5">
        <v>4</v>
      </c>
      <c r="AJ5" s="5"/>
      <c r="AK5" s="5">
        <v>1000000</v>
      </c>
      <c r="AL5" s="5">
        <v>2696</v>
      </c>
      <c r="AM5" s="5"/>
      <c r="AN5" s="5"/>
      <c r="AO5" s="5"/>
      <c r="AP5" s="5"/>
      <c r="AQ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</row>
    <row r="6" spans="1:66">
      <c r="A6" s="13">
        <v>4</v>
      </c>
      <c r="B6" s="46">
        <v>749559.58039999998</v>
      </c>
      <c r="I6" s="27" t="s">
        <v>17</v>
      </c>
      <c r="J6" s="43">
        <v>3649892.706104781</v>
      </c>
      <c r="K6" s="28"/>
      <c r="L6" s="29"/>
      <c r="M6" s="30"/>
      <c r="N6" s="28"/>
      <c r="AH6" s="5">
        <v>0.5161290168762207</v>
      </c>
      <c r="AI6" s="5">
        <v>8</v>
      </c>
      <c r="AJ6" s="5"/>
      <c r="AK6" s="5">
        <v>2000000</v>
      </c>
      <c r="AL6" s="5">
        <v>2696</v>
      </c>
      <c r="AM6" s="5"/>
      <c r="AN6" s="5"/>
      <c r="AO6" s="5"/>
      <c r="AP6" s="5"/>
      <c r="AQ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</row>
    <row r="7" spans="1:66">
      <c r="A7" s="13">
        <v>5</v>
      </c>
      <c r="B7" s="46">
        <v>247938.9712</v>
      </c>
      <c r="F7" s="31"/>
      <c r="I7" s="32" t="s">
        <v>18</v>
      </c>
      <c r="J7" s="43">
        <v>65391817.2086</v>
      </c>
      <c r="K7" s="23"/>
      <c r="L7" s="33"/>
      <c r="M7" s="14"/>
      <c r="N7" s="28"/>
      <c r="AH7" s="5">
        <v>0.64516127109527588</v>
      </c>
      <c r="AI7" s="5">
        <v>4</v>
      </c>
      <c r="AJ7" s="5"/>
      <c r="AK7" s="5">
        <v>2000000</v>
      </c>
      <c r="AL7" s="5">
        <v>1908</v>
      </c>
      <c r="AM7" s="5"/>
      <c r="AN7" s="5"/>
      <c r="AO7" s="5"/>
      <c r="AP7" s="5"/>
      <c r="AQ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</row>
    <row r="8" spans="1:66" ht="16.5" thickBot="1">
      <c r="A8" s="13">
        <v>6</v>
      </c>
      <c r="B8" s="46">
        <v>620052.4952</v>
      </c>
      <c r="F8" s="31"/>
      <c r="I8" s="34" t="s">
        <v>19</v>
      </c>
      <c r="J8" s="44">
        <v>153553.8222</v>
      </c>
      <c r="K8" s="35"/>
      <c r="L8" s="36"/>
      <c r="M8" s="37"/>
      <c r="N8" s="38"/>
      <c r="AH8" s="5">
        <v>0.77419352531433105</v>
      </c>
      <c r="AI8" s="5">
        <v>9</v>
      </c>
      <c r="AJ8" s="5"/>
      <c r="AK8" s="5">
        <v>3000000</v>
      </c>
      <c r="AL8" s="5">
        <v>1908</v>
      </c>
      <c r="AM8" s="5"/>
      <c r="AN8" s="5"/>
      <c r="AO8" s="5"/>
      <c r="AP8" s="5"/>
      <c r="AQ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</row>
    <row r="9" spans="1:66">
      <c r="A9" s="13">
        <v>7</v>
      </c>
      <c r="B9" s="46">
        <v>4124654.3221</v>
      </c>
      <c r="F9" s="31"/>
      <c r="I9" s="20"/>
      <c r="J9" s="39"/>
      <c r="K9" s="20"/>
      <c r="L9" s="20"/>
      <c r="M9" s="20"/>
      <c r="N9" s="20"/>
      <c r="AH9" s="5">
        <v>0.90322577953338623</v>
      </c>
      <c r="AI9" s="5">
        <v>9</v>
      </c>
      <c r="AJ9" s="5"/>
      <c r="AK9" s="5">
        <v>3000000</v>
      </c>
      <c r="AL9" s="5">
        <v>1151</v>
      </c>
      <c r="AM9" s="5"/>
      <c r="AN9" s="5"/>
      <c r="AO9" s="5"/>
      <c r="AP9" s="5"/>
      <c r="AQ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</row>
    <row r="10" spans="1:66">
      <c r="A10" s="13">
        <v>8</v>
      </c>
      <c r="B10" s="46">
        <v>1515741.0974000001</v>
      </c>
      <c r="F10" s="31"/>
      <c r="I10" s="14"/>
      <c r="J10" s="39"/>
      <c r="K10" s="20"/>
      <c r="L10" s="20"/>
      <c r="M10" s="20"/>
      <c r="N10" s="20"/>
      <c r="P10" s="19"/>
      <c r="AH10" s="5">
        <v>1.0322580337524414</v>
      </c>
      <c r="AI10" s="5">
        <v>12</v>
      </c>
      <c r="AJ10" s="5"/>
      <c r="AK10" s="5">
        <v>4000000</v>
      </c>
      <c r="AL10" s="5">
        <v>1151</v>
      </c>
      <c r="AM10" s="5"/>
      <c r="AN10" s="5"/>
      <c r="AO10" s="5"/>
      <c r="AP10" s="5"/>
      <c r="AQ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</row>
    <row r="11" spans="1:66">
      <c r="A11" s="13">
        <v>9</v>
      </c>
      <c r="B11" s="46">
        <v>2089834.4694000001</v>
      </c>
      <c r="I11" s="20"/>
      <c r="J11" s="39"/>
      <c r="K11" s="20"/>
      <c r="L11" s="20"/>
      <c r="M11" s="20"/>
      <c r="N11" s="20"/>
      <c r="P11" s="19"/>
      <c r="AH11" s="5">
        <v>1.1612902879714966</v>
      </c>
      <c r="AI11" s="5">
        <v>8</v>
      </c>
      <c r="AJ11" s="5"/>
      <c r="AK11" s="5">
        <v>4000000</v>
      </c>
      <c r="AL11" s="5">
        <v>816</v>
      </c>
      <c r="AM11" s="5"/>
      <c r="AN11" s="5"/>
      <c r="AO11" s="5"/>
      <c r="AP11" s="5"/>
      <c r="AQ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</row>
    <row r="12" spans="1:66">
      <c r="A12" s="13">
        <v>10</v>
      </c>
      <c r="B12" s="46">
        <v>1571137.4993</v>
      </c>
      <c r="I12" s="20"/>
      <c r="J12" s="20"/>
      <c r="K12" s="20"/>
      <c r="L12" s="20"/>
      <c r="M12" s="20"/>
      <c r="N12" s="20"/>
      <c r="P12" s="19"/>
      <c r="AH12" s="5">
        <v>1.2903225421905518</v>
      </c>
      <c r="AI12" s="5">
        <v>3</v>
      </c>
      <c r="AJ12" s="5"/>
      <c r="AK12" s="5">
        <v>5000000</v>
      </c>
      <c r="AL12" s="5">
        <v>816</v>
      </c>
      <c r="AM12" s="5"/>
      <c r="AN12" s="5"/>
      <c r="AO12" s="5"/>
      <c r="AP12" s="5"/>
      <c r="AQ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</row>
    <row r="13" spans="1:66">
      <c r="A13" s="13">
        <v>11</v>
      </c>
      <c r="B13" s="46">
        <v>2364713.477</v>
      </c>
      <c r="I13" s="20"/>
      <c r="J13" s="20"/>
      <c r="K13" s="20"/>
      <c r="L13" s="20"/>
      <c r="M13" s="20"/>
      <c r="N13" s="20"/>
      <c r="AH13" s="5">
        <v>1.4193547964096069</v>
      </c>
      <c r="AI13" s="5">
        <v>6</v>
      </c>
      <c r="AJ13" s="5"/>
      <c r="AK13" s="5">
        <v>5000000</v>
      </c>
      <c r="AL13" s="5">
        <v>565</v>
      </c>
      <c r="AM13" s="5"/>
      <c r="AN13" s="5"/>
      <c r="AO13" s="5"/>
      <c r="AP13" s="5"/>
      <c r="AQ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</row>
    <row r="14" spans="1:66">
      <c r="A14" s="13">
        <v>12</v>
      </c>
      <c r="B14" s="46">
        <v>3760211.6058999998</v>
      </c>
      <c r="E14" s="40"/>
      <c r="I14" s="20"/>
      <c r="J14" s="20"/>
      <c r="K14" s="20"/>
      <c r="L14" s="20"/>
      <c r="M14" s="20"/>
      <c r="N14" s="20"/>
      <c r="AH14" s="5">
        <v>1.5483870506286621</v>
      </c>
      <c r="AI14" s="5">
        <v>7</v>
      </c>
      <c r="AJ14" s="5"/>
      <c r="AK14" s="5">
        <v>6000000</v>
      </c>
      <c r="AL14" s="5">
        <v>565</v>
      </c>
      <c r="AM14" s="5"/>
      <c r="AN14" s="5"/>
      <c r="AO14" s="5"/>
      <c r="AP14" s="5"/>
      <c r="AQ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</row>
    <row r="15" spans="1:66">
      <c r="A15" s="13">
        <v>13</v>
      </c>
      <c r="B15" s="46">
        <v>2280655.8563999999</v>
      </c>
      <c r="E15" s="40"/>
      <c r="I15" s="20"/>
      <c r="J15" s="20"/>
      <c r="K15" s="20"/>
      <c r="L15" s="20"/>
      <c r="M15" s="20"/>
      <c r="N15" s="20"/>
      <c r="AH15" s="5">
        <v>1.6774193048477173</v>
      </c>
      <c r="AI15" s="5">
        <v>6</v>
      </c>
      <c r="AJ15" s="5"/>
      <c r="AK15" s="5">
        <v>6000000</v>
      </c>
      <c r="AL15" s="5">
        <v>379</v>
      </c>
      <c r="AM15" s="5"/>
      <c r="AN15" s="5"/>
      <c r="AO15" s="5"/>
      <c r="AP15" s="5"/>
      <c r="AQ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</row>
    <row r="16" spans="1:66">
      <c r="A16" s="13">
        <v>14</v>
      </c>
      <c r="B16" s="46">
        <v>934020.3077</v>
      </c>
      <c r="E16" s="40"/>
      <c r="I16" s="20"/>
      <c r="J16" s="20"/>
      <c r="K16" s="20"/>
      <c r="L16" s="20"/>
      <c r="M16" s="20"/>
      <c r="N16" s="20"/>
      <c r="AH16" s="5">
        <v>1.8064515590667725</v>
      </c>
      <c r="AI16" s="5">
        <v>6</v>
      </c>
      <c r="AJ16" s="5"/>
      <c r="AK16" s="5">
        <v>7000000</v>
      </c>
      <c r="AL16" s="5">
        <v>379</v>
      </c>
      <c r="AM16" s="5"/>
      <c r="AN16" s="5"/>
      <c r="AO16" s="5"/>
      <c r="AP16" s="5"/>
      <c r="AQ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</row>
    <row r="17" spans="1:66">
      <c r="A17" s="13">
        <v>15</v>
      </c>
      <c r="B17" s="46">
        <v>870003.63859999995</v>
      </c>
      <c r="I17" s="20"/>
      <c r="J17" s="20"/>
      <c r="K17" s="20"/>
      <c r="L17" s="20"/>
      <c r="M17" s="20"/>
      <c r="N17" s="20"/>
      <c r="AH17" s="5">
        <v>1.9354838132858276</v>
      </c>
      <c r="AI17" s="5">
        <v>2</v>
      </c>
      <c r="AJ17" s="5"/>
      <c r="AK17" s="5">
        <v>7000000</v>
      </c>
      <c r="AL17" s="5">
        <v>257</v>
      </c>
      <c r="AM17" s="5"/>
      <c r="AN17" s="5"/>
      <c r="AO17" s="5"/>
      <c r="AP17" s="5"/>
      <c r="AQ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</row>
    <row r="18" spans="1:66">
      <c r="A18" s="13">
        <v>16</v>
      </c>
      <c r="B18" s="46">
        <v>1668403.6438</v>
      </c>
      <c r="I18" s="20"/>
      <c r="J18" s="20"/>
      <c r="K18" s="20"/>
      <c r="L18" s="20"/>
      <c r="M18" s="20"/>
      <c r="N18" s="20"/>
      <c r="AH18" s="5">
        <v>2.0645160675048828</v>
      </c>
      <c r="AI18" s="5">
        <v>5</v>
      </c>
      <c r="AJ18" s="5"/>
      <c r="AK18" s="5">
        <v>8000000</v>
      </c>
      <c r="AL18" s="5">
        <v>257</v>
      </c>
      <c r="AM18" s="5"/>
      <c r="AN18" s="5"/>
      <c r="AO18" s="5"/>
      <c r="AP18" s="5"/>
      <c r="AQ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</row>
    <row r="19" spans="1:66">
      <c r="A19" s="13">
        <v>17</v>
      </c>
      <c r="B19" s="46">
        <v>2409963.7132000001</v>
      </c>
      <c r="I19" s="20"/>
      <c r="J19" s="20"/>
      <c r="K19" s="20"/>
      <c r="L19" s="20"/>
      <c r="M19" s="20"/>
      <c r="N19" s="20"/>
      <c r="AH19" s="5">
        <v>2.193548321723938</v>
      </c>
      <c r="AI19" s="5">
        <v>2</v>
      </c>
      <c r="AJ19" s="5"/>
      <c r="AK19" s="5">
        <v>8000000</v>
      </c>
      <c r="AL19" s="5">
        <v>165</v>
      </c>
      <c r="AM19" s="5"/>
      <c r="AN19" s="5"/>
      <c r="AO19" s="5"/>
      <c r="AP19" s="5"/>
      <c r="AQ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</row>
    <row r="20" spans="1:66">
      <c r="A20" s="13">
        <v>18</v>
      </c>
      <c r="B20" s="46">
        <v>2432602.7326000002</v>
      </c>
      <c r="I20" s="20"/>
      <c r="J20" s="20"/>
      <c r="K20" s="20"/>
      <c r="L20" s="20"/>
      <c r="M20" s="20"/>
      <c r="N20" s="20"/>
      <c r="AH20" s="5">
        <v>2.3225805759429932</v>
      </c>
      <c r="AI20" s="5">
        <v>3</v>
      </c>
      <c r="AJ20" s="5"/>
      <c r="AK20" s="5">
        <v>9000000</v>
      </c>
      <c r="AL20" s="5">
        <v>165</v>
      </c>
      <c r="AM20" s="5"/>
      <c r="AN20" s="5"/>
      <c r="AO20" s="5"/>
      <c r="AP20" s="5"/>
      <c r="AQ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</row>
    <row r="21" spans="1:66">
      <c r="A21" s="13">
        <v>19</v>
      </c>
      <c r="B21" s="46">
        <v>1035827.9992</v>
      </c>
      <c r="I21" s="20"/>
      <c r="J21" s="20"/>
      <c r="K21" s="20"/>
      <c r="L21" s="20"/>
      <c r="M21" s="20"/>
      <c r="N21" s="20"/>
      <c r="AH21" s="5">
        <v>2.4516128301620483</v>
      </c>
      <c r="AI21" s="5">
        <v>2</v>
      </c>
      <c r="AJ21" s="5"/>
      <c r="AK21" s="5">
        <v>9000000</v>
      </c>
      <c r="AL21" s="5">
        <v>137</v>
      </c>
      <c r="AM21" s="5"/>
      <c r="AN21" s="5"/>
      <c r="AO21" s="5"/>
      <c r="AP21" s="5"/>
      <c r="AQ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</row>
    <row r="22" spans="1:66">
      <c r="A22" s="13">
        <v>20</v>
      </c>
      <c r="B22" s="46">
        <v>658592.40760000004</v>
      </c>
      <c r="I22" s="20"/>
      <c r="J22" s="20"/>
      <c r="K22" s="20"/>
      <c r="L22" s="20"/>
      <c r="M22" s="20"/>
      <c r="N22" s="20"/>
      <c r="AH22" s="5">
        <v>2.5806450843811035</v>
      </c>
      <c r="AI22" s="5">
        <v>1</v>
      </c>
      <c r="AJ22" s="5"/>
      <c r="AK22" s="5">
        <v>10000000</v>
      </c>
      <c r="AL22" s="5">
        <v>137</v>
      </c>
      <c r="AM22" s="5"/>
      <c r="AN22" s="5"/>
      <c r="AO22" s="5"/>
      <c r="AP22" s="5"/>
      <c r="AQ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</row>
    <row r="23" spans="1:66">
      <c r="A23" s="13">
        <v>21</v>
      </c>
      <c r="B23" s="46">
        <v>1302098.6166999999</v>
      </c>
      <c r="AH23" s="5">
        <v>2.7096773386001587</v>
      </c>
      <c r="AI23" s="5">
        <v>0</v>
      </c>
      <c r="AJ23" s="5"/>
      <c r="AK23" s="5">
        <v>10000000</v>
      </c>
      <c r="AL23" s="5">
        <v>117</v>
      </c>
      <c r="AM23" s="5"/>
      <c r="AN23" s="5"/>
      <c r="AO23" s="5"/>
      <c r="AP23" s="5"/>
      <c r="AQ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</row>
    <row r="24" spans="1:66">
      <c r="A24" s="13">
        <v>22</v>
      </c>
      <c r="B24" s="46">
        <v>2975097.7223</v>
      </c>
      <c r="AH24" s="5">
        <v>2.8387095928192139</v>
      </c>
      <c r="AI24" s="5">
        <v>0</v>
      </c>
      <c r="AJ24" s="5"/>
      <c r="AK24" s="5">
        <v>11000000</v>
      </c>
      <c r="AL24" s="5">
        <v>117</v>
      </c>
      <c r="AM24" s="5"/>
      <c r="AN24" s="5"/>
      <c r="AO24" s="5"/>
      <c r="AP24" s="5"/>
      <c r="AQ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</row>
    <row r="25" spans="1:66">
      <c r="A25" s="13">
        <v>23</v>
      </c>
      <c r="B25" s="46">
        <v>3480219.6557999998</v>
      </c>
      <c r="AH25" s="5">
        <v>2.967741847038269</v>
      </c>
      <c r="AI25" s="5">
        <v>0</v>
      </c>
      <c r="AJ25" s="5"/>
      <c r="AK25" s="5">
        <v>11000000</v>
      </c>
      <c r="AL25" s="5">
        <v>69</v>
      </c>
      <c r="AM25" s="5"/>
      <c r="AN25" s="5"/>
      <c r="AO25" s="5"/>
      <c r="AP25" s="5"/>
      <c r="AQ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</row>
    <row r="26" spans="1:66">
      <c r="A26" s="13">
        <v>24</v>
      </c>
      <c r="B26" s="46">
        <v>4257579.2061999999</v>
      </c>
      <c r="AH26" s="5">
        <v>3.0967741012573242</v>
      </c>
      <c r="AI26" s="5">
        <v>0</v>
      </c>
      <c r="AJ26" s="5"/>
      <c r="AK26" s="5">
        <v>12000000</v>
      </c>
      <c r="AL26" s="5">
        <v>69</v>
      </c>
      <c r="AM26" s="5"/>
      <c r="AN26" s="5"/>
      <c r="AO26" s="5"/>
      <c r="AP26" s="5"/>
      <c r="AQ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</row>
    <row r="27" spans="1:66">
      <c r="A27" s="13">
        <v>25</v>
      </c>
      <c r="B27" s="46">
        <v>5533482.5577999996</v>
      </c>
      <c r="AH27" s="5">
        <v>3.2258063554763794</v>
      </c>
      <c r="AI27" s="5">
        <v>0</v>
      </c>
      <c r="AJ27" s="5"/>
      <c r="AK27" s="5">
        <v>12000000</v>
      </c>
      <c r="AL27" s="5">
        <v>56</v>
      </c>
      <c r="AM27" s="5"/>
      <c r="AN27" s="5"/>
      <c r="AO27" s="5"/>
      <c r="AP27" s="5"/>
      <c r="AQ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</row>
    <row r="28" spans="1:66">
      <c r="A28" s="13">
        <v>26</v>
      </c>
      <c r="B28" s="46">
        <v>4871094.1108999997</v>
      </c>
      <c r="AH28" s="5">
        <v>3.3548386096954346</v>
      </c>
      <c r="AI28" s="5">
        <v>0</v>
      </c>
      <c r="AJ28" s="5"/>
      <c r="AK28" s="5">
        <v>13000000</v>
      </c>
      <c r="AL28" s="5">
        <v>56</v>
      </c>
      <c r="AM28" s="5"/>
      <c r="AN28" s="5"/>
      <c r="AO28" s="5"/>
      <c r="AP28" s="5"/>
      <c r="AQ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</row>
    <row r="29" spans="1:66">
      <c r="A29" s="13">
        <v>27</v>
      </c>
      <c r="B29" s="46">
        <v>10194391.859300001</v>
      </c>
      <c r="AH29" s="5">
        <v>3.4838708639144897</v>
      </c>
      <c r="AI29" s="5">
        <v>0</v>
      </c>
      <c r="AJ29" s="5"/>
      <c r="AK29" s="5">
        <v>13000000</v>
      </c>
      <c r="AL29" s="5">
        <v>61</v>
      </c>
      <c r="AM29" s="5"/>
      <c r="AN29" s="5"/>
      <c r="AO29" s="5"/>
      <c r="AP29" s="5"/>
      <c r="AQ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</row>
    <row r="30" spans="1:66">
      <c r="A30" s="13">
        <v>28</v>
      </c>
      <c r="B30" s="46">
        <v>2431087.4687999999</v>
      </c>
      <c r="AH30" s="5">
        <v>3.6129031181335449</v>
      </c>
      <c r="AI30" s="5">
        <v>0</v>
      </c>
      <c r="AJ30" s="5"/>
      <c r="AK30" s="5">
        <v>14000000</v>
      </c>
      <c r="AL30" s="5">
        <v>61</v>
      </c>
      <c r="AM30" s="5"/>
      <c r="AN30" s="5"/>
      <c r="AO30" s="5"/>
      <c r="AP30" s="5"/>
      <c r="AQ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</row>
    <row r="31" spans="1:66">
      <c r="A31" s="13">
        <v>29</v>
      </c>
      <c r="B31" s="46">
        <v>1295943.0081</v>
      </c>
      <c r="AH31" s="5">
        <v>3.7419353723526001</v>
      </c>
      <c r="AI31" s="5">
        <v>0</v>
      </c>
      <c r="AJ31" s="5"/>
      <c r="AK31" s="5">
        <v>14000000</v>
      </c>
      <c r="AL31" s="5">
        <v>30</v>
      </c>
      <c r="AM31" s="5"/>
      <c r="AN31" s="5"/>
      <c r="AO31" s="5"/>
      <c r="AP31" s="5"/>
      <c r="AQ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</row>
    <row r="32" spans="1:66">
      <c r="A32" s="13">
        <v>30</v>
      </c>
      <c r="B32" s="46">
        <v>1291021.6599999999</v>
      </c>
      <c r="AH32" s="5">
        <v>3.8709676265716553</v>
      </c>
      <c r="AI32" s="5">
        <v>0</v>
      </c>
      <c r="AJ32" s="5"/>
      <c r="AK32" s="5">
        <v>15000000</v>
      </c>
      <c r="AL32" s="5">
        <v>30</v>
      </c>
      <c r="AM32" s="5"/>
      <c r="AN32" s="5"/>
      <c r="AO32" s="5"/>
      <c r="AP32" s="5"/>
      <c r="AQ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</row>
    <row r="33" spans="1:66">
      <c r="A33" s="13">
        <v>31</v>
      </c>
      <c r="B33" s="46">
        <v>1600545.1917000001</v>
      </c>
      <c r="AH33" s="5">
        <v>3.9999998807907104</v>
      </c>
      <c r="AI33" s="5">
        <v>0</v>
      </c>
      <c r="AJ33" s="5"/>
      <c r="AK33" s="5">
        <v>15000000</v>
      </c>
      <c r="AL33" s="5">
        <v>30</v>
      </c>
      <c r="AM33" s="5"/>
      <c r="AN33" s="5"/>
      <c r="AO33" s="5"/>
      <c r="AP33" s="5"/>
      <c r="AQ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</row>
    <row r="34" spans="1:66">
      <c r="A34" s="13">
        <v>32</v>
      </c>
      <c r="B34" s="46">
        <v>1111481.8307</v>
      </c>
      <c r="AH34" s="5"/>
      <c r="AI34" s="5"/>
      <c r="AJ34" s="5"/>
      <c r="AK34" s="5">
        <v>16000000</v>
      </c>
      <c r="AL34" s="5">
        <v>30</v>
      </c>
      <c r="AM34" s="5"/>
      <c r="AN34" s="5"/>
      <c r="AO34" s="5"/>
      <c r="AP34" s="5"/>
      <c r="AQ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</row>
    <row r="35" spans="1:66">
      <c r="A35" s="13">
        <v>33</v>
      </c>
      <c r="B35" s="46">
        <v>3736768.7568999999</v>
      </c>
      <c r="AH35" s="5"/>
      <c r="AI35" s="5"/>
      <c r="AJ35" s="5"/>
      <c r="AK35" s="5">
        <v>16000000</v>
      </c>
      <c r="AL35" s="5">
        <v>19</v>
      </c>
      <c r="AM35" s="5"/>
      <c r="AN35" s="5"/>
      <c r="AO35" s="5"/>
      <c r="AP35" s="5"/>
      <c r="AQ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</row>
    <row r="36" spans="1:66">
      <c r="A36" s="13">
        <v>34</v>
      </c>
      <c r="B36" s="46">
        <v>912207.15509999997</v>
      </c>
      <c r="AH36" s="5"/>
      <c r="AI36" s="5"/>
      <c r="AJ36" s="5"/>
      <c r="AK36" s="5">
        <v>17000000</v>
      </c>
      <c r="AL36" s="5">
        <v>19</v>
      </c>
      <c r="AM36" s="5"/>
      <c r="AN36" s="5"/>
      <c r="AO36" s="5"/>
      <c r="AP36" s="5"/>
      <c r="AQ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</row>
    <row r="37" spans="1:66">
      <c r="A37" s="13">
        <v>35</v>
      </c>
      <c r="B37" s="46">
        <v>3613165.9662000001</v>
      </c>
      <c r="AH37" s="5"/>
      <c r="AI37" s="5"/>
      <c r="AJ37" s="5"/>
      <c r="AK37" s="5">
        <v>17000000</v>
      </c>
      <c r="AL37" s="5">
        <v>16</v>
      </c>
      <c r="AM37" s="5"/>
      <c r="AN37" s="5"/>
      <c r="AO37" s="5"/>
      <c r="AP37" s="5"/>
      <c r="AQ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</row>
    <row r="38" spans="1:66">
      <c r="A38" s="13">
        <v>36</v>
      </c>
      <c r="B38" s="46">
        <v>3041217.3344999999</v>
      </c>
      <c r="AH38" s="5"/>
      <c r="AI38" s="5"/>
      <c r="AJ38" s="5"/>
      <c r="AK38" s="5">
        <v>18000000</v>
      </c>
      <c r="AL38" s="5">
        <v>16</v>
      </c>
      <c r="AM38" s="5"/>
      <c r="AN38" s="5"/>
      <c r="AO38" s="5"/>
      <c r="AP38" s="5"/>
      <c r="AQ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</row>
    <row r="39" spans="1:66">
      <c r="A39" s="13">
        <v>37</v>
      </c>
      <c r="B39" s="46">
        <v>1694113.6945</v>
      </c>
      <c r="AH39" s="5"/>
      <c r="AI39" s="5"/>
      <c r="AJ39" s="5"/>
      <c r="AK39" s="5">
        <v>18000000</v>
      </c>
      <c r="AL39" s="5">
        <v>9</v>
      </c>
      <c r="AM39" s="5"/>
      <c r="AN39" s="5"/>
      <c r="AO39" s="5"/>
      <c r="AP39" s="5"/>
      <c r="AQ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</row>
    <row r="40" spans="1:66">
      <c r="A40" s="13">
        <v>38</v>
      </c>
      <c r="B40" s="46">
        <v>6089453.8932999996</v>
      </c>
      <c r="AH40" s="5"/>
      <c r="AI40" s="5"/>
      <c r="AJ40" s="5"/>
      <c r="AK40" s="5">
        <v>19000000</v>
      </c>
      <c r="AL40" s="5">
        <v>9</v>
      </c>
      <c r="AM40" s="5"/>
      <c r="AN40" s="5"/>
      <c r="AO40" s="5"/>
      <c r="AP40" s="5"/>
      <c r="AQ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</row>
    <row r="41" spans="1:66">
      <c r="A41" s="13">
        <v>39</v>
      </c>
      <c r="B41" s="46">
        <v>891186.05599999998</v>
      </c>
      <c r="AH41" s="5"/>
      <c r="AI41" s="5"/>
      <c r="AJ41" s="5"/>
      <c r="AK41" s="5">
        <v>19000000</v>
      </c>
      <c r="AL41" s="5">
        <v>14</v>
      </c>
      <c r="AM41" s="5"/>
      <c r="AN41" s="5"/>
      <c r="AO41" s="5"/>
      <c r="AP41" s="5"/>
      <c r="AQ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</row>
    <row r="42" spans="1:66">
      <c r="A42" s="13">
        <v>40</v>
      </c>
      <c r="B42" s="46">
        <v>2659510.1332999999</v>
      </c>
      <c r="AH42" s="5"/>
      <c r="AI42" s="5"/>
      <c r="AJ42" s="5"/>
      <c r="AK42" s="5">
        <v>20000000</v>
      </c>
      <c r="AL42" s="5">
        <v>14</v>
      </c>
      <c r="AM42" s="5"/>
      <c r="AN42" s="5"/>
      <c r="AO42" s="5"/>
      <c r="AP42" s="5"/>
      <c r="AQ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</row>
    <row r="43" spans="1:66">
      <c r="A43" s="13">
        <v>41</v>
      </c>
      <c r="B43" s="46">
        <v>2947161.1389000001</v>
      </c>
      <c r="AH43" s="5"/>
      <c r="AI43" s="5"/>
      <c r="AJ43" s="5"/>
      <c r="AK43" s="5">
        <v>20000000</v>
      </c>
      <c r="AL43" s="5">
        <v>7</v>
      </c>
      <c r="AM43" s="5"/>
      <c r="AN43" s="5"/>
      <c r="AO43" s="5"/>
      <c r="AP43" s="5"/>
      <c r="AQ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</row>
    <row r="44" spans="1:66">
      <c r="A44" s="13">
        <v>42</v>
      </c>
      <c r="B44" s="46">
        <v>2551828.7703</v>
      </c>
      <c r="AH44" s="5"/>
      <c r="AI44" s="5"/>
      <c r="AJ44" s="5"/>
      <c r="AK44" s="5">
        <v>21000000</v>
      </c>
      <c r="AL44" s="5">
        <v>7</v>
      </c>
      <c r="AM44" s="5"/>
      <c r="AN44" s="5"/>
      <c r="AO44" s="5"/>
      <c r="AP44" s="5"/>
      <c r="AQ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</row>
    <row r="45" spans="1:66">
      <c r="A45" s="13">
        <v>43</v>
      </c>
      <c r="B45" s="46">
        <v>2794958.9756</v>
      </c>
      <c r="AH45" s="5"/>
      <c r="AI45" s="5"/>
      <c r="AJ45" s="5"/>
      <c r="AK45" s="5">
        <v>21000000</v>
      </c>
      <c r="AL45" s="5">
        <v>3</v>
      </c>
      <c r="AM45" s="5"/>
      <c r="AN45" s="5"/>
      <c r="AO45" s="5"/>
      <c r="AP45" s="5"/>
      <c r="AQ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</row>
    <row r="46" spans="1:66">
      <c r="A46" s="13">
        <v>44</v>
      </c>
      <c r="B46" s="46">
        <v>6873241.4944000002</v>
      </c>
      <c r="AH46" s="5"/>
      <c r="AI46" s="5"/>
      <c r="AJ46" s="5"/>
      <c r="AK46" s="5">
        <v>22000000</v>
      </c>
      <c r="AL46" s="5">
        <v>3</v>
      </c>
      <c r="AM46" s="5"/>
      <c r="AN46" s="5"/>
      <c r="AO46" s="5"/>
      <c r="AP46" s="5"/>
      <c r="AQ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</row>
    <row r="47" spans="1:66">
      <c r="A47" s="13">
        <v>45</v>
      </c>
      <c r="B47" s="46">
        <v>1468168.8652999999</v>
      </c>
      <c r="AH47" s="5"/>
      <c r="AI47" s="5"/>
      <c r="AJ47" s="5"/>
      <c r="AK47" s="5">
        <v>22000000</v>
      </c>
      <c r="AL47" s="5">
        <v>9</v>
      </c>
      <c r="AM47" s="5"/>
      <c r="AN47" s="5"/>
      <c r="AO47" s="5"/>
      <c r="AP47" s="5"/>
      <c r="AQ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</row>
    <row r="48" spans="1:66">
      <c r="A48" s="13">
        <v>46</v>
      </c>
      <c r="B48" s="46">
        <v>956576.85129999998</v>
      </c>
      <c r="AH48" s="5"/>
      <c r="AI48" s="5"/>
      <c r="AJ48" s="5"/>
      <c r="AK48" s="5">
        <v>23000000</v>
      </c>
      <c r="AL48" s="5">
        <v>9</v>
      </c>
      <c r="AM48" s="5"/>
      <c r="AN48" s="5"/>
      <c r="AO48" s="5"/>
      <c r="AP48" s="5"/>
      <c r="AQ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</row>
    <row r="49" spans="1:66">
      <c r="A49" s="13">
        <v>47</v>
      </c>
      <c r="B49" s="46">
        <v>3923386.6937000002</v>
      </c>
      <c r="AH49" s="5"/>
      <c r="AI49" s="5"/>
      <c r="AJ49" s="5"/>
      <c r="AK49" s="5">
        <v>23000000</v>
      </c>
      <c r="AL49" s="5">
        <v>5</v>
      </c>
      <c r="AM49" s="5"/>
      <c r="AN49" s="5"/>
      <c r="AO49" s="5"/>
      <c r="AP49" s="5"/>
      <c r="AQ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</row>
    <row r="50" spans="1:66">
      <c r="A50" s="13">
        <v>48</v>
      </c>
      <c r="B50" s="46">
        <v>4781143.9601999996</v>
      </c>
      <c r="AH50" s="5"/>
      <c r="AI50" s="5"/>
      <c r="AJ50" s="5"/>
      <c r="AK50" s="5">
        <v>24000000</v>
      </c>
      <c r="AL50" s="5">
        <v>5</v>
      </c>
      <c r="AM50" s="5"/>
      <c r="AN50" s="5"/>
      <c r="AO50" s="5"/>
      <c r="AP50" s="5"/>
      <c r="AQ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</row>
    <row r="51" spans="1:66">
      <c r="A51" s="13">
        <v>49</v>
      </c>
      <c r="B51" s="46">
        <v>1086743.3640000001</v>
      </c>
      <c r="AH51" s="5"/>
      <c r="AI51" s="5"/>
      <c r="AJ51" s="5"/>
      <c r="AK51" s="5">
        <v>24000000</v>
      </c>
      <c r="AL51" s="5">
        <v>9</v>
      </c>
      <c r="AM51" s="5"/>
      <c r="AN51" s="5"/>
      <c r="AO51" s="5"/>
      <c r="AP51" s="5"/>
      <c r="AQ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</row>
    <row r="52" spans="1:66">
      <c r="A52" s="13">
        <v>50</v>
      </c>
      <c r="B52" s="46">
        <v>3955409.4</v>
      </c>
      <c r="AH52" s="5"/>
      <c r="AI52" s="5"/>
      <c r="AJ52" s="5"/>
      <c r="AK52" s="5">
        <v>25000000</v>
      </c>
      <c r="AL52" s="5">
        <v>9</v>
      </c>
      <c r="AM52" s="5"/>
      <c r="AN52" s="5"/>
      <c r="AO52" s="5"/>
      <c r="AP52" s="5"/>
      <c r="AQ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</row>
    <row r="53" spans="1:66">
      <c r="A53" s="13">
        <v>51</v>
      </c>
      <c r="B53" s="46">
        <v>557228.78780000005</v>
      </c>
      <c r="AH53" s="5"/>
      <c r="AI53" s="5"/>
      <c r="AJ53" s="5"/>
      <c r="AK53" s="5">
        <v>25000000</v>
      </c>
      <c r="AL53" s="5">
        <v>4</v>
      </c>
      <c r="AM53" s="5"/>
      <c r="AN53" s="5"/>
      <c r="AO53" s="5"/>
      <c r="AP53" s="5"/>
      <c r="AQ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</row>
    <row r="54" spans="1:66">
      <c r="A54" s="13">
        <v>52</v>
      </c>
      <c r="B54" s="46">
        <v>791449.34939999995</v>
      </c>
      <c r="AH54" s="5"/>
      <c r="AI54" s="5"/>
      <c r="AJ54" s="5"/>
      <c r="AK54" s="5">
        <v>26000000</v>
      </c>
      <c r="AL54" s="5">
        <v>4</v>
      </c>
      <c r="AM54" s="5"/>
      <c r="AN54" s="5"/>
      <c r="AO54" s="5"/>
      <c r="AP54" s="5"/>
      <c r="AQ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</row>
    <row r="55" spans="1:66">
      <c r="A55" s="13">
        <v>53</v>
      </c>
      <c r="B55" s="46">
        <v>15661281.8388</v>
      </c>
      <c r="AH55" s="5"/>
      <c r="AI55" s="5"/>
      <c r="AJ55" s="5"/>
      <c r="AK55" s="5">
        <v>26000000</v>
      </c>
      <c r="AL55" s="5">
        <v>3</v>
      </c>
      <c r="AM55" s="5"/>
      <c r="AN55" s="5"/>
      <c r="AO55" s="5"/>
      <c r="AP55" s="5"/>
      <c r="AQ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</row>
    <row r="56" spans="1:66">
      <c r="A56" s="13">
        <v>54</v>
      </c>
      <c r="B56" s="46">
        <v>2163542.5759000001</v>
      </c>
      <c r="AH56" s="5"/>
      <c r="AI56" s="5"/>
      <c r="AJ56" s="5"/>
      <c r="AK56" s="5">
        <v>27000000</v>
      </c>
      <c r="AL56" s="5">
        <v>3</v>
      </c>
      <c r="AM56" s="5"/>
      <c r="AN56" s="5"/>
      <c r="AO56" s="5"/>
      <c r="AP56" s="5"/>
      <c r="AQ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</row>
    <row r="57" spans="1:66">
      <c r="A57" s="13">
        <v>55</v>
      </c>
      <c r="B57" s="46">
        <v>4756784.9979999997</v>
      </c>
      <c r="AH57" s="5"/>
      <c r="AI57" s="5"/>
      <c r="AJ57" s="5"/>
      <c r="AK57" s="5">
        <v>27000000</v>
      </c>
      <c r="AL57" s="5">
        <v>1</v>
      </c>
      <c r="AM57" s="5"/>
      <c r="AN57" s="5"/>
      <c r="AO57" s="5"/>
      <c r="AP57" s="5"/>
      <c r="AQ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</row>
    <row r="58" spans="1:66">
      <c r="A58" s="13">
        <v>56</v>
      </c>
      <c r="B58" s="46">
        <v>1481703.9855</v>
      </c>
      <c r="AH58" s="5"/>
      <c r="AI58" s="5"/>
      <c r="AJ58" s="5"/>
      <c r="AK58" s="5">
        <v>28000000</v>
      </c>
      <c r="AL58" s="5">
        <v>1</v>
      </c>
      <c r="AM58" s="5"/>
      <c r="AN58" s="5"/>
      <c r="AO58" s="5"/>
      <c r="AP58" s="5"/>
      <c r="AQ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</row>
    <row r="59" spans="1:66">
      <c r="A59" s="13">
        <v>57</v>
      </c>
      <c r="B59" s="46">
        <v>8135017.466</v>
      </c>
      <c r="AH59" s="5"/>
      <c r="AI59" s="5"/>
      <c r="AJ59" s="5"/>
      <c r="AK59" s="5">
        <v>28000000</v>
      </c>
      <c r="AL59" s="5">
        <v>1</v>
      </c>
      <c r="AM59" s="5"/>
      <c r="AN59" s="5"/>
      <c r="AO59" s="5"/>
      <c r="AP59" s="5"/>
      <c r="AQ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</row>
    <row r="60" spans="1:66">
      <c r="A60" s="13">
        <v>58</v>
      </c>
      <c r="B60" s="46">
        <v>2194202.7842999999</v>
      </c>
      <c r="AH60" s="5"/>
      <c r="AI60" s="5"/>
      <c r="AJ60" s="5"/>
      <c r="AK60" s="5">
        <v>29000000</v>
      </c>
      <c r="AL60" s="5">
        <v>1</v>
      </c>
      <c r="AM60" s="5"/>
      <c r="AN60" s="5"/>
      <c r="AO60" s="5"/>
      <c r="AP60" s="5"/>
      <c r="AQ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</row>
    <row r="61" spans="1:66">
      <c r="A61" s="13">
        <v>59</v>
      </c>
      <c r="B61" s="46">
        <v>1841147.0375999999</v>
      </c>
      <c r="AH61" s="5"/>
      <c r="AI61" s="5"/>
      <c r="AJ61" s="5"/>
      <c r="AK61" s="5">
        <v>29000000</v>
      </c>
      <c r="AL61" s="5">
        <v>2</v>
      </c>
      <c r="AM61" s="5"/>
      <c r="AN61" s="5"/>
      <c r="AO61" s="5"/>
      <c r="AP61" s="5"/>
      <c r="AQ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</row>
    <row r="62" spans="1:66">
      <c r="A62" s="13">
        <v>60</v>
      </c>
      <c r="B62" s="46">
        <v>1853784.0229</v>
      </c>
      <c r="AH62" s="5"/>
      <c r="AI62" s="5"/>
      <c r="AJ62" s="5"/>
      <c r="AK62" s="5">
        <v>30000000</v>
      </c>
      <c r="AL62" s="5">
        <v>2</v>
      </c>
      <c r="AM62" s="5"/>
      <c r="AN62" s="5"/>
      <c r="AO62" s="5"/>
      <c r="AP62" s="5"/>
      <c r="AQ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</row>
    <row r="63" spans="1:66">
      <c r="A63" s="13">
        <v>61</v>
      </c>
      <c r="B63" s="46">
        <v>5567755.7081000004</v>
      </c>
      <c r="AH63" s="5"/>
      <c r="AI63" s="5"/>
      <c r="AJ63" s="5"/>
      <c r="AK63" s="5">
        <v>30000000</v>
      </c>
      <c r="AL63" s="5">
        <v>5</v>
      </c>
      <c r="AM63" s="5"/>
      <c r="AN63" s="5"/>
      <c r="AO63" s="5"/>
      <c r="AP63" s="5"/>
      <c r="AQ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</row>
    <row r="64" spans="1:66">
      <c r="A64" s="13">
        <v>62</v>
      </c>
      <c r="B64" s="46">
        <v>6652179.1727999998</v>
      </c>
      <c r="AH64" s="5"/>
      <c r="AI64" s="5"/>
      <c r="AJ64" s="5"/>
      <c r="AK64" s="5">
        <v>31000000</v>
      </c>
      <c r="AL64" s="5">
        <v>5</v>
      </c>
      <c r="AM64" s="5"/>
      <c r="AN64" s="5"/>
      <c r="AO64" s="5"/>
      <c r="AP64" s="5"/>
      <c r="AQ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</row>
    <row r="65" spans="1:66">
      <c r="A65" s="13">
        <v>63</v>
      </c>
      <c r="B65" s="46">
        <v>1603340.0714</v>
      </c>
      <c r="AH65" s="5"/>
      <c r="AI65" s="5"/>
      <c r="AJ65" s="5"/>
      <c r="AK65" s="5">
        <v>31000000</v>
      </c>
      <c r="AL65" s="5">
        <v>2</v>
      </c>
      <c r="AM65" s="5"/>
      <c r="AN65" s="5"/>
      <c r="AO65" s="5"/>
      <c r="AP65" s="5"/>
      <c r="AQ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</row>
    <row r="66" spans="1:66">
      <c r="A66" s="13">
        <v>64</v>
      </c>
      <c r="B66" s="46">
        <v>19936086.369100001</v>
      </c>
      <c r="AH66" s="5"/>
      <c r="AI66" s="5"/>
      <c r="AJ66" s="5"/>
      <c r="AK66" s="5">
        <v>32000000</v>
      </c>
      <c r="AL66" s="5">
        <v>2</v>
      </c>
      <c r="AM66" s="5"/>
      <c r="AN66" s="5"/>
      <c r="AO66" s="5"/>
      <c r="AP66" s="5"/>
      <c r="AQ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</row>
    <row r="67" spans="1:66">
      <c r="A67" s="13">
        <v>65</v>
      </c>
      <c r="B67" s="46">
        <v>7556079.6792000001</v>
      </c>
      <c r="AH67" s="5"/>
      <c r="AI67" s="5"/>
      <c r="AJ67" s="5"/>
      <c r="AK67" s="5">
        <v>32000000</v>
      </c>
      <c r="AL67" s="5">
        <v>1</v>
      </c>
      <c r="AM67" s="5"/>
      <c r="AN67" s="5"/>
      <c r="AO67" s="5"/>
      <c r="AP67" s="5"/>
      <c r="AQ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</row>
    <row r="68" spans="1:66">
      <c r="A68" s="13">
        <v>66</v>
      </c>
      <c r="B68" s="46">
        <v>5381947.1277000001</v>
      </c>
      <c r="AH68" s="5"/>
      <c r="AI68" s="5"/>
      <c r="AJ68" s="5"/>
      <c r="AK68" s="5">
        <v>33000000</v>
      </c>
      <c r="AL68" s="5">
        <v>1</v>
      </c>
      <c r="AM68" s="5"/>
      <c r="AN68" s="5"/>
      <c r="AO68" s="5"/>
      <c r="AP68" s="5"/>
      <c r="AQ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</row>
    <row r="69" spans="1:66">
      <c r="A69" s="13">
        <v>67</v>
      </c>
      <c r="B69" s="46">
        <v>993729.18790000002</v>
      </c>
      <c r="AH69" s="5"/>
      <c r="AI69" s="5"/>
      <c r="AJ69" s="5"/>
      <c r="AK69" s="5">
        <v>33000000</v>
      </c>
      <c r="AL69" s="5">
        <v>1</v>
      </c>
      <c r="AM69" s="5"/>
      <c r="AN69" s="5"/>
      <c r="AO69" s="5"/>
      <c r="AP69" s="5"/>
      <c r="AQ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</row>
    <row r="70" spans="1:66">
      <c r="A70" s="13">
        <v>68</v>
      </c>
      <c r="B70" s="46">
        <v>841347.64009999996</v>
      </c>
      <c r="AH70" s="5"/>
      <c r="AI70" s="5"/>
      <c r="AJ70" s="5"/>
      <c r="AK70" s="5">
        <v>34000000</v>
      </c>
      <c r="AL70" s="5">
        <v>1</v>
      </c>
      <c r="AM70" s="5"/>
      <c r="AN70" s="5"/>
      <c r="AO70" s="5"/>
      <c r="AP70" s="5"/>
      <c r="AQ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</row>
    <row r="71" spans="1:66">
      <c r="A71" s="13">
        <v>69</v>
      </c>
      <c r="B71" s="46">
        <v>3479208.5784999998</v>
      </c>
      <c r="AH71" s="5"/>
      <c r="AI71" s="5"/>
      <c r="AJ71" s="5"/>
      <c r="AK71" s="5">
        <v>34000000</v>
      </c>
      <c r="AL71" s="5">
        <v>2</v>
      </c>
      <c r="AM71" s="5"/>
      <c r="AN71" s="5"/>
      <c r="AO71" s="5"/>
      <c r="AP71" s="5"/>
      <c r="AQ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</row>
    <row r="72" spans="1:66">
      <c r="A72" s="13">
        <v>70</v>
      </c>
      <c r="B72" s="46">
        <v>2083104.2733</v>
      </c>
      <c r="AH72" s="5"/>
      <c r="AI72" s="5"/>
      <c r="AJ72" s="5"/>
      <c r="AK72" s="5">
        <v>35000000</v>
      </c>
      <c r="AL72" s="5">
        <v>2</v>
      </c>
      <c r="AM72" s="5"/>
      <c r="AN72" s="5"/>
      <c r="AO72" s="5"/>
      <c r="AP72" s="5"/>
      <c r="AQ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</row>
    <row r="73" spans="1:66">
      <c r="A73" s="13">
        <v>71</v>
      </c>
      <c r="B73" s="46">
        <v>3558146.3302000002</v>
      </c>
      <c r="AH73" s="5"/>
      <c r="AI73" s="5"/>
      <c r="AJ73" s="5"/>
      <c r="AK73" s="5">
        <v>35000000</v>
      </c>
      <c r="AL73" s="5">
        <v>1</v>
      </c>
      <c r="AM73" s="5"/>
      <c r="AN73" s="5"/>
      <c r="AO73" s="5"/>
      <c r="AP73" s="5"/>
      <c r="AQ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</row>
    <row r="74" spans="1:66">
      <c r="A74" s="13">
        <v>72</v>
      </c>
      <c r="B74" s="46">
        <v>879972.89560000005</v>
      </c>
      <c r="AH74" s="5"/>
      <c r="AI74" s="5"/>
      <c r="AJ74" s="5"/>
      <c r="AK74" s="5">
        <v>36000000</v>
      </c>
      <c r="AL74" s="5">
        <v>1</v>
      </c>
      <c r="AM74" s="5"/>
      <c r="AN74" s="5"/>
      <c r="AO74" s="5"/>
      <c r="AP74" s="5"/>
      <c r="AQ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</row>
    <row r="75" spans="1:66">
      <c r="A75" s="13">
        <v>73</v>
      </c>
      <c r="B75" s="46">
        <v>2755277.8870999999</v>
      </c>
      <c r="AH75" s="5"/>
      <c r="AI75" s="5"/>
      <c r="AJ75" s="5"/>
      <c r="AK75" s="5">
        <v>36000000</v>
      </c>
      <c r="AL75" s="5">
        <v>0</v>
      </c>
      <c r="AM75" s="5"/>
      <c r="AN75" s="5"/>
      <c r="AO75" s="5"/>
      <c r="AP75" s="5"/>
      <c r="AQ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</row>
    <row r="76" spans="1:66">
      <c r="A76" s="13">
        <v>74</v>
      </c>
      <c r="B76" s="46">
        <v>1200918.2408</v>
      </c>
      <c r="AH76" s="5"/>
      <c r="AI76" s="5"/>
      <c r="AJ76" s="5"/>
      <c r="AK76" s="5">
        <v>37000000</v>
      </c>
      <c r="AL76" s="5">
        <v>0</v>
      </c>
      <c r="AM76" s="5"/>
      <c r="AN76" s="5"/>
      <c r="AO76" s="5"/>
      <c r="AP76" s="5"/>
      <c r="AQ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</row>
    <row r="77" spans="1:66">
      <c r="A77" s="13">
        <v>75</v>
      </c>
      <c r="B77" s="46">
        <v>2310797.0518</v>
      </c>
      <c r="AH77" s="5"/>
      <c r="AI77" s="5"/>
      <c r="AJ77" s="5"/>
      <c r="AK77" s="5">
        <v>37000000</v>
      </c>
      <c r="AL77" s="5">
        <v>0</v>
      </c>
      <c r="AM77" s="5"/>
      <c r="AN77" s="5"/>
      <c r="AO77" s="5"/>
      <c r="AP77" s="5"/>
      <c r="AQ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</row>
    <row r="78" spans="1:66">
      <c r="A78" s="13">
        <v>76</v>
      </c>
      <c r="B78" s="46">
        <v>2571269.1800000002</v>
      </c>
      <c r="AH78" s="5"/>
      <c r="AI78" s="5"/>
      <c r="AJ78" s="5"/>
      <c r="AK78" s="5">
        <v>38000000</v>
      </c>
      <c r="AL78" s="5">
        <v>0</v>
      </c>
      <c r="AM78" s="5"/>
      <c r="AN78" s="5"/>
      <c r="AO78" s="5"/>
      <c r="AP78" s="5"/>
      <c r="AQ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</row>
    <row r="79" spans="1:66">
      <c r="A79" s="13">
        <v>77</v>
      </c>
      <c r="B79" s="46">
        <v>9831589.8359999992</v>
      </c>
      <c r="AH79" s="5"/>
      <c r="AI79" s="5"/>
      <c r="AJ79" s="5"/>
      <c r="AK79" s="5">
        <v>38000000</v>
      </c>
      <c r="AL79" s="5">
        <v>1</v>
      </c>
      <c r="AM79" s="5"/>
      <c r="AN79" s="5"/>
      <c r="AO79" s="5"/>
      <c r="AP79" s="5"/>
      <c r="AQ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</row>
    <row r="80" spans="1:66">
      <c r="A80" s="13">
        <v>78</v>
      </c>
      <c r="B80" s="46">
        <v>8941598.5475999992</v>
      </c>
      <c r="AH80" s="5"/>
      <c r="AI80" s="5"/>
      <c r="AJ80" s="5"/>
      <c r="AK80" s="5">
        <v>39000000</v>
      </c>
      <c r="AL80" s="5">
        <v>1</v>
      </c>
      <c r="AM80" s="5"/>
      <c r="AN80" s="5"/>
      <c r="AO80" s="5"/>
      <c r="AP80" s="5"/>
      <c r="AQ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</row>
    <row r="81" spans="1:66">
      <c r="A81" s="13">
        <v>79</v>
      </c>
      <c r="B81" s="46">
        <v>4298308.7132000001</v>
      </c>
      <c r="AH81" s="5"/>
      <c r="AI81" s="5"/>
      <c r="AJ81" s="5"/>
      <c r="AK81" s="5">
        <v>39000000</v>
      </c>
      <c r="AL81" s="5">
        <v>1</v>
      </c>
      <c r="AM81" s="5"/>
      <c r="AN81" s="5"/>
      <c r="AO81" s="5"/>
      <c r="AP81" s="5"/>
      <c r="AQ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</row>
    <row r="82" spans="1:66">
      <c r="A82" s="13">
        <v>80</v>
      </c>
      <c r="B82" s="46">
        <v>3024955.7798000001</v>
      </c>
      <c r="AH82" s="5"/>
      <c r="AI82" s="5"/>
      <c r="AJ82" s="5"/>
      <c r="AK82" s="5">
        <v>40000000</v>
      </c>
      <c r="AL82" s="5">
        <v>1</v>
      </c>
      <c r="AM82" s="5"/>
      <c r="AN82" s="5"/>
      <c r="AO82" s="5"/>
      <c r="AP82" s="5"/>
      <c r="AQ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</row>
    <row r="83" spans="1:66">
      <c r="A83" s="13">
        <v>81</v>
      </c>
      <c r="B83" s="46">
        <v>6842851.6529999999</v>
      </c>
      <c r="AH83" s="5"/>
      <c r="AI83" s="5"/>
      <c r="AJ83" s="5"/>
      <c r="AK83" s="5">
        <v>40000000</v>
      </c>
      <c r="AL83" s="5">
        <v>0</v>
      </c>
      <c r="AM83" s="5"/>
      <c r="AN83" s="5"/>
      <c r="AO83" s="5"/>
      <c r="AP83" s="5"/>
      <c r="AQ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</row>
    <row r="84" spans="1:66">
      <c r="A84" s="13">
        <v>82</v>
      </c>
      <c r="B84" s="46">
        <v>5660696.4625000004</v>
      </c>
      <c r="AH84" s="5"/>
      <c r="AI84" s="5"/>
      <c r="AJ84" s="5"/>
      <c r="AK84" s="5">
        <v>41000000</v>
      </c>
      <c r="AL84" s="5">
        <v>0</v>
      </c>
      <c r="AM84" s="5"/>
      <c r="AN84" s="5"/>
      <c r="AO84" s="5"/>
      <c r="AP84" s="5"/>
      <c r="AQ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</row>
    <row r="85" spans="1:66">
      <c r="A85" s="13">
        <v>83</v>
      </c>
      <c r="B85" s="46">
        <v>4886132.3832999999</v>
      </c>
      <c r="AH85" s="5"/>
      <c r="AI85" s="5"/>
      <c r="AJ85" s="5"/>
      <c r="AK85" s="5">
        <v>41000000</v>
      </c>
      <c r="AL85" s="5">
        <v>0</v>
      </c>
      <c r="AM85" s="5"/>
      <c r="AN85" s="5"/>
      <c r="AO85" s="5"/>
      <c r="AP85" s="5"/>
      <c r="AQ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</row>
    <row r="86" spans="1:66">
      <c r="A86" s="13">
        <v>84</v>
      </c>
      <c r="B86" s="46">
        <v>2960187.7634999999</v>
      </c>
      <c r="AH86" s="5"/>
      <c r="AI86" s="5"/>
      <c r="AJ86" s="5"/>
      <c r="AK86" s="5">
        <v>42000000</v>
      </c>
      <c r="AL86" s="5">
        <v>0</v>
      </c>
      <c r="AM86" s="5"/>
      <c r="AN86" s="5"/>
      <c r="AO86" s="5"/>
      <c r="AP86" s="5"/>
      <c r="AQ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</row>
    <row r="87" spans="1:66">
      <c r="A87" s="13">
        <v>85</v>
      </c>
      <c r="B87" s="46">
        <v>3569332.9175</v>
      </c>
      <c r="AH87" s="5"/>
      <c r="AI87" s="5"/>
      <c r="AJ87" s="5"/>
      <c r="AK87" s="5">
        <v>42000000</v>
      </c>
      <c r="AL87" s="5">
        <v>0</v>
      </c>
      <c r="AM87" s="5"/>
      <c r="AN87" s="5"/>
      <c r="AO87" s="5"/>
      <c r="AP87" s="5"/>
      <c r="AQ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</row>
    <row r="88" spans="1:66">
      <c r="A88" s="13">
        <v>86</v>
      </c>
      <c r="B88" s="46">
        <v>3630583.0303000002</v>
      </c>
      <c r="AH88" s="5"/>
      <c r="AI88" s="5"/>
      <c r="AJ88" s="5"/>
      <c r="AK88" s="5">
        <v>43000000</v>
      </c>
      <c r="AL88" s="5">
        <v>0</v>
      </c>
      <c r="AM88" s="5"/>
      <c r="AN88" s="5"/>
      <c r="AO88" s="5"/>
      <c r="AP88" s="5"/>
      <c r="AQ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</row>
    <row r="89" spans="1:66">
      <c r="A89" s="13">
        <v>87</v>
      </c>
      <c r="B89" s="46">
        <v>2563949.0022999998</v>
      </c>
      <c r="AH89" s="5"/>
      <c r="AI89" s="5"/>
      <c r="AJ89" s="5"/>
      <c r="AK89" s="5">
        <v>43000000</v>
      </c>
      <c r="AL89" s="5">
        <v>0</v>
      </c>
      <c r="AM89" s="5"/>
      <c r="AN89" s="5"/>
      <c r="AO89" s="5"/>
      <c r="AP89" s="5"/>
      <c r="AQ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</row>
    <row r="90" spans="1:66">
      <c r="A90" s="13">
        <v>88</v>
      </c>
      <c r="B90" s="46">
        <v>6532877.2473999998</v>
      </c>
      <c r="AH90" s="5"/>
      <c r="AI90" s="5"/>
      <c r="AJ90" s="5"/>
      <c r="AK90" s="5">
        <v>44000000</v>
      </c>
      <c r="AL90" s="5">
        <v>0</v>
      </c>
      <c r="AM90" s="5"/>
      <c r="AN90" s="5"/>
      <c r="AO90" s="5"/>
      <c r="AP90" s="5"/>
      <c r="AQ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</row>
    <row r="91" spans="1:66">
      <c r="A91" s="13">
        <v>89</v>
      </c>
      <c r="B91" s="46">
        <v>1321543.6255999999</v>
      </c>
      <c r="AH91" s="5"/>
      <c r="AI91" s="5"/>
      <c r="AJ91" s="5"/>
      <c r="AK91" s="5">
        <v>44000000</v>
      </c>
      <c r="AL91" s="5">
        <v>0</v>
      </c>
      <c r="AM91" s="5"/>
      <c r="AN91" s="5"/>
      <c r="AO91" s="5"/>
      <c r="AP91" s="5"/>
      <c r="AQ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</row>
    <row r="92" spans="1:66">
      <c r="A92" s="13">
        <v>90</v>
      </c>
      <c r="B92" s="46">
        <v>6351247.2482000003</v>
      </c>
      <c r="AH92" s="5"/>
      <c r="AI92" s="5"/>
      <c r="AJ92" s="5"/>
      <c r="AK92" s="5">
        <v>45000000</v>
      </c>
      <c r="AL92" s="5">
        <v>0</v>
      </c>
      <c r="AM92" s="5"/>
      <c r="AN92" s="5"/>
      <c r="AO92" s="5"/>
      <c r="AP92" s="5"/>
      <c r="AQ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</row>
    <row r="93" spans="1:66">
      <c r="A93" s="13">
        <v>91</v>
      </c>
      <c r="B93" s="46">
        <v>1634078.8355</v>
      </c>
      <c r="AH93" s="5"/>
      <c r="AI93" s="5"/>
      <c r="AJ93" s="5"/>
      <c r="AK93" s="5">
        <v>45000000</v>
      </c>
      <c r="AL93" s="5">
        <v>1</v>
      </c>
      <c r="AM93" s="5"/>
      <c r="AN93" s="5"/>
      <c r="AO93" s="5"/>
      <c r="AP93" s="5"/>
      <c r="AQ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</row>
    <row r="94" spans="1:66">
      <c r="A94" s="13">
        <v>92</v>
      </c>
      <c r="B94" s="46">
        <v>3034943.6573999999</v>
      </c>
      <c r="AH94" s="5"/>
      <c r="AI94" s="5"/>
      <c r="AJ94" s="5"/>
      <c r="AK94" s="5">
        <v>46000000</v>
      </c>
      <c r="AL94" s="5">
        <v>1</v>
      </c>
      <c r="AM94" s="5"/>
      <c r="AN94" s="5"/>
      <c r="AO94" s="5"/>
      <c r="AP94" s="5"/>
      <c r="AQ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</row>
    <row r="95" spans="1:66">
      <c r="A95" s="13">
        <v>93</v>
      </c>
      <c r="B95" s="46">
        <v>727729.82339999999</v>
      </c>
      <c r="AH95" s="5"/>
      <c r="AI95" s="5"/>
      <c r="AJ95" s="5"/>
      <c r="AK95" s="5">
        <v>46000000</v>
      </c>
      <c r="AL95" s="5">
        <v>0</v>
      </c>
      <c r="AM95" s="5"/>
      <c r="AN95" s="5"/>
      <c r="AO95" s="5"/>
      <c r="AP95" s="5"/>
      <c r="AQ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</row>
    <row r="96" spans="1:66">
      <c r="A96" s="13">
        <v>94</v>
      </c>
      <c r="B96" s="46">
        <v>2822818.0482999999</v>
      </c>
      <c r="AH96" s="5"/>
      <c r="AI96" s="5"/>
      <c r="AJ96" s="5"/>
      <c r="AK96" s="5">
        <v>47000000</v>
      </c>
      <c r="AL96" s="5">
        <v>0</v>
      </c>
      <c r="AM96" s="5"/>
      <c r="AN96" s="5"/>
      <c r="AO96" s="5"/>
      <c r="AP96" s="5"/>
      <c r="AQ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</row>
    <row r="97" spans="1:66">
      <c r="A97" s="13">
        <v>95</v>
      </c>
      <c r="B97" s="46">
        <v>2894234.6083999998</v>
      </c>
      <c r="AH97" s="5"/>
      <c r="AI97" s="5"/>
      <c r="AJ97" s="5"/>
      <c r="AK97" s="5">
        <v>47000000</v>
      </c>
      <c r="AL97" s="5">
        <v>0</v>
      </c>
      <c r="AM97" s="5"/>
      <c r="AN97" s="5"/>
      <c r="AO97" s="5"/>
      <c r="AP97" s="5"/>
      <c r="AQ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</row>
    <row r="98" spans="1:66">
      <c r="A98" s="13">
        <v>96</v>
      </c>
      <c r="B98" s="46">
        <v>2463810.5863000001</v>
      </c>
      <c r="AH98" s="5"/>
      <c r="AI98" s="5"/>
      <c r="AJ98" s="5"/>
      <c r="AK98" s="5">
        <v>48000000</v>
      </c>
      <c r="AL98" s="5">
        <v>0</v>
      </c>
      <c r="AM98" s="5"/>
      <c r="AN98" s="5"/>
      <c r="AO98" s="5"/>
      <c r="AP98" s="5"/>
      <c r="AQ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</row>
    <row r="99" spans="1:66">
      <c r="A99" s="13">
        <v>97</v>
      </c>
      <c r="B99" s="46">
        <v>1413916.0648000001</v>
      </c>
      <c r="AH99" s="5"/>
      <c r="AI99" s="5"/>
      <c r="AJ99" s="5"/>
      <c r="AK99" s="5">
        <v>48000000</v>
      </c>
      <c r="AL99" s="5">
        <v>0</v>
      </c>
      <c r="AM99" s="5"/>
      <c r="AN99" s="5"/>
      <c r="AO99" s="5"/>
      <c r="AP99" s="5"/>
      <c r="AQ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</row>
    <row r="100" spans="1:66">
      <c r="A100" s="13">
        <v>98</v>
      </c>
      <c r="B100" s="46">
        <v>1548622.7583000001</v>
      </c>
      <c r="AH100" s="5"/>
      <c r="AI100" s="5"/>
      <c r="AJ100" s="5"/>
      <c r="AK100" s="5">
        <v>49000000</v>
      </c>
      <c r="AL100" s="5">
        <v>0</v>
      </c>
      <c r="AM100" s="5"/>
      <c r="AN100" s="5"/>
      <c r="AO100" s="5"/>
      <c r="AP100" s="5"/>
      <c r="AQ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</row>
    <row r="101" spans="1:66">
      <c r="A101" s="13">
        <v>99</v>
      </c>
      <c r="B101" s="46">
        <v>4827543.7172999997</v>
      </c>
      <c r="AH101" s="5"/>
      <c r="AI101" s="5"/>
      <c r="AJ101" s="5"/>
      <c r="AK101" s="5">
        <v>49000000</v>
      </c>
      <c r="AL101" s="5">
        <v>0</v>
      </c>
      <c r="AM101" s="5"/>
      <c r="AN101" s="5"/>
      <c r="AO101" s="5"/>
      <c r="AP101" s="5"/>
      <c r="AQ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</row>
    <row r="102" spans="1:66">
      <c r="A102" s="13">
        <v>100</v>
      </c>
      <c r="B102" s="46">
        <v>3243251.3887999998</v>
      </c>
      <c r="AH102" s="5"/>
      <c r="AI102" s="5"/>
      <c r="AJ102" s="5"/>
      <c r="AK102" s="5">
        <v>50000000</v>
      </c>
      <c r="AL102" s="5">
        <v>0</v>
      </c>
      <c r="AM102" s="5"/>
      <c r="AN102" s="5"/>
      <c r="AO102" s="5"/>
      <c r="AP102" s="5"/>
      <c r="AQ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</row>
    <row r="103" spans="1:66">
      <c r="A103" s="41" t="s">
        <v>20</v>
      </c>
      <c r="AK103" s="6">
        <v>50000000</v>
      </c>
      <c r="AL103" s="6">
        <v>0</v>
      </c>
    </row>
    <row r="104" spans="1:66">
      <c r="AK104" s="6">
        <v>51000000</v>
      </c>
      <c r="AL104" s="6">
        <v>0</v>
      </c>
    </row>
    <row r="105" spans="1:66">
      <c r="AK105" s="6">
        <v>51000000</v>
      </c>
      <c r="AL105" s="6">
        <v>0</v>
      </c>
    </row>
    <row r="106" spans="1:66">
      <c r="AK106" s="6">
        <v>52000000</v>
      </c>
      <c r="AL106" s="6">
        <v>0</v>
      </c>
    </row>
    <row r="107" spans="1:66">
      <c r="AK107" s="6">
        <v>52000000</v>
      </c>
      <c r="AL107" s="6">
        <v>0</v>
      </c>
    </row>
    <row r="108" spans="1:66">
      <c r="AK108" s="6">
        <v>53000000</v>
      </c>
      <c r="AL108" s="6">
        <v>0</v>
      </c>
    </row>
    <row r="109" spans="1:66">
      <c r="AK109" s="6">
        <v>53000000</v>
      </c>
      <c r="AL109" s="6">
        <v>0</v>
      </c>
    </row>
    <row r="110" spans="1:66">
      <c r="AK110" s="6">
        <v>54000000</v>
      </c>
      <c r="AL110" s="6">
        <v>0</v>
      </c>
    </row>
    <row r="111" spans="1:66">
      <c r="AK111" s="6">
        <v>54000000</v>
      </c>
      <c r="AL111" s="6">
        <v>0</v>
      </c>
    </row>
    <row r="112" spans="1:66">
      <c r="AK112" s="6">
        <v>55000000</v>
      </c>
      <c r="AL112" s="6">
        <v>0</v>
      </c>
    </row>
    <row r="113" spans="37:38">
      <c r="AK113" s="6">
        <v>55000000</v>
      </c>
      <c r="AL113" s="6">
        <v>1</v>
      </c>
    </row>
    <row r="114" spans="37:38">
      <c r="AK114" s="6">
        <v>56000000</v>
      </c>
      <c r="AL114" s="6">
        <v>1</v>
      </c>
    </row>
    <row r="115" spans="37:38">
      <c r="AK115" s="6">
        <v>56000000</v>
      </c>
      <c r="AL115" s="6">
        <v>1</v>
      </c>
    </row>
    <row r="116" spans="37:38">
      <c r="AK116" s="6">
        <v>57000000</v>
      </c>
      <c r="AL116" s="6">
        <v>1</v>
      </c>
    </row>
    <row r="117" spans="37:38">
      <c r="AK117" s="6">
        <v>57000000</v>
      </c>
      <c r="AL117" s="6">
        <v>1</v>
      </c>
    </row>
    <row r="118" spans="37:38">
      <c r="AK118" s="6">
        <v>58000000</v>
      </c>
      <c r="AL118" s="6">
        <v>1</v>
      </c>
    </row>
    <row r="119" spans="37:38">
      <c r="AK119" s="6">
        <v>58000000</v>
      </c>
      <c r="AL119" s="6">
        <v>0</v>
      </c>
    </row>
    <row r="120" spans="37:38">
      <c r="AK120" s="6">
        <v>59000000</v>
      </c>
      <c r="AL120" s="6">
        <v>0</v>
      </c>
    </row>
    <row r="121" spans="37:38">
      <c r="AK121" s="6">
        <v>59000000</v>
      </c>
      <c r="AL121" s="6">
        <v>0</v>
      </c>
    </row>
    <row r="122" spans="37:38">
      <c r="AK122" s="6">
        <v>60000000</v>
      </c>
      <c r="AL122" s="6">
        <v>0</v>
      </c>
    </row>
    <row r="123" spans="37:38">
      <c r="AK123" s="6">
        <v>60000000</v>
      </c>
      <c r="AL123" s="6">
        <v>0</v>
      </c>
    </row>
    <row r="124" spans="37:38">
      <c r="AK124" s="6">
        <v>61000000</v>
      </c>
      <c r="AL124" s="6">
        <v>0</v>
      </c>
    </row>
    <row r="125" spans="37:38">
      <c r="AK125" s="6">
        <v>61000000</v>
      </c>
      <c r="AL125" s="6">
        <v>1</v>
      </c>
    </row>
    <row r="126" spans="37:38">
      <c r="AK126" s="6">
        <v>62000000</v>
      </c>
      <c r="AL126" s="6">
        <v>1</v>
      </c>
    </row>
    <row r="127" spans="37:38">
      <c r="AK127" s="6">
        <v>62000000</v>
      </c>
      <c r="AL127" s="6">
        <v>0</v>
      </c>
    </row>
    <row r="128" spans="37:38">
      <c r="AK128" s="6">
        <v>63000000</v>
      </c>
      <c r="AL128" s="6">
        <v>0</v>
      </c>
    </row>
    <row r="129" spans="37:38">
      <c r="AK129" s="6">
        <v>63000000</v>
      </c>
      <c r="AL129" s="6">
        <v>0</v>
      </c>
    </row>
    <row r="130" spans="37:38">
      <c r="AK130" s="6">
        <v>64000000</v>
      </c>
      <c r="AL130" s="6">
        <v>0</v>
      </c>
    </row>
    <row r="131" spans="37:38">
      <c r="AK131" s="6">
        <v>64000000</v>
      </c>
      <c r="AL131" s="6">
        <v>0</v>
      </c>
    </row>
    <row r="132" spans="37:38">
      <c r="AK132" s="6">
        <v>65000000</v>
      </c>
      <c r="AL132" s="6">
        <v>0</v>
      </c>
    </row>
    <row r="133" spans="37:38">
      <c r="AK133" s="6">
        <v>65000000</v>
      </c>
      <c r="AL133" s="6">
        <v>1</v>
      </c>
    </row>
    <row r="134" spans="37:38">
      <c r="AK134" s="6">
        <v>66000000</v>
      </c>
      <c r="AL134" s="6">
        <v>1</v>
      </c>
    </row>
    <row r="135" spans="37:38">
      <c r="AK135" s="6">
        <v>66000000</v>
      </c>
      <c r="AL135" s="6">
        <v>0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topLeftCell="A2" workbookViewId="0">
      <selection activeCell="G11" sqref="G11"/>
    </sheetView>
  </sheetViews>
  <sheetFormatPr baseColWidth="10" defaultColWidth="11" defaultRowHeight="15" x14ac:dyDescent="0"/>
  <cols>
    <col min="1" max="1" width="15.33203125" bestFit="1" customWidth="1"/>
    <col min="2" max="2" width="13" bestFit="1" customWidth="1"/>
    <col min="3" max="3" width="18.33203125" bestFit="1" customWidth="1"/>
    <col min="4" max="4" width="22.1640625" bestFit="1" customWidth="1"/>
    <col min="5" max="5" width="11.5" bestFit="1" customWidth="1"/>
    <col min="7" max="7" width="20.5" bestFit="1" customWidth="1"/>
  </cols>
  <sheetData>
    <row r="1" spans="1:5">
      <c r="D1" t="s">
        <v>2</v>
      </c>
    </row>
    <row r="2" spans="1:5">
      <c r="D2" t="s">
        <v>3</v>
      </c>
      <c r="E2" s="45">
        <v>9.11E-2</v>
      </c>
    </row>
    <row r="3" spans="1:5">
      <c r="D3" t="s">
        <v>22</v>
      </c>
      <c r="E3" s="45">
        <v>0.187</v>
      </c>
    </row>
    <row r="4" spans="1:5">
      <c r="D4" t="s">
        <v>0</v>
      </c>
      <c r="E4" s="2">
        <v>1000</v>
      </c>
    </row>
    <row r="5" spans="1:5">
      <c r="D5" t="s">
        <v>1</v>
      </c>
      <c r="E5" s="2">
        <v>10000</v>
      </c>
    </row>
    <row r="6" spans="1:5">
      <c r="D6" t="s">
        <v>5</v>
      </c>
      <c r="E6">
        <v>40</v>
      </c>
    </row>
    <row r="9" spans="1:5">
      <c r="A9" t="s">
        <v>4</v>
      </c>
      <c r="B9" t="s">
        <v>6</v>
      </c>
      <c r="C9" t="s">
        <v>8</v>
      </c>
      <c r="D9" t="s">
        <v>7</v>
      </c>
    </row>
    <row r="10" spans="1:5">
      <c r="A10">
        <v>2019</v>
      </c>
      <c r="B10" s="1">
        <f ca="1">_xlfn.NORM.INV(RAND(),$E$2,$E$3)</f>
        <v>-5.2010377493912061E-2</v>
      </c>
      <c r="C10" s="2">
        <f ca="1">$E$4*(1+B10)+$E$5</f>
        <v>10947.989622506087</v>
      </c>
      <c r="D10" s="3">
        <f ca="1">C49</f>
        <v>1759200.0128906579</v>
      </c>
    </row>
    <row r="11" spans="1:5">
      <c r="A11">
        <v>2020</v>
      </c>
      <c r="B11" s="1">
        <f t="shared" ref="B11:B49" ca="1" si="0">_xlfn.NORM.INV(RAND(),$E$2,$E$3)</f>
        <v>0.24403149355901305</v>
      </c>
      <c r="C11" s="2">
        <f ca="1">C10*(1+B11)+$E$5</f>
        <v>23619.643881554824</v>
      </c>
    </row>
    <row r="12" spans="1:5">
      <c r="A12">
        <v>2021</v>
      </c>
      <c r="B12" s="1">
        <f t="shared" ca="1" si="0"/>
        <v>-0.22372370949810994</v>
      </c>
      <c r="C12" s="2">
        <f t="shared" ref="C12:C49" ca="1" si="1">C11*(1+B12)+$E$5</f>
        <v>28335.369535349044</v>
      </c>
    </row>
    <row r="13" spans="1:5">
      <c r="A13">
        <v>2022</v>
      </c>
      <c r="B13" s="1">
        <f t="shared" ca="1" si="0"/>
        <v>-0.13986869120382522</v>
      </c>
      <c r="C13" s="2">
        <f t="shared" ca="1" si="1"/>
        <v>34372.138483663031</v>
      </c>
    </row>
    <row r="14" spans="1:5">
      <c r="A14">
        <v>2023</v>
      </c>
      <c r="B14" s="1">
        <f t="shared" ca="1" si="0"/>
        <v>0.43570495352015326</v>
      </c>
      <c r="C14" s="2">
        <f t="shared" ca="1" si="1"/>
        <v>59348.249484075706</v>
      </c>
    </row>
    <row r="15" spans="1:5">
      <c r="A15">
        <v>2024</v>
      </c>
      <c r="B15" s="1">
        <f t="shared" ca="1" si="0"/>
        <v>0.1738775248999902</v>
      </c>
      <c r="C15" s="2">
        <f t="shared" ca="1" si="1"/>
        <v>79667.576211513908</v>
      </c>
    </row>
    <row r="16" spans="1:5">
      <c r="A16">
        <v>2025</v>
      </c>
      <c r="B16" s="1">
        <f t="shared" ca="1" si="0"/>
        <v>-0.14895782611125891</v>
      </c>
      <c r="C16" s="2">
        <f t="shared" ca="1" si="1"/>
        <v>77800.467247493754</v>
      </c>
    </row>
    <row r="17" spans="1:3">
      <c r="A17">
        <v>2026</v>
      </c>
      <c r="B17" s="1">
        <f t="shared" ca="1" si="0"/>
        <v>-0.15992648624810557</v>
      </c>
      <c r="C17" s="2">
        <f t="shared" ca="1" si="1"/>
        <v>75358.111892141256</v>
      </c>
    </row>
    <row r="18" spans="1:3">
      <c r="A18">
        <v>2027</v>
      </c>
      <c r="B18" s="1">
        <f t="shared" ca="1" si="0"/>
        <v>-7.3945901027208147E-2</v>
      </c>
      <c r="C18" s="2">
        <f t="shared" ca="1" si="1"/>
        <v>79785.688408567701</v>
      </c>
    </row>
    <row r="19" spans="1:3">
      <c r="A19">
        <v>2028</v>
      </c>
      <c r="B19" s="1">
        <f t="shared" ca="1" si="0"/>
        <v>-8.8965242852454968E-3</v>
      </c>
      <c r="C19" s="2">
        <f t="shared" ca="1" si="1"/>
        <v>89075.873094025854</v>
      </c>
    </row>
    <row r="20" spans="1:3">
      <c r="A20">
        <v>2029</v>
      </c>
      <c r="B20" s="1">
        <f t="shared" ca="1" si="0"/>
        <v>0.33100585257703724</v>
      </c>
      <c r="C20" s="2">
        <f t="shared" ca="1" si="1"/>
        <v>128560.50841155785</v>
      </c>
    </row>
    <row r="21" spans="1:3">
      <c r="A21">
        <v>2030</v>
      </c>
      <c r="B21" s="1">
        <f t="shared" ca="1" si="0"/>
        <v>0.52382751145964013</v>
      </c>
      <c r="C21" s="2">
        <f t="shared" ca="1" si="1"/>
        <v>205904.03960477034</v>
      </c>
    </row>
    <row r="22" spans="1:3">
      <c r="A22">
        <v>2031</v>
      </c>
      <c r="B22" s="1">
        <f t="shared" ca="1" si="0"/>
        <v>0.23318709077590155</v>
      </c>
      <c r="C22" s="2">
        <f t="shared" ca="1" si="1"/>
        <v>263918.20357921277</v>
      </c>
    </row>
    <row r="23" spans="1:3">
      <c r="A23">
        <v>2032</v>
      </c>
      <c r="B23" s="1">
        <f t="shared" ca="1" si="0"/>
        <v>0.528420463528397</v>
      </c>
      <c r="C23" s="2">
        <f t="shared" ca="1" si="1"/>
        <v>413377.98304812226</v>
      </c>
    </row>
    <row r="24" spans="1:3">
      <c r="A24">
        <v>2033</v>
      </c>
      <c r="B24" s="1">
        <f t="shared" ca="1" si="0"/>
        <v>0.28624266629149103</v>
      </c>
      <c r="C24" s="2">
        <f t="shared" ca="1" si="1"/>
        <v>541704.39910201554</v>
      </c>
    </row>
    <row r="25" spans="1:3">
      <c r="A25">
        <v>2034</v>
      </c>
      <c r="B25" s="1">
        <f t="shared" ca="1" si="0"/>
        <v>8.6766084421019005E-2</v>
      </c>
      <c r="C25" s="2">
        <f t="shared" ca="1" si="1"/>
        <v>598705.96872573835</v>
      </c>
    </row>
    <row r="26" spans="1:3">
      <c r="A26">
        <v>2035</v>
      </c>
      <c r="B26" s="1">
        <f t="shared" ca="1" si="0"/>
        <v>-1.6351769072140726E-2</v>
      </c>
      <c r="C26" s="2">
        <f t="shared" ca="1" si="1"/>
        <v>598916.06698302273</v>
      </c>
    </row>
    <row r="27" spans="1:3">
      <c r="A27">
        <v>2036</v>
      </c>
      <c r="B27" s="1">
        <f t="shared" ca="1" si="0"/>
        <v>0.263530054615219</v>
      </c>
      <c r="C27" s="2">
        <f t="shared" ca="1" si="1"/>
        <v>766748.45082499087</v>
      </c>
    </row>
    <row r="28" spans="1:3">
      <c r="A28">
        <v>2037</v>
      </c>
      <c r="B28" s="1">
        <f t="shared" ca="1" si="0"/>
        <v>0.14862330028486515</v>
      </c>
      <c r="C28" s="2">
        <f t="shared" ca="1" si="1"/>
        <v>890705.13607490866</v>
      </c>
    </row>
    <row r="29" spans="1:3">
      <c r="A29">
        <v>2038</v>
      </c>
      <c r="B29" s="1">
        <f t="shared" ca="1" si="0"/>
        <v>0.34773584138857677</v>
      </c>
      <c r="C29" s="2">
        <f t="shared" ca="1" si="1"/>
        <v>1210435.2359970438</v>
      </c>
    </row>
    <row r="30" spans="1:3">
      <c r="A30">
        <v>2039</v>
      </c>
      <c r="B30" s="1">
        <f t="shared" ca="1" si="0"/>
        <v>0.29743892091896224</v>
      </c>
      <c r="C30" s="2">
        <f t="shared" ca="1" si="1"/>
        <v>1580465.786434294</v>
      </c>
    </row>
    <row r="31" spans="1:3">
      <c r="A31">
        <v>2040</v>
      </c>
      <c r="B31" s="1">
        <f t="shared" ca="1" si="0"/>
        <v>0.17508486103079623</v>
      </c>
      <c r="C31" s="2">
        <f t="shared" ca="1" si="1"/>
        <v>1867181.4190160704</v>
      </c>
    </row>
    <row r="32" spans="1:3">
      <c r="A32">
        <v>2041</v>
      </c>
      <c r="B32" s="1">
        <f t="shared" ca="1" si="0"/>
        <v>0.11716387192945482</v>
      </c>
      <c r="C32" s="2">
        <f t="shared" ca="1" si="1"/>
        <v>2095947.623662727</v>
      </c>
    </row>
    <row r="33" spans="1:3">
      <c r="A33">
        <v>2042</v>
      </c>
      <c r="B33" s="1">
        <f t="shared" ca="1" si="0"/>
        <v>-0.1958188446402267</v>
      </c>
      <c r="C33" s="2">
        <f t="shared" ca="1" si="1"/>
        <v>1695521.581570663</v>
      </c>
    </row>
    <row r="34" spans="1:3">
      <c r="A34">
        <v>2043</v>
      </c>
      <c r="B34" s="1">
        <f t="shared" ca="1" si="0"/>
        <v>-1.3748129054575883E-2</v>
      </c>
      <c r="C34" s="2">
        <f t="shared" ca="1" si="1"/>
        <v>1682211.3320524108</v>
      </c>
    </row>
    <row r="35" spans="1:3">
      <c r="A35">
        <v>2044</v>
      </c>
      <c r="B35" s="1">
        <f t="shared" ca="1" si="0"/>
        <v>0.21520066209986108</v>
      </c>
      <c r="C35" s="2">
        <f t="shared" ca="1" si="1"/>
        <v>2054224.3245019787</v>
      </c>
    </row>
    <row r="36" spans="1:3">
      <c r="A36">
        <v>2045</v>
      </c>
      <c r="B36" s="1">
        <f t="shared" ca="1" si="0"/>
        <v>0.10956127290752124</v>
      </c>
      <c r="C36" s="2">
        <f t="shared" ca="1" si="1"/>
        <v>2289287.7563320086</v>
      </c>
    </row>
    <row r="37" spans="1:3">
      <c r="A37">
        <v>2046</v>
      </c>
      <c r="B37" s="1">
        <f t="shared" ca="1" si="0"/>
        <v>-4.2515561889462525E-2</v>
      </c>
      <c r="C37" s="2">
        <f t="shared" ca="1" si="1"/>
        <v>2201957.4010448866</v>
      </c>
    </row>
    <row r="38" spans="1:3">
      <c r="A38">
        <v>2047</v>
      </c>
      <c r="B38" s="1">
        <f t="shared" ca="1" si="0"/>
        <v>0.14321879538265817</v>
      </c>
      <c r="C38" s="2">
        <f t="shared" ca="1" si="1"/>
        <v>2527319.0875064642</v>
      </c>
    </row>
    <row r="39" spans="1:3">
      <c r="A39">
        <v>2048</v>
      </c>
      <c r="B39" s="1">
        <f t="shared" ca="1" si="0"/>
        <v>-9.0343016481780197E-3</v>
      </c>
      <c r="C39" s="2">
        <f t="shared" ca="1" si="1"/>
        <v>2514486.5245087328</v>
      </c>
    </row>
    <row r="40" spans="1:3">
      <c r="A40">
        <v>2049</v>
      </c>
      <c r="B40" s="1">
        <f t="shared" ca="1" si="0"/>
        <v>6.432388633221954E-2</v>
      </c>
      <c r="C40" s="2">
        <f t="shared" ca="1" si="1"/>
        <v>2686228.0698951301</v>
      </c>
    </row>
    <row r="41" spans="1:3">
      <c r="A41">
        <v>2050</v>
      </c>
      <c r="B41" s="1">
        <f t="shared" ca="1" si="0"/>
        <v>-0.37439652184231625</v>
      </c>
      <c r="C41" s="2">
        <f t="shared" ca="1" si="1"/>
        <v>1690513.6236511951</v>
      </c>
    </row>
    <row r="42" spans="1:3">
      <c r="A42">
        <v>2051</v>
      </c>
      <c r="B42" s="1">
        <f t="shared" ca="1" si="0"/>
        <v>1.8026875828893354E-2</v>
      </c>
      <c r="C42" s="2">
        <f t="shared" ca="1" si="1"/>
        <v>1730988.3028318076</v>
      </c>
    </row>
    <row r="43" spans="1:3">
      <c r="A43">
        <v>2052</v>
      </c>
      <c r="B43" s="1">
        <f t="shared" ca="1" si="0"/>
        <v>0.12162440035249926</v>
      </c>
      <c r="C43" s="2">
        <f t="shared" ca="1" si="1"/>
        <v>1951518.7171809168</v>
      </c>
    </row>
    <row r="44" spans="1:3">
      <c r="A44">
        <v>2053</v>
      </c>
      <c r="B44" s="1">
        <f t="shared" ca="1" si="0"/>
        <v>8.6542900983595517E-3</v>
      </c>
      <c r="C44" s="2">
        <f t="shared" ca="1" si="1"/>
        <v>1978407.7262917787</v>
      </c>
    </row>
    <row r="45" spans="1:3">
      <c r="A45">
        <v>2054</v>
      </c>
      <c r="B45" s="1">
        <f t="shared" ca="1" si="0"/>
        <v>-0.19880904850474573</v>
      </c>
      <c r="C45" s="2">
        <f t="shared" ca="1" si="1"/>
        <v>1595082.3686732727</v>
      </c>
    </row>
    <row r="46" spans="1:3">
      <c r="A46">
        <v>2055</v>
      </c>
      <c r="B46" s="1">
        <f t="shared" ca="1" si="0"/>
        <v>0.1203823533868367</v>
      </c>
      <c r="C46" s="2">
        <f t="shared" ca="1" si="1"/>
        <v>1797102.138060011</v>
      </c>
    </row>
    <row r="47" spans="1:3">
      <c r="A47">
        <v>2056</v>
      </c>
      <c r="B47" s="1">
        <f t="shared" ca="1" si="0"/>
        <v>-0.10735639003941692</v>
      </c>
      <c r="C47" s="2">
        <f t="shared" ca="1" si="1"/>
        <v>1614171.7399857703</v>
      </c>
    </row>
    <row r="48" spans="1:3">
      <c r="A48">
        <v>2057</v>
      </c>
      <c r="B48" s="1">
        <f t="shared" ca="1" si="0"/>
        <v>7.93196598564333E-3</v>
      </c>
      <c r="C48" s="2">
        <f t="shared" ca="1" si="1"/>
        <v>1636975.2953223241</v>
      </c>
    </row>
    <row r="49" spans="1:3">
      <c r="A49">
        <v>2058</v>
      </c>
      <c r="B49" s="1">
        <f t="shared" ca="1" si="0"/>
        <v>6.8556146136729848E-2</v>
      </c>
      <c r="C49" s="2">
        <f t="shared" ca="1" si="1"/>
        <v>1759200.0128906579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Average Wealth at Retirement</vt:lpstr>
      <vt:lpstr>Finance Monte Carlo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Robert Showalter</dc:creator>
  <cp:lastModifiedBy>Samuel Robert Showalter</cp:lastModifiedBy>
  <dcterms:created xsi:type="dcterms:W3CDTF">2015-09-16T00:02:29Z</dcterms:created>
  <dcterms:modified xsi:type="dcterms:W3CDTF">2015-09-28T01:29:10Z</dcterms:modified>
</cp:coreProperties>
</file>
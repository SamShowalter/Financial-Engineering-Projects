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trlProps/ctrlProp4.xml" ContentType="application/vnd.ms-excel.controlproperti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trlProps/ctrlProp5.xml" ContentType="application/vnd.ms-excel.controlproperties+xml"/>
  <Override PartName="/xl/drawings/drawing8.xml" ContentType="application/vnd.openxmlformats-officedocument.drawing+xml"/>
  <Override PartName="/xl/ctrlProps/ctrlProp6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+xml"/>
  <Override PartName="/xl/ctrlProps/ctrlProp7.xml" ContentType="application/vnd.ms-excel.controlproperties+xml"/>
  <Override PartName="/xl/drawings/drawing10.xml" ContentType="application/vnd.openxmlformats-officedocument.drawing+xml"/>
  <Override PartName="/xl/ctrlProps/ctrlProp8.xml" ContentType="application/vnd.ms-excel.controlproperti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1.xml" ContentType="application/vnd.openxmlformats-officedocument.drawing+xml"/>
  <Override PartName="/xl/ctrlProps/ctrlProp9.xml" ContentType="application/vnd.ms-excel.controlproperties+xml"/>
  <Override PartName="/xl/drawings/drawing12.xml" ContentType="application/vnd.openxmlformats-officedocument.drawing+xml"/>
  <Override PartName="/xl/ctrlProps/ctrlProp10.xml" ContentType="application/vnd.ms-excel.controlproperti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3.xml" ContentType="application/vnd.openxmlformats-officedocument.drawing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I:\15162-ECON390AA\SAMUELSHOWALTER_2018\"/>
    </mc:Choice>
  </mc:AlternateContent>
  <bookViews>
    <workbookView xWindow="0" yWindow="0" windowWidth="19200" windowHeight="8175" tabRatio="500" activeTab="1"/>
  </bookViews>
  <sheets>
    <sheet name="Q1 (and raw data)" sheetId="1" r:id="rId1"/>
    <sheet name="Q2" sheetId="2" r:id="rId2"/>
    <sheet name="Q3" sheetId="3" r:id="rId3"/>
    <sheet name="Q4" sheetId="4" r:id="rId4"/>
    <sheet name="Q4 Unconstrained Diagram" sheetId="27" r:id="rId5"/>
    <sheet name="Q5" sheetId="5" r:id="rId6"/>
    <sheet name="Q6" sheetId="29" r:id="rId7"/>
    <sheet name="Q7-8 (Right)" sheetId="28" r:id="rId8"/>
    <sheet name="Index Data 3 yrs" sheetId="19" r:id="rId9"/>
    <sheet name="EF 3 Yr Index " sheetId="20" r:id="rId10"/>
    <sheet name="Optimized 3 yr" sheetId="23" r:id="rId11"/>
    <sheet name="Index Data 5 yrs" sheetId="18" r:id="rId12"/>
    <sheet name="EF 5 Yr Index" sheetId="21" r:id="rId13"/>
    <sheet name="Optimized 5 yr " sheetId="24" r:id="rId14"/>
    <sheet name="Index Data 15 yrs" sheetId="17" r:id="rId15"/>
    <sheet name="EF 15 Yr Index" sheetId="22" r:id="rId16"/>
    <sheet name="Optimized 15 yr " sheetId="25" r:id="rId17"/>
    <sheet name="Index Data 30 yrs" sheetId="6" r:id="rId18"/>
    <sheet name="EF 30 Yr Index" sheetId="15" r:id="rId19"/>
    <sheet name="Optimized 30 yr  " sheetId="26" r:id="rId20"/>
  </sheets>
  <functionGroups builtInGroupCount="18"/>
  <definedNames>
    <definedName name="change2" localSheetId="4">'Q4 Unconstrained Diagram'!$C$7:$F$7</definedName>
    <definedName name="change2">'Q5'!$C$7:$F$7</definedName>
    <definedName name="change3" localSheetId="15">'EF 15 Yr Index'!$C$7:$E$7</definedName>
    <definedName name="change3" localSheetId="9">'EF 3 Yr Index '!$C$7:$E$7</definedName>
    <definedName name="change3" localSheetId="12">'EF 5 Yr Index'!$C$7:$E$7</definedName>
    <definedName name="change3">'EF 30 Yr Index'!$C$7:$E$7</definedName>
    <definedName name="effwts2" localSheetId="4">'Q4 Unconstrained Diagram'!$K$29</definedName>
    <definedName name="effwts2">'Q5'!$K$29</definedName>
    <definedName name="effwts3" localSheetId="15">'EF 15 Yr Index'!$J$28</definedName>
    <definedName name="effwts3" localSheetId="9">'EF 3 Yr Index '!$J$28</definedName>
    <definedName name="effwts3" localSheetId="12">'EF 5 Yr Index'!$J$28</definedName>
    <definedName name="effwts3">'EF 30 Yr Index'!$J$28</definedName>
    <definedName name="niter2" localSheetId="4">'Q4 Unconstrained Diagram'!$C$14</definedName>
    <definedName name="niter2">'Q5'!$C$14</definedName>
    <definedName name="niter3" localSheetId="15">'EF 15 Yr Index'!$C$14</definedName>
    <definedName name="niter3" localSheetId="9">'EF 3 Yr Index '!$C$14</definedName>
    <definedName name="niter3" localSheetId="12">'EF 5 Yr Index'!$C$14</definedName>
    <definedName name="niter3">'EF 30 Yr Index'!$C$14</definedName>
    <definedName name="PExreturn1">'Q4'!$C$7</definedName>
    <definedName name="PExreturn2" localSheetId="4">'Q4 Unconstrained Diagram'!$C$12</definedName>
    <definedName name="PExreturn2">'Q5'!$C$12</definedName>
    <definedName name="PExreturn3" localSheetId="15">'EF 15 Yr Index'!$C$12</definedName>
    <definedName name="PExreturn3" localSheetId="9">'EF 3 Yr Index '!$C$12</definedName>
    <definedName name="PExreturn3" localSheetId="12">'EF 5 Yr Index'!$C$12</definedName>
    <definedName name="PExreturn3">'EF 30 Yr Index'!$C$12</definedName>
    <definedName name="PExreturn5" localSheetId="16">'Optimized 15 yr '!$D$10</definedName>
    <definedName name="PExreturn5" localSheetId="19">'Optimized 30 yr  '!$D$10</definedName>
    <definedName name="PExreturn5" localSheetId="13">'Optimized 5 yr '!$D$10</definedName>
    <definedName name="PExreturn5">'Optimized 3 yr'!$D$10</definedName>
    <definedName name="portmax1" localSheetId="4">'Q4 Unconstrained Diagram'!$C$8:$G$8</definedName>
    <definedName name="portmax1">'Q5'!$C$8:$G$8</definedName>
    <definedName name="portmax3" localSheetId="15">'EF 15 Yr Index'!$C$8:$F$8</definedName>
    <definedName name="portmax3" localSheetId="9">'EF 3 Yr Index '!$C$8:$F$8</definedName>
    <definedName name="portmax3" localSheetId="12">'EF 5 Yr Index'!$C$8:$F$8</definedName>
    <definedName name="portmax3">'EF 30 Yr Index'!$C$8:$F$8</definedName>
    <definedName name="portmin1" localSheetId="4">'Q4 Unconstrained Diagram'!$C$6:$G$6</definedName>
    <definedName name="portmin1">'Q5'!$C$6:$G$6</definedName>
    <definedName name="portmin3" localSheetId="15">'EF 15 Yr Index'!$C$6:$F$6</definedName>
    <definedName name="portmin3" localSheetId="9">'EF 3 Yr Index '!$C$6:$F$6</definedName>
    <definedName name="portmin3" localSheetId="12">'EF 5 Yr Index'!$C$6:$F$6</definedName>
    <definedName name="portmin3">'EF 30 Yr Index'!$C$6:$F$6</definedName>
    <definedName name="portsd1">'Q4'!$C$8</definedName>
    <definedName name="portsd2" localSheetId="4">'Q4 Unconstrained Diagram'!$C$13</definedName>
    <definedName name="portsd2">'Q5'!$C$13</definedName>
    <definedName name="portsd3" localSheetId="15">'EF 15 Yr Index'!$C$13</definedName>
    <definedName name="portsd3" localSheetId="9">'EF 3 Yr Index '!$C$13</definedName>
    <definedName name="portsd3" localSheetId="12">'EF 5 Yr Index'!$C$13</definedName>
    <definedName name="portsd3">'EF 30 Yr Index'!$C$13</definedName>
    <definedName name="portsd5" localSheetId="16">'Optimized 15 yr '!$D$11</definedName>
    <definedName name="portsd5" localSheetId="19">'Optimized 30 yr  '!$D$11</definedName>
    <definedName name="portsd5" localSheetId="13">'Optimized 5 yr '!$D$11</definedName>
    <definedName name="portsd5">'Optimized 3 yr'!$D$11</definedName>
    <definedName name="portwts1" localSheetId="15">'EF 15 Yr Index'!$C$7:$F$7</definedName>
    <definedName name="portwts1" localSheetId="9">'EF 3 Yr Index '!$C$7:$F$7</definedName>
    <definedName name="portwts1" localSheetId="18">'EF 30 Yr Index'!$C$7:$F$7</definedName>
    <definedName name="portwts1" localSheetId="12">'EF 5 Yr Index'!$C$7:$F$7</definedName>
    <definedName name="portwts1" localSheetId="4">'Q4 Unconstrained Diagram'!$C$7:$G$7</definedName>
    <definedName name="portwts1">'Q5'!$C$7:$G$7</definedName>
    <definedName name="portwts3" localSheetId="15">'EF 15 Yr Index'!$C$7:$F$7</definedName>
    <definedName name="portwts3" localSheetId="9">'EF 3 Yr Index '!$C$7:$F$7</definedName>
    <definedName name="portwts3" localSheetId="12">'EF 5 Yr Index'!$C$7:$F$7</definedName>
    <definedName name="portwts3">'EF 30 Yr Index'!$C$7:$F$7</definedName>
    <definedName name="priter2" localSheetId="4">'Q4 Unconstrained Diagram'!$C$15</definedName>
    <definedName name="priter2">'Q5'!$C$15</definedName>
    <definedName name="priter3" localSheetId="15">'EF 15 Yr Index'!$C$15</definedName>
    <definedName name="priter3" localSheetId="9">'EF 3 Yr Index '!$C$15</definedName>
    <definedName name="priter3" localSheetId="12">'EF 5 Yr Index'!$C$15</definedName>
    <definedName name="priter3">'EF 30 Yr Index'!$C$15</definedName>
    <definedName name="solver_adj" localSheetId="15" hidden="1">'EF 15 Yr Index'!$C$7:$E$7</definedName>
    <definedName name="solver_adj" localSheetId="9" hidden="1">'EF 3 Yr Index '!$C$7:$E$7</definedName>
    <definedName name="solver_adj" localSheetId="18" hidden="1">'EF 30 Yr Index'!$C$7:$E$7</definedName>
    <definedName name="solver_adj" localSheetId="12" hidden="1">'EF 5 Yr Index'!$C$7:$E$7</definedName>
    <definedName name="solver_adj" localSheetId="16" hidden="1">'Optimized 15 yr '!$H$7:$H$9</definedName>
    <definedName name="solver_adj" localSheetId="10" hidden="1">'Optimized 3 yr'!$H$7:$H$9</definedName>
    <definedName name="solver_adj" localSheetId="19" hidden="1">'Optimized 30 yr  '!$H$7:$H$9</definedName>
    <definedName name="solver_adj" localSheetId="13" hidden="1">'Optimized 5 yr '!$H$7:$H$9</definedName>
    <definedName name="solver_adj" localSheetId="3" hidden="1">'Q4'!$G$4:$G$7</definedName>
    <definedName name="solver_adj" localSheetId="4" hidden="1">'Q4 Unconstrained Diagram'!$C$7:$F$7</definedName>
    <definedName name="solver_adj" localSheetId="5" hidden="1">'Q5'!$C$7:$F$7</definedName>
    <definedName name="solver_eng" localSheetId="15" hidden="1">1</definedName>
    <definedName name="solver_eng" localSheetId="9" hidden="1">1</definedName>
    <definedName name="solver_eng" localSheetId="18" hidden="1">1</definedName>
    <definedName name="solver_eng" localSheetId="12" hidden="1">1</definedName>
    <definedName name="solver_eng" localSheetId="16" hidden="1">1</definedName>
    <definedName name="solver_eng" localSheetId="10" hidden="1">1</definedName>
    <definedName name="solver_eng" localSheetId="19" hidden="1">1</definedName>
    <definedName name="solver_eng" localSheetId="13" hidden="1">1</definedName>
    <definedName name="solver_eng" localSheetId="3" hidden="1">1</definedName>
    <definedName name="solver_eng" localSheetId="4" hidden="1">1</definedName>
    <definedName name="solver_eng" localSheetId="5" hidden="1">1</definedName>
    <definedName name="solver_lhs1" localSheetId="15" hidden="1">'EF 15 Yr Index'!$C$7:$F$7</definedName>
    <definedName name="solver_lhs1" localSheetId="9" hidden="1">'EF 3 Yr Index '!$C$7:$F$7</definedName>
    <definedName name="solver_lhs1" localSheetId="18" hidden="1">'EF 30 Yr Index'!$C$7:$F$7</definedName>
    <definedName name="solver_lhs1" localSheetId="12" hidden="1">'EF 5 Yr Index'!$C$7:$F$7</definedName>
    <definedName name="solver_lhs1" localSheetId="16" hidden="1">'Optimized 15 yr '!$D$10</definedName>
    <definedName name="solver_lhs1" localSheetId="10" hidden="1">'Optimized 3 yr'!$D$10</definedName>
    <definedName name="solver_lhs1" localSheetId="19" hidden="1">'Optimized 30 yr  '!$D$10</definedName>
    <definedName name="solver_lhs1" localSheetId="13" hidden="1">'Optimized 5 yr '!$D$10</definedName>
    <definedName name="solver_lhs1" localSheetId="3" hidden="1">'Q4'!$C$7</definedName>
    <definedName name="solver_lhs1" localSheetId="4" hidden="1">'Q4 Unconstrained Diagram'!$C$7:$G$7</definedName>
    <definedName name="solver_lhs1" localSheetId="5" hidden="1">'Q5'!$C$7:$G$7</definedName>
    <definedName name="solver_lhs2" localSheetId="15" hidden="1">'EF 15 Yr Index'!$C$7:$F$7</definedName>
    <definedName name="solver_lhs2" localSheetId="9" hidden="1">'EF 3 Yr Index '!$C$7:$F$7</definedName>
    <definedName name="solver_lhs2" localSheetId="18" hidden="1">'EF 30 Yr Index'!$C$7:$F$7</definedName>
    <definedName name="solver_lhs2" localSheetId="12" hidden="1">'EF 5 Yr Index'!$C$7:$F$7</definedName>
    <definedName name="solver_lhs2" localSheetId="4" hidden="1">'Q4 Unconstrained Diagram'!$C$7:$G$7</definedName>
    <definedName name="solver_lhs2" localSheetId="5" hidden="1">'Q5'!$C$7:$G$7</definedName>
    <definedName name="solver_lhs3" localSheetId="15" hidden="1">'EF 15 Yr Index'!$C$12</definedName>
    <definedName name="solver_lhs3" localSheetId="9" hidden="1">'EF 3 Yr Index '!$C$12</definedName>
    <definedName name="solver_lhs3" localSheetId="18" hidden="1">'EF 30 Yr Index'!$C$12</definedName>
    <definedName name="solver_lhs3" localSheetId="12" hidden="1">'EF 5 Yr Index'!$C$12</definedName>
    <definedName name="solver_lhs3" localSheetId="4" hidden="1">'Q4 Unconstrained Diagram'!$C$12</definedName>
    <definedName name="solver_lhs3" localSheetId="5" hidden="1">'Q5'!$C$12</definedName>
    <definedName name="solver_neg" localSheetId="15" hidden="1">1</definedName>
    <definedName name="solver_neg" localSheetId="9" hidden="1">1</definedName>
    <definedName name="solver_neg" localSheetId="18" hidden="1">1</definedName>
    <definedName name="solver_neg" localSheetId="12" hidden="1">1</definedName>
    <definedName name="solver_neg" localSheetId="16" hidden="1">1</definedName>
    <definedName name="solver_neg" localSheetId="10" hidden="1">1</definedName>
    <definedName name="solver_neg" localSheetId="19" hidden="1">1</definedName>
    <definedName name="solver_neg" localSheetId="13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um" localSheetId="15" hidden="1">3</definedName>
    <definedName name="solver_num" localSheetId="9" hidden="1">3</definedName>
    <definedName name="solver_num" localSheetId="18" hidden="1">3</definedName>
    <definedName name="solver_num" localSheetId="12" hidden="1">3</definedName>
    <definedName name="solver_num" localSheetId="16" hidden="1">1</definedName>
    <definedName name="solver_num" localSheetId="10" hidden="1">1</definedName>
    <definedName name="solver_num" localSheetId="19" hidden="1">1</definedName>
    <definedName name="solver_num" localSheetId="13" hidden="1">1</definedName>
    <definedName name="solver_num" localSheetId="3" hidden="1">1</definedName>
    <definedName name="solver_num" localSheetId="4" hidden="1">3</definedName>
    <definedName name="solver_num" localSheetId="5" hidden="1">3</definedName>
    <definedName name="solver_opt" localSheetId="15" hidden="1">'EF 15 Yr Index'!$C$13</definedName>
    <definedName name="solver_opt" localSheetId="9" hidden="1">'EF 3 Yr Index '!$C$13</definedName>
    <definedName name="solver_opt" localSheetId="18" hidden="1">'EF 30 Yr Index'!$C$13</definedName>
    <definedName name="solver_opt" localSheetId="12" hidden="1">'EF 5 Yr Index'!$C$13</definedName>
    <definedName name="solver_opt" localSheetId="16" hidden="1">'Optimized 15 yr '!$D$11</definedName>
    <definedName name="solver_opt" localSheetId="10" hidden="1">'Optimized 3 yr'!$D$11</definedName>
    <definedName name="solver_opt" localSheetId="19" hidden="1">'Optimized 30 yr  '!$D$11</definedName>
    <definedName name="solver_opt" localSheetId="13" hidden="1">'Optimized 5 yr '!$D$11</definedName>
    <definedName name="solver_opt" localSheetId="3" hidden="1">'Q4'!$C$8</definedName>
    <definedName name="solver_opt" localSheetId="4" hidden="1">'Q4 Unconstrained Diagram'!$C$13</definedName>
    <definedName name="solver_opt" localSheetId="5" hidden="1">'Q5'!$C$13</definedName>
    <definedName name="solver_rel1" localSheetId="15" hidden="1">3</definedName>
    <definedName name="solver_rel1" localSheetId="9" hidden="1">3</definedName>
    <definedName name="solver_rel1" localSheetId="18" hidden="1">3</definedName>
    <definedName name="solver_rel1" localSheetId="12" hidden="1">3</definedName>
    <definedName name="solver_rel1" localSheetId="16" hidden="1">2</definedName>
    <definedName name="solver_rel1" localSheetId="10" hidden="1">2</definedName>
    <definedName name="solver_rel1" localSheetId="19" hidden="1">2</definedName>
    <definedName name="solver_rel1" localSheetId="13" hidden="1">2</definedName>
    <definedName name="solver_rel1" localSheetId="3" hidden="1">2</definedName>
    <definedName name="solver_rel1" localSheetId="4" hidden="1">3</definedName>
    <definedName name="solver_rel1" localSheetId="5" hidden="1">3</definedName>
    <definedName name="solver_rel2" localSheetId="15" hidden="1">1</definedName>
    <definedName name="solver_rel2" localSheetId="9" hidden="1">1</definedName>
    <definedName name="solver_rel2" localSheetId="18" hidden="1">1</definedName>
    <definedName name="solver_rel2" localSheetId="12" hidden="1">1</definedName>
    <definedName name="solver_rel2" localSheetId="4" hidden="1">1</definedName>
    <definedName name="solver_rel2" localSheetId="5" hidden="1">1</definedName>
    <definedName name="solver_rel3" localSheetId="15" hidden="1">2</definedName>
    <definedName name="solver_rel3" localSheetId="9" hidden="1">2</definedName>
    <definedName name="solver_rel3" localSheetId="18" hidden="1">2</definedName>
    <definedName name="solver_rel3" localSheetId="12" hidden="1">2</definedName>
    <definedName name="solver_rel3" localSheetId="4" hidden="1">2</definedName>
    <definedName name="solver_rel3" localSheetId="5" hidden="1">2</definedName>
    <definedName name="solver_rhs1" localSheetId="15" hidden="1">'EF 15 Yr Index'!$C$6:$F$6</definedName>
    <definedName name="solver_rhs1" localSheetId="9" hidden="1">'EF 3 Yr Index '!$C$6:$F$6</definedName>
    <definedName name="solver_rhs1" localSheetId="18" hidden="1">'EF 30 Yr Index'!$C$6:$F$6</definedName>
    <definedName name="solver_rhs1" localSheetId="12" hidden="1">'EF 5 Yr Index'!$C$6:$F$6</definedName>
    <definedName name="solver_rhs1" localSheetId="16" hidden="1">0.1</definedName>
    <definedName name="solver_rhs1" localSheetId="10" hidden="1">0.12</definedName>
    <definedName name="solver_rhs1" localSheetId="19" hidden="1">0.03</definedName>
    <definedName name="solver_rhs1" localSheetId="13" hidden="1">0.1</definedName>
    <definedName name="solver_rhs1" localSheetId="3" hidden="1">0.04</definedName>
    <definedName name="solver_rhs1" localSheetId="4" hidden="1">'Q4 Unconstrained Diagram'!$C$6:$G$6</definedName>
    <definedName name="solver_rhs1" localSheetId="5" hidden="1">'Q5'!$C$6:$G$6</definedName>
    <definedName name="solver_rhs2" localSheetId="15" hidden="1">'EF 15 Yr Index'!$C$8:$F$8</definedName>
    <definedName name="solver_rhs2" localSheetId="9" hidden="1">'EF 3 Yr Index '!$C$8:$F$8</definedName>
    <definedName name="solver_rhs2" localSheetId="18" hidden="1">'EF 30 Yr Index'!$C$8:$F$8</definedName>
    <definedName name="solver_rhs2" localSheetId="12" hidden="1">'EF 5 Yr Index'!$C$8:$F$8</definedName>
    <definedName name="solver_rhs2" localSheetId="4" hidden="1">'Q4 Unconstrained Diagram'!$C$8:$G$8</definedName>
    <definedName name="solver_rhs2" localSheetId="5" hidden="1">'Q5'!$C$8:$G$8</definedName>
    <definedName name="solver_rhs3" localSheetId="15" hidden="1">'EF 15 Yr Index'!$C$15</definedName>
    <definedName name="solver_rhs3" localSheetId="9" hidden="1">'EF 3 Yr Index '!$C$15</definedName>
    <definedName name="solver_rhs3" localSheetId="18" hidden="1">'EF 30 Yr Index'!$C$15</definedName>
    <definedName name="solver_rhs3" localSheetId="12" hidden="1">'EF 5 Yr Index'!$C$15</definedName>
    <definedName name="solver_rhs3" localSheetId="4" hidden="1">'Q4 Unconstrained Diagram'!$C$15</definedName>
    <definedName name="solver_rhs3" localSheetId="5" hidden="1">'Q5'!$C$15</definedName>
    <definedName name="solver_typ" localSheetId="15" hidden="1">2</definedName>
    <definedName name="solver_typ" localSheetId="9" hidden="1">2</definedName>
    <definedName name="solver_typ" localSheetId="18" hidden="1">2</definedName>
    <definedName name="solver_typ" localSheetId="12" hidden="1">2</definedName>
    <definedName name="solver_typ" localSheetId="16" hidden="1">2</definedName>
    <definedName name="solver_typ" localSheetId="10" hidden="1">2</definedName>
    <definedName name="solver_typ" localSheetId="19" hidden="1">2</definedName>
    <definedName name="solver_typ" localSheetId="13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val" localSheetId="15" hidden="1">0</definedName>
    <definedName name="solver_val" localSheetId="9" hidden="1">0</definedName>
    <definedName name="solver_val" localSheetId="18" hidden="1">0</definedName>
    <definedName name="solver_val" localSheetId="12" hidden="1">0</definedName>
    <definedName name="solver_val" localSheetId="16" hidden="1">0</definedName>
    <definedName name="solver_val" localSheetId="10" hidden="1">0</definedName>
    <definedName name="solver_val" localSheetId="19" hidden="1">0</definedName>
    <definedName name="solver_val" localSheetId="13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er" localSheetId="15" hidden="1">3</definedName>
    <definedName name="solver_ver" localSheetId="9" hidden="1">3</definedName>
    <definedName name="solver_ver" localSheetId="18" hidden="1">3</definedName>
    <definedName name="solver_ver" localSheetId="12" hidden="1">3</definedName>
    <definedName name="solver_ver" localSheetId="16" hidden="1">3</definedName>
    <definedName name="solver_ver" localSheetId="10" hidden="1">3</definedName>
    <definedName name="solver_ver" localSheetId="19" hidden="1">3</definedName>
    <definedName name="solver_ver" localSheetId="13" hidden="1">3</definedName>
    <definedName name="solver_ver" localSheetId="3" hidden="1">3</definedName>
    <definedName name="solver_ver" localSheetId="4" hidden="1">3</definedName>
    <definedName name="solver_ver" localSheetId="5" hidden="1">3</definedName>
    <definedName name="target1">'Q4'!$C$4</definedName>
    <definedName name="target5" localSheetId="16">'Optimized 15 yr '!$D$7</definedName>
    <definedName name="target5" localSheetId="19">'Optimized 30 yr  '!$D$7</definedName>
    <definedName name="target5" localSheetId="13">'Optimized 5 yr '!$D$7</definedName>
    <definedName name="target5">'Optimized 3 yr'!$D$7</definedName>
    <definedName name="weights1">'Q4'!$G$4:$G$7</definedName>
    <definedName name="weights5" localSheetId="16">'Optimized 15 yr '!$H$7:$H$9</definedName>
    <definedName name="weights5" localSheetId="19">'Optimized 30 yr  '!$H$7:$H$9</definedName>
    <definedName name="weights5" localSheetId="13">'Optimized 5 yr '!$H$7:$H$9</definedName>
    <definedName name="weights5">'Optimized 3 yr'!$H$7:$H$9</definedName>
  </definedNames>
  <calcPr calcId="152511" calcMode="manual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3" i="27" l="1"/>
  <c r="E33" i="27"/>
  <c r="D33" i="27"/>
  <c r="C33" i="27"/>
  <c r="G32" i="27"/>
  <c r="E32" i="27"/>
  <c r="D32" i="27"/>
  <c r="C32" i="27"/>
  <c r="G31" i="27"/>
  <c r="F31" i="27"/>
  <c r="D31" i="27"/>
  <c r="C31" i="27"/>
  <c r="G30" i="27"/>
  <c r="F30" i="27"/>
  <c r="E30" i="27"/>
  <c r="C30" i="27"/>
  <c r="G29" i="27"/>
  <c r="F29" i="27"/>
  <c r="E29" i="27"/>
  <c r="D29" i="27"/>
  <c r="C29" i="27"/>
  <c r="D24" i="27"/>
  <c r="C24" i="27"/>
  <c r="D23" i="27"/>
  <c r="C23" i="27"/>
  <c r="D22" i="27"/>
  <c r="C22" i="27"/>
  <c r="D21" i="27"/>
  <c r="C21" i="27"/>
  <c r="D20" i="27"/>
  <c r="C20" i="27"/>
  <c r="G7" i="27"/>
  <c r="R54" i="27"/>
  <c r="R46" i="27"/>
  <c r="R38" i="27"/>
  <c r="R30" i="27"/>
  <c r="Q44" i="27"/>
  <c r="Q45" i="27"/>
  <c r="R49" i="27"/>
  <c r="R33" i="27"/>
  <c r="Q47" i="27"/>
  <c r="R52" i="27"/>
  <c r="R44" i="27"/>
  <c r="R36" i="27"/>
  <c r="Q54" i="27"/>
  <c r="Q46" i="27"/>
  <c r="Q38" i="27"/>
  <c r="Q30" i="27"/>
  <c r="Q35" i="27"/>
  <c r="R51" i="27"/>
  <c r="R43" i="27"/>
  <c r="R35" i="27"/>
  <c r="Q53" i="27"/>
  <c r="Q43" i="27"/>
  <c r="Q48" i="27"/>
  <c r="Q32" i="27"/>
  <c r="R53" i="27"/>
  <c r="R37" i="27"/>
  <c r="C12" i="27"/>
  <c r="R50" i="27"/>
  <c r="R42" i="27"/>
  <c r="R34" i="27"/>
  <c r="Q52" i="27"/>
  <c r="Q36" i="27"/>
  <c r="Q31" i="27"/>
  <c r="R41" i="27"/>
  <c r="Q51" i="27"/>
  <c r="Q37" i="27"/>
  <c r="R48" i="27"/>
  <c r="R40" i="27"/>
  <c r="R32" i="27"/>
  <c r="Q50" i="27"/>
  <c r="Q42" i="27"/>
  <c r="Q34" i="27"/>
  <c r="Q41" i="27"/>
  <c r="C13" i="27"/>
  <c r="R47" i="27"/>
  <c r="R39" i="27"/>
  <c r="R31" i="27"/>
  <c r="Q49" i="27"/>
  <c r="Q33" i="27"/>
  <c r="Q40" i="27"/>
  <c r="Q39" i="27"/>
  <c r="R45" i="27"/>
  <c r="H10" i="26" l="1"/>
  <c r="H10" i="25"/>
  <c r="H10" i="24"/>
  <c r="H10" i="23"/>
  <c r="D10" i="26"/>
  <c r="D11" i="26"/>
  <c r="D11" i="25"/>
  <c r="D11" i="24"/>
  <c r="D10" i="24"/>
  <c r="D10" i="25"/>
  <c r="E31" i="22" l="1"/>
  <c r="F30" i="22" s="1"/>
  <c r="D31" i="22"/>
  <c r="D30" i="22"/>
  <c r="E29" i="22" s="1"/>
  <c r="C31" i="22"/>
  <c r="F28" i="22" s="1"/>
  <c r="C30" i="22"/>
  <c r="C29" i="22"/>
  <c r="D28" i="22" s="1"/>
  <c r="D23" i="22"/>
  <c r="D22" i="22"/>
  <c r="D21" i="22"/>
  <c r="D20" i="22"/>
  <c r="C23" i="22"/>
  <c r="C22" i="22"/>
  <c r="C21" i="22"/>
  <c r="C20" i="22"/>
  <c r="E31" i="21"/>
  <c r="F30" i="21" s="1"/>
  <c r="D31" i="21"/>
  <c r="F29" i="21" s="1"/>
  <c r="D30" i="21"/>
  <c r="C31" i="21"/>
  <c r="F28" i="21" s="1"/>
  <c r="C30" i="21"/>
  <c r="C29" i="21"/>
  <c r="D28" i="21" s="1"/>
  <c r="D23" i="21"/>
  <c r="D22" i="21"/>
  <c r="D21" i="21"/>
  <c r="D20" i="21"/>
  <c r="C23" i="21"/>
  <c r="C22" i="21"/>
  <c r="C21" i="21"/>
  <c r="C20" i="21"/>
  <c r="E31" i="20"/>
  <c r="F30" i="20" s="1"/>
  <c r="D31" i="20"/>
  <c r="F29" i="20" s="1"/>
  <c r="C31" i="20"/>
  <c r="F28" i="20" s="1"/>
  <c r="C30" i="20"/>
  <c r="C29" i="20"/>
  <c r="D28" i="20" s="1"/>
  <c r="D23" i="20"/>
  <c r="F31" i="20" s="1"/>
  <c r="D22" i="20"/>
  <c r="D21" i="20"/>
  <c r="D29" i="20" s="1"/>
  <c r="D20" i="20"/>
  <c r="C28" i="20" s="1"/>
  <c r="C23" i="20"/>
  <c r="C22" i="20"/>
  <c r="C21" i="20"/>
  <c r="E30" i="20"/>
  <c r="C20" i="20"/>
  <c r="F29" i="22"/>
  <c r="E28" i="22"/>
  <c r="F31" i="22"/>
  <c r="E30" i="22"/>
  <c r="D29" i="22"/>
  <c r="C28" i="22"/>
  <c r="F7" i="22"/>
  <c r="E29" i="21"/>
  <c r="E28" i="21"/>
  <c r="F31" i="21"/>
  <c r="E30" i="21"/>
  <c r="D29" i="21"/>
  <c r="C28" i="21"/>
  <c r="F7" i="21"/>
  <c r="D30" i="20"/>
  <c r="E29" i="20" s="1"/>
  <c r="E28" i="20"/>
  <c r="F7" i="20"/>
  <c r="P33" i="20"/>
  <c r="P40" i="20"/>
  <c r="P29" i="21"/>
  <c r="P30" i="20"/>
  <c r="P43" i="21"/>
  <c r="O32" i="21"/>
  <c r="O39" i="21"/>
  <c r="C13" i="22"/>
  <c r="P36" i="20"/>
  <c r="P51" i="20"/>
  <c r="O45" i="20"/>
  <c r="P33" i="22"/>
  <c r="P48" i="22"/>
  <c r="D10" i="23"/>
  <c r="P31" i="20"/>
  <c r="P32" i="20"/>
  <c r="P34" i="21"/>
  <c r="O34" i="22"/>
  <c r="O49" i="22"/>
  <c r="P31" i="22"/>
  <c r="P46" i="22"/>
  <c r="P45" i="22"/>
  <c r="O44" i="20"/>
  <c r="O39" i="20"/>
  <c r="P43" i="20"/>
  <c r="P32" i="21"/>
  <c r="P36" i="21"/>
  <c r="O35" i="22"/>
  <c r="P49" i="22"/>
  <c r="O32" i="22"/>
  <c r="O46" i="22"/>
  <c r="P41" i="21"/>
  <c r="P40" i="21"/>
  <c r="P39" i="21"/>
  <c r="C12" i="21"/>
  <c r="O35" i="21"/>
  <c r="O49" i="21"/>
  <c r="O44" i="22"/>
  <c r="P50" i="20"/>
  <c r="P37" i="21"/>
  <c r="P41" i="22"/>
  <c r="P39" i="20"/>
  <c r="P49" i="21"/>
  <c r="O40" i="20"/>
  <c r="P39" i="22"/>
  <c r="P29" i="20"/>
  <c r="O47" i="21"/>
  <c r="P35" i="21"/>
  <c r="O45" i="21"/>
  <c r="O33" i="22"/>
  <c r="O40" i="22"/>
  <c r="P30" i="22"/>
  <c r="P29" i="22"/>
  <c r="P44" i="22"/>
  <c r="P51" i="22"/>
  <c r="C12" i="20"/>
  <c r="P42" i="20"/>
  <c r="P38" i="20"/>
  <c r="O46" i="21"/>
  <c r="P46" i="20"/>
  <c r="P47" i="21"/>
  <c r="O36" i="21"/>
  <c r="O43" i="21"/>
  <c r="O31" i="22"/>
  <c r="P45" i="20"/>
  <c r="P35" i="20"/>
  <c r="P49" i="20"/>
  <c r="P38" i="21"/>
  <c r="P45" i="21"/>
  <c r="P44" i="21"/>
  <c r="O33" i="21"/>
  <c r="O48" i="21"/>
  <c r="C12" i="22"/>
  <c r="O43" i="22"/>
  <c r="O38" i="20"/>
  <c r="O31" i="21"/>
  <c r="P52" i="21"/>
  <c r="O52" i="20"/>
  <c r="O47" i="22"/>
  <c r="P36" i="22"/>
  <c r="P37" i="22"/>
  <c r="O50" i="22"/>
  <c r="P40" i="22"/>
  <c r="P47" i="22"/>
  <c r="O48" i="20"/>
  <c r="O50" i="20"/>
  <c r="P37" i="20"/>
  <c r="P48" i="20"/>
  <c r="P33" i="21"/>
  <c r="P48" i="21"/>
  <c r="O42" i="21"/>
  <c r="P42" i="22"/>
  <c r="O51" i="20"/>
  <c r="O53" i="21"/>
  <c r="O41" i="22"/>
  <c r="O48" i="22"/>
  <c r="P38" i="22"/>
  <c r="O30" i="22"/>
  <c r="O52" i="22"/>
  <c r="O29" i="21"/>
  <c r="O44" i="21"/>
  <c r="O51" i="21"/>
  <c r="O39" i="22"/>
  <c r="O38" i="22"/>
  <c r="O53" i="22"/>
  <c r="P35" i="22"/>
  <c r="P50" i="22"/>
  <c r="O53" i="20"/>
  <c r="O41" i="20"/>
  <c r="O30" i="21"/>
  <c r="O46" i="20"/>
  <c r="P31" i="21"/>
  <c r="P46" i="21"/>
  <c r="P53" i="21"/>
  <c r="O34" i="21"/>
  <c r="O41" i="21"/>
  <c r="O29" i="22"/>
  <c r="O36" i="22"/>
  <c r="O49" i="20"/>
  <c r="O40" i="21"/>
  <c r="O34" i="20"/>
  <c r="O37" i="21"/>
  <c r="O47" i="20"/>
  <c r="O33" i="20"/>
  <c r="P50" i="21"/>
  <c r="O29" i="20"/>
  <c r="O42" i="20"/>
  <c r="O50" i="21"/>
  <c r="O37" i="22"/>
  <c r="P34" i="22"/>
  <c r="O37" i="20"/>
  <c r="P44" i="20"/>
  <c r="O43" i="20"/>
  <c r="P41" i="20"/>
  <c r="P52" i="20"/>
  <c r="C13" i="21"/>
  <c r="O45" i="22"/>
  <c r="O36" i="20"/>
  <c r="O31" i="20"/>
  <c r="O30" i="20"/>
  <c r="P53" i="20"/>
  <c r="P42" i="21"/>
  <c r="O38" i="21"/>
  <c r="O35" i="20"/>
  <c r="P30" i="21"/>
  <c r="O42" i="22"/>
  <c r="P32" i="22"/>
  <c r="O32" i="20"/>
  <c r="P53" i="22"/>
  <c r="C13" i="20"/>
  <c r="O51" i="22"/>
  <c r="P51" i="21"/>
  <c r="P34" i="20"/>
  <c r="O52" i="21"/>
  <c r="P47" i="20"/>
  <c r="P43" i="22"/>
  <c r="P52" i="22"/>
  <c r="F7" i="15" l="1"/>
  <c r="E31" i="15"/>
  <c r="D31" i="15"/>
  <c r="D30" i="15"/>
  <c r="C31" i="15"/>
  <c r="C30" i="15"/>
  <c r="C29" i="15"/>
  <c r="D28" i="15" s="1"/>
  <c r="F30" i="15"/>
  <c r="F29" i="15"/>
  <c r="E29" i="15"/>
  <c r="F28" i="15"/>
  <c r="E28" i="15"/>
  <c r="D23" i="15"/>
  <c r="F31" i="15" s="1"/>
  <c r="D22" i="15"/>
  <c r="E30" i="15" s="1"/>
  <c r="D21" i="15"/>
  <c r="D29" i="15" s="1"/>
  <c r="D20" i="15"/>
  <c r="C28" i="15" s="1"/>
  <c r="C23" i="15"/>
  <c r="C22" i="15"/>
  <c r="C21" i="15"/>
  <c r="C20" i="15"/>
  <c r="F42" i="19"/>
  <c r="C42" i="19"/>
  <c r="F41" i="19"/>
  <c r="C41" i="19"/>
  <c r="F40" i="19"/>
  <c r="C40" i="19"/>
  <c r="F39" i="19"/>
  <c r="C39" i="19"/>
  <c r="F38" i="19"/>
  <c r="C38" i="19"/>
  <c r="F37" i="19"/>
  <c r="C37" i="19"/>
  <c r="F36" i="19"/>
  <c r="C36" i="19"/>
  <c r="F35" i="19"/>
  <c r="C35" i="19"/>
  <c r="F34" i="19"/>
  <c r="C34" i="19"/>
  <c r="F33" i="19"/>
  <c r="C33" i="19"/>
  <c r="F32" i="19"/>
  <c r="C32" i="19"/>
  <c r="F31" i="19"/>
  <c r="C31" i="19"/>
  <c r="F30" i="19"/>
  <c r="C30" i="19"/>
  <c r="F29" i="19"/>
  <c r="C29" i="19"/>
  <c r="F28" i="19"/>
  <c r="C28" i="19"/>
  <c r="F27" i="19"/>
  <c r="C27" i="19"/>
  <c r="F26" i="19"/>
  <c r="C26" i="19"/>
  <c r="F25" i="19"/>
  <c r="C25" i="19"/>
  <c r="F24" i="19"/>
  <c r="C24" i="19"/>
  <c r="F23" i="19"/>
  <c r="C23" i="19"/>
  <c r="F22" i="19"/>
  <c r="C22" i="19"/>
  <c r="F21" i="19"/>
  <c r="C21" i="19"/>
  <c r="F20" i="19"/>
  <c r="C20" i="19"/>
  <c r="F19" i="19"/>
  <c r="C19" i="19"/>
  <c r="F18" i="19"/>
  <c r="C18" i="19"/>
  <c r="F17" i="19"/>
  <c r="C17" i="19"/>
  <c r="F16" i="19"/>
  <c r="C16" i="19"/>
  <c r="F15" i="19"/>
  <c r="C15" i="19"/>
  <c r="F14" i="19"/>
  <c r="C14" i="19"/>
  <c r="F13" i="19"/>
  <c r="C13" i="19"/>
  <c r="F12" i="19"/>
  <c r="C12" i="19"/>
  <c r="F11" i="19"/>
  <c r="C11" i="19"/>
  <c r="F10" i="19"/>
  <c r="C10" i="19"/>
  <c r="F9" i="19"/>
  <c r="C9" i="19"/>
  <c r="F8" i="19"/>
  <c r="C8" i="19"/>
  <c r="F7" i="19"/>
  <c r="C7" i="19"/>
  <c r="F66" i="18"/>
  <c r="C66" i="18"/>
  <c r="F65" i="18"/>
  <c r="C65" i="18"/>
  <c r="F64" i="18"/>
  <c r="C64" i="18"/>
  <c r="F63" i="18"/>
  <c r="C63" i="18"/>
  <c r="F62" i="18"/>
  <c r="C62" i="18"/>
  <c r="F61" i="18"/>
  <c r="C61" i="18"/>
  <c r="F60" i="18"/>
  <c r="C60" i="18"/>
  <c r="F59" i="18"/>
  <c r="C59" i="18"/>
  <c r="F58" i="18"/>
  <c r="C58" i="18"/>
  <c r="F57" i="18"/>
  <c r="C57" i="18"/>
  <c r="F56" i="18"/>
  <c r="C56" i="18"/>
  <c r="F55" i="18"/>
  <c r="C55" i="18"/>
  <c r="F54" i="18"/>
  <c r="C54" i="18"/>
  <c r="F53" i="18"/>
  <c r="C53" i="18"/>
  <c r="F52" i="18"/>
  <c r="C52" i="18"/>
  <c r="F51" i="18"/>
  <c r="C51" i="18"/>
  <c r="F50" i="18"/>
  <c r="C50" i="18"/>
  <c r="F49" i="18"/>
  <c r="C49" i="18"/>
  <c r="F48" i="18"/>
  <c r="C48" i="18"/>
  <c r="F47" i="18"/>
  <c r="C47" i="18"/>
  <c r="F46" i="18"/>
  <c r="C46" i="18"/>
  <c r="F45" i="18"/>
  <c r="C45" i="18"/>
  <c r="F44" i="18"/>
  <c r="C44" i="18"/>
  <c r="F43" i="18"/>
  <c r="C43" i="18"/>
  <c r="F42" i="18"/>
  <c r="C42" i="18"/>
  <c r="F41" i="18"/>
  <c r="C41" i="18"/>
  <c r="F40" i="18"/>
  <c r="C40" i="18"/>
  <c r="F39" i="18"/>
  <c r="C39" i="18"/>
  <c r="F38" i="18"/>
  <c r="C38" i="18"/>
  <c r="F37" i="18"/>
  <c r="C37" i="18"/>
  <c r="F36" i="18"/>
  <c r="C36" i="18"/>
  <c r="F35" i="18"/>
  <c r="C35" i="18"/>
  <c r="F34" i="18"/>
  <c r="C34" i="18"/>
  <c r="F33" i="18"/>
  <c r="C33" i="18"/>
  <c r="F32" i="18"/>
  <c r="C32" i="18"/>
  <c r="F31" i="18"/>
  <c r="C31" i="18"/>
  <c r="F30" i="18"/>
  <c r="C30" i="18"/>
  <c r="F29" i="18"/>
  <c r="C29" i="18"/>
  <c r="F28" i="18"/>
  <c r="C28" i="18"/>
  <c r="F27" i="18"/>
  <c r="C27" i="18"/>
  <c r="F26" i="18"/>
  <c r="C26" i="18"/>
  <c r="F25" i="18"/>
  <c r="C25" i="18"/>
  <c r="F24" i="18"/>
  <c r="C24" i="18"/>
  <c r="F23" i="18"/>
  <c r="C23" i="18"/>
  <c r="F22" i="18"/>
  <c r="C22" i="18"/>
  <c r="F21" i="18"/>
  <c r="C21" i="18"/>
  <c r="F20" i="18"/>
  <c r="C20" i="18"/>
  <c r="F19" i="18"/>
  <c r="C19" i="18"/>
  <c r="F18" i="18"/>
  <c r="C18" i="18"/>
  <c r="F17" i="18"/>
  <c r="C17" i="18"/>
  <c r="F16" i="18"/>
  <c r="C16" i="18"/>
  <c r="F15" i="18"/>
  <c r="C15" i="18"/>
  <c r="F14" i="18"/>
  <c r="C14" i="18"/>
  <c r="F13" i="18"/>
  <c r="C13" i="18"/>
  <c r="F12" i="18"/>
  <c r="C12" i="18"/>
  <c r="F11" i="18"/>
  <c r="C11" i="18"/>
  <c r="F10" i="18"/>
  <c r="C10" i="18"/>
  <c r="F9" i="18"/>
  <c r="C9" i="18"/>
  <c r="F8" i="18"/>
  <c r="C8" i="18"/>
  <c r="F7" i="18"/>
  <c r="C7" i="18"/>
  <c r="F186" i="17"/>
  <c r="C186" i="17"/>
  <c r="F185" i="17"/>
  <c r="C185" i="17"/>
  <c r="F184" i="17"/>
  <c r="C184" i="17"/>
  <c r="F183" i="17"/>
  <c r="C183" i="17"/>
  <c r="F182" i="17"/>
  <c r="C182" i="17"/>
  <c r="F181" i="17"/>
  <c r="C181" i="17"/>
  <c r="F180" i="17"/>
  <c r="C180" i="17"/>
  <c r="F179" i="17"/>
  <c r="C179" i="17"/>
  <c r="F178" i="17"/>
  <c r="C178" i="17"/>
  <c r="F177" i="17"/>
  <c r="C177" i="17"/>
  <c r="F176" i="17"/>
  <c r="C176" i="17"/>
  <c r="F175" i="17"/>
  <c r="C175" i="17"/>
  <c r="F174" i="17"/>
  <c r="C174" i="17"/>
  <c r="F173" i="17"/>
  <c r="C173" i="17"/>
  <c r="F172" i="17"/>
  <c r="C172" i="17"/>
  <c r="F171" i="17"/>
  <c r="C171" i="17"/>
  <c r="F170" i="17"/>
  <c r="C170" i="17"/>
  <c r="F169" i="17"/>
  <c r="C169" i="17"/>
  <c r="F168" i="17"/>
  <c r="C168" i="17"/>
  <c r="F167" i="17"/>
  <c r="C167" i="17"/>
  <c r="F166" i="17"/>
  <c r="C166" i="17"/>
  <c r="F165" i="17"/>
  <c r="C165" i="17"/>
  <c r="F164" i="17"/>
  <c r="C164" i="17"/>
  <c r="F163" i="17"/>
  <c r="C163" i="17"/>
  <c r="F162" i="17"/>
  <c r="C162" i="17"/>
  <c r="F161" i="17"/>
  <c r="C161" i="17"/>
  <c r="F160" i="17"/>
  <c r="C160" i="17"/>
  <c r="F159" i="17"/>
  <c r="C159" i="17"/>
  <c r="F158" i="17"/>
  <c r="C158" i="17"/>
  <c r="F157" i="17"/>
  <c r="C157" i="17"/>
  <c r="F156" i="17"/>
  <c r="C156" i="17"/>
  <c r="F155" i="17"/>
  <c r="C155" i="17"/>
  <c r="F154" i="17"/>
  <c r="C154" i="17"/>
  <c r="F153" i="17"/>
  <c r="C153" i="17"/>
  <c r="F152" i="17"/>
  <c r="C152" i="17"/>
  <c r="F151" i="17"/>
  <c r="C151" i="17"/>
  <c r="F150" i="17"/>
  <c r="C150" i="17"/>
  <c r="F149" i="17"/>
  <c r="C149" i="17"/>
  <c r="F148" i="17"/>
  <c r="C148" i="17"/>
  <c r="F147" i="17"/>
  <c r="C147" i="17"/>
  <c r="F146" i="17"/>
  <c r="C146" i="17"/>
  <c r="F145" i="17"/>
  <c r="C145" i="17"/>
  <c r="F144" i="17"/>
  <c r="C144" i="17"/>
  <c r="F143" i="17"/>
  <c r="C143" i="17"/>
  <c r="F142" i="17"/>
  <c r="C142" i="17"/>
  <c r="F141" i="17"/>
  <c r="C141" i="17"/>
  <c r="F140" i="17"/>
  <c r="C140" i="17"/>
  <c r="F139" i="17"/>
  <c r="C139" i="17"/>
  <c r="F138" i="17"/>
  <c r="C138" i="17"/>
  <c r="F137" i="17"/>
  <c r="C137" i="17"/>
  <c r="F136" i="17"/>
  <c r="C136" i="17"/>
  <c r="F135" i="17"/>
  <c r="C135" i="17"/>
  <c r="F134" i="17"/>
  <c r="C134" i="17"/>
  <c r="F133" i="17"/>
  <c r="C133" i="17"/>
  <c r="F132" i="17"/>
  <c r="C132" i="17"/>
  <c r="F131" i="17"/>
  <c r="C131" i="17"/>
  <c r="F130" i="17"/>
  <c r="C130" i="17"/>
  <c r="F129" i="17"/>
  <c r="C129" i="17"/>
  <c r="F128" i="17"/>
  <c r="C128" i="17"/>
  <c r="F127" i="17"/>
  <c r="C127" i="17"/>
  <c r="F126" i="17"/>
  <c r="C126" i="17"/>
  <c r="F125" i="17"/>
  <c r="C125" i="17"/>
  <c r="F124" i="17"/>
  <c r="C124" i="17"/>
  <c r="F123" i="17"/>
  <c r="C123" i="17"/>
  <c r="F122" i="17"/>
  <c r="C122" i="17"/>
  <c r="F121" i="17"/>
  <c r="C121" i="17"/>
  <c r="F120" i="17"/>
  <c r="C120" i="17"/>
  <c r="F119" i="17"/>
  <c r="C119" i="17"/>
  <c r="F118" i="17"/>
  <c r="C118" i="17"/>
  <c r="F117" i="17"/>
  <c r="C117" i="17"/>
  <c r="F116" i="17"/>
  <c r="C116" i="17"/>
  <c r="F115" i="17"/>
  <c r="C115" i="17"/>
  <c r="F114" i="17"/>
  <c r="C114" i="17"/>
  <c r="F113" i="17"/>
  <c r="C113" i="17"/>
  <c r="F112" i="17"/>
  <c r="C112" i="17"/>
  <c r="F111" i="17"/>
  <c r="C111" i="17"/>
  <c r="F110" i="17"/>
  <c r="C110" i="17"/>
  <c r="F109" i="17"/>
  <c r="C109" i="17"/>
  <c r="F108" i="17"/>
  <c r="C108" i="17"/>
  <c r="F107" i="17"/>
  <c r="C107" i="17"/>
  <c r="F106" i="17"/>
  <c r="C106" i="17"/>
  <c r="F105" i="17"/>
  <c r="C105" i="17"/>
  <c r="F104" i="17"/>
  <c r="C104" i="17"/>
  <c r="F103" i="17"/>
  <c r="C103" i="17"/>
  <c r="F102" i="17"/>
  <c r="C102" i="17"/>
  <c r="F101" i="17"/>
  <c r="C101" i="17"/>
  <c r="F100" i="17"/>
  <c r="C100" i="17"/>
  <c r="F99" i="17"/>
  <c r="C99" i="17"/>
  <c r="F98" i="17"/>
  <c r="C98" i="17"/>
  <c r="F97" i="17"/>
  <c r="C97" i="17"/>
  <c r="F96" i="17"/>
  <c r="C96" i="17"/>
  <c r="F95" i="17"/>
  <c r="C95" i="17"/>
  <c r="F94" i="17"/>
  <c r="C94" i="17"/>
  <c r="F93" i="17"/>
  <c r="C93" i="17"/>
  <c r="F92" i="17"/>
  <c r="C92" i="17"/>
  <c r="F91" i="17"/>
  <c r="C91" i="17"/>
  <c r="F90" i="17"/>
  <c r="C90" i="17"/>
  <c r="F89" i="17"/>
  <c r="C89" i="17"/>
  <c r="F88" i="17"/>
  <c r="C88" i="17"/>
  <c r="F87" i="17"/>
  <c r="C87" i="17"/>
  <c r="F86" i="17"/>
  <c r="C86" i="17"/>
  <c r="F85" i="17"/>
  <c r="C85" i="17"/>
  <c r="F84" i="17"/>
  <c r="C84" i="17"/>
  <c r="F83" i="17"/>
  <c r="C83" i="17"/>
  <c r="F82" i="17"/>
  <c r="C82" i="17"/>
  <c r="F81" i="17"/>
  <c r="C81" i="17"/>
  <c r="F80" i="17"/>
  <c r="C80" i="17"/>
  <c r="F79" i="17"/>
  <c r="C79" i="17"/>
  <c r="F78" i="17"/>
  <c r="C78" i="17"/>
  <c r="F77" i="17"/>
  <c r="C77" i="17"/>
  <c r="F76" i="17"/>
  <c r="C76" i="17"/>
  <c r="F75" i="17"/>
  <c r="C75" i="17"/>
  <c r="F74" i="17"/>
  <c r="C74" i="17"/>
  <c r="F73" i="17"/>
  <c r="C73" i="17"/>
  <c r="F72" i="17"/>
  <c r="C72" i="17"/>
  <c r="F71" i="17"/>
  <c r="C71" i="17"/>
  <c r="F70" i="17"/>
  <c r="C70" i="17"/>
  <c r="F69" i="17"/>
  <c r="C69" i="17"/>
  <c r="F68" i="17"/>
  <c r="C68" i="17"/>
  <c r="F67" i="17"/>
  <c r="C67" i="17"/>
  <c r="F66" i="17"/>
  <c r="C66" i="17"/>
  <c r="F65" i="17"/>
  <c r="C65" i="17"/>
  <c r="F64" i="17"/>
  <c r="C64" i="17"/>
  <c r="F63" i="17"/>
  <c r="C63" i="17"/>
  <c r="F62" i="17"/>
  <c r="C62" i="17"/>
  <c r="F61" i="17"/>
  <c r="C61" i="17"/>
  <c r="F60" i="17"/>
  <c r="C60" i="17"/>
  <c r="F59" i="17"/>
  <c r="C59" i="17"/>
  <c r="F58" i="17"/>
  <c r="C58" i="17"/>
  <c r="F57" i="17"/>
  <c r="C57" i="17"/>
  <c r="F56" i="17"/>
  <c r="C56" i="17"/>
  <c r="F55" i="17"/>
  <c r="C55" i="17"/>
  <c r="F54" i="17"/>
  <c r="C54" i="17"/>
  <c r="F53" i="17"/>
  <c r="C53" i="17"/>
  <c r="F52" i="17"/>
  <c r="C52" i="17"/>
  <c r="F51" i="17"/>
  <c r="C51" i="17"/>
  <c r="F50" i="17"/>
  <c r="C50" i="17"/>
  <c r="F49" i="17"/>
  <c r="C49" i="17"/>
  <c r="F48" i="17"/>
  <c r="C48" i="17"/>
  <c r="F47" i="17"/>
  <c r="C47" i="17"/>
  <c r="F46" i="17"/>
  <c r="C46" i="17"/>
  <c r="F45" i="17"/>
  <c r="C45" i="17"/>
  <c r="F44" i="17"/>
  <c r="C44" i="17"/>
  <c r="F43" i="17"/>
  <c r="C43" i="17"/>
  <c r="F42" i="17"/>
  <c r="C42" i="17"/>
  <c r="F41" i="17"/>
  <c r="C41" i="17"/>
  <c r="F40" i="17"/>
  <c r="C40" i="17"/>
  <c r="F39" i="17"/>
  <c r="C39" i="17"/>
  <c r="F38" i="17"/>
  <c r="C38" i="17"/>
  <c r="F37" i="17"/>
  <c r="C37" i="17"/>
  <c r="F36" i="17"/>
  <c r="C36" i="17"/>
  <c r="F35" i="17"/>
  <c r="C35" i="17"/>
  <c r="F34" i="17"/>
  <c r="C34" i="17"/>
  <c r="F33" i="17"/>
  <c r="C33" i="17"/>
  <c r="F32" i="17"/>
  <c r="C32" i="17"/>
  <c r="F31" i="17"/>
  <c r="C31" i="17"/>
  <c r="F30" i="17"/>
  <c r="C30" i="17"/>
  <c r="F29" i="17"/>
  <c r="C29" i="17"/>
  <c r="F28" i="17"/>
  <c r="C28" i="17"/>
  <c r="F27" i="17"/>
  <c r="C27" i="17"/>
  <c r="F26" i="17"/>
  <c r="C26" i="17"/>
  <c r="F25" i="17"/>
  <c r="C25" i="17"/>
  <c r="F24" i="17"/>
  <c r="C24" i="17"/>
  <c r="F23" i="17"/>
  <c r="C23" i="17"/>
  <c r="F22" i="17"/>
  <c r="C22" i="17"/>
  <c r="F21" i="17"/>
  <c r="C21" i="17"/>
  <c r="F20" i="17"/>
  <c r="C20" i="17"/>
  <c r="F19" i="17"/>
  <c r="C19" i="17"/>
  <c r="F18" i="17"/>
  <c r="C18" i="17"/>
  <c r="F17" i="17"/>
  <c r="C17" i="17"/>
  <c r="F16" i="17"/>
  <c r="C16" i="17"/>
  <c r="F15" i="17"/>
  <c r="C15" i="17"/>
  <c r="F14" i="17"/>
  <c r="C14" i="17"/>
  <c r="F13" i="17"/>
  <c r="C13" i="17"/>
  <c r="F12" i="17"/>
  <c r="C12" i="17"/>
  <c r="F11" i="17"/>
  <c r="C11" i="17"/>
  <c r="F10" i="17"/>
  <c r="C10" i="17"/>
  <c r="F9" i="17"/>
  <c r="C9" i="17"/>
  <c r="F8" i="17"/>
  <c r="C8" i="17"/>
  <c r="F7" i="17"/>
  <c r="C7" i="17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R54" i="5"/>
  <c r="P43" i="15"/>
  <c r="P41" i="15"/>
  <c r="C13" i="15"/>
  <c r="O50" i="15"/>
  <c r="O35" i="15"/>
  <c r="P40" i="15"/>
  <c r="P33" i="15"/>
  <c r="C12" i="15"/>
  <c r="Q54" i="5"/>
  <c r="O53" i="15"/>
  <c r="P45" i="15"/>
  <c r="O33" i="15"/>
  <c r="O49" i="15"/>
  <c r="P52" i="15"/>
  <c r="P36" i="15"/>
  <c r="O52" i="15"/>
  <c r="O42" i="15"/>
  <c r="O29" i="15"/>
  <c r="P51" i="15"/>
  <c r="O51" i="15"/>
  <c r="P30" i="15"/>
  <c r="P38" i="15"/>
  <c r="P35" i="15"/>
  <c r="O39" i="15"/>
  <c r="O34" i="15"/>
  <c r="P53" i="15"/>
  <c r="P49" i="15"/>
  <c r="O48" i="15"/>
  <c r="P50" i="15"/>
  <c r="O46" i="15"/>
  <c r="O43" i="15"/>
  <c r="P46" i="15"/>
  <c r="P29" i="15"/>
  <c r="P37" i="15"/>
  <c r="P39" i="15"/>
  <c r="O32" i="15"/>
  <c r="P31" i="15"/>
  <c r="O31" i="15"/>
  <c r="O45" i="15"/>
  <c r="O44" i="15"/>
  <c r="O41" i="15"/>
  <c r="O30" i="15"/>
  <c r="P34" i="15"/>
  <c r="P32" i="15"/>
  <c r="O37" i="15"/>
  <c r="O36" i="15"/>
  <c r="P47" i="15"/>
  <c r="O47" i="15"/>
  <c r="P48" i="15"/>
  <c r="P42" i="15"/>
  <c r="O38" i="15"/>
  <c r="P44" i="15"/>
  <c r="O40" i="15"/>
  <c r="F7" i="6" l="1"/>
  <c r="C7" i="6"/>
  <c r="D13" i="4" l="1"/>
  <c r="G7" i="5"/>
  <c r="G8" i="4"/>
  <c r="C20" i="5"/>
  <c r="C21" i="5"/>
  <c r="C22" i="5"/>
  <c r="C23" i="5"/>
  <c r="C24" i="5"/>
  <c r="F33" i="5"/>
  <c r="E33" i="5"/>
  <c r="D33" i="5"/>
  <c r="C33" i="5"/>
  <c r="G32" i="5"/>
  <c r="E32" i="5"/>
  <c r="D32" i="5"/>
  <c r="C32" i="5"/>
  <c r="G31" i="5"/>
  <c r="F31" i="5"/>
  <c r="D31" i="5"/>
  <c r="C31" i="5"/>
  <c r="G30" i="5"/>
  <c r="F30" i="5"/>
  <c r="E30" i="5"/>
  <c r="C30" i="5"/>
  <c r="G29" i="5"/>
  <c r="F29" i="5"/>
  <c r="E29" i="5"/>
  <c r="D29" i="5"/>
  <c r="C29" i="5"/>
  <c r="D24" i="5"/>
  <c r="D23" i="5"/>
  <c r="D22" i="5"/>
  <c r="D21" i="5"/>
  <c r="D20" i="5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C15" i="4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13" i="4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C14" i="4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C16" i="4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C17" i="4"/>
  <c r="C23" i="4"/>
  <c r="D14" i="4"/>
  <c r="D24" i="4"/>
  <c r="E23" i="4"/>
  <c r="D15" i="4"/>
  <c r="D25" i="4"/>
  <c r="F23" i="4"/>
  <c r="D16" i="4"/>
  <c r="D26" i="4"/>
  <c r="G23" i="4"/>
  <c r="D17" i="4"/>
  <c r="C24" i="4"/>
  <c r="E25" i="4"/>
  <c r="F24" i="4"/>
  <c r="E26" i="4"/>
  <c r="G24" i="4"/>
  <c r="C25" i="4"/>
  <c r="F26" i="4"/>
  <c r="G25" i="4"/>
  <c r="C26" i="4"/>
  <c r="D22" i="4"/>
  <c r="E22" i="4"/>
  <c r="F22" i="4"/>
  <c r="G22" i="4"/>
  <c r="C22" i="4"/>
  <c r="F18" i="2"/>
  <c r="G17" i="2" s="1"/>
  <c r="E18" i="2"/>
  <c r="G16" i="2" s="1"/>
  <c r="E17" i="2"/>
  <c r="F16" i="2" s="1"/>
  <c r="D18" i="2"/>
  <c r="G15" i="2" s="1"/>
  <c r="D17" i="2"/>
  <c r="F15" i="2" s="1"/>
  <c r="D16" i="2"/>
  <c r="E15" i="2" s="1"/>
  <c r="C18" i="2"/>
  <c r="G14" i="2" s="1"/>
  <c r="C17" i="2"/>
  <c r="F14" i="2" s="1"/>
  <c r="C16" i="2"/>
  <c r="E14" i="2" s="1"/>
  <c r="C15" i="2"/>
  <c r="D14" i="2" s="1"/>
  <c r="D9" i="2"/>
  <c r="E9" i="2" s="1"/>
  <c r="G18" i="2" s="1"/>
  <c r="D8" i="2"/>
  <c r="E8" i="2"/>
  <c r="F17" i="2" s="1"/>
  <c r="D7" i="2"/>
  <c r="E7" i="2" s="1"/>
  <c r="E16" i="2" s="1"/>
  <c r="D6" i="2"/>
  <c r="E6" i="2"/>
  <c r="D15" i="2" s="1"/>
  <c r="D5" i="2"/>
  <c r="E5" i="2" s="1"/>
  <c r="C14" i="2" s="1"/>
  <c r="C9" i="2"/>
  <c r="C8" i="2"/>
  <c r="C7" i="2"/>
  <c r="C6" i="2"/>
  <c r="C5" i="2"/>
  <c r="R43" i="5"/>
  <c r="R46" i="5"/>
  <c r="R45" i="5"/>
  <c r="Q47" i="5"/>
  <c r="Q33" i="5"/>
  <c r="Q32" i="5"/>
  <c r="R36" i="5"/>
  <c r="C12" i="5"/>
  <c r="C7" i="4"/>
  <c r="Q31" i="5"/>
  <c r="R48" i="5"/>
  <c r="Q30" i="5"/>
  <c r="R50" i="5"/>
  <c r="R37" i="5"/>
  <c r="Q36" i="5"/>
  <c r="Q44" i="5"/>
  <c r="Q52" i="5"/>
  <c r="Q39" i="5"/>
  <c r="R32" i="5"/>
  <c r="R39" i="5"/>
  <c r="Q53" i="5"/>
  <c r="Q42" i="5"/>
  <c r="Q46" i="5"/>
  <c r="Q37" i="5"/>
  <c r="R42" i="5"/>
  <c r="Q35" i="5"/>
  <c r="R41" i="5"/>
  <c r="R31" i="5"/>
  <c r="Q51" i="5"/>
  <c r="R33" i="5"/>
  <c r="Q50" i="5"/>
  <c r="Q45" i="5"/>
  <c r="R30" i="5"/>
  <c r="Q38" i="5"/>
  <c r="R44" i="5"/>
  <c r="R51" i="5"/>
  <c r="R38" i="5"/>
  <c r="Q48" i="5"/>
  <c r="Q43" i="5"/>
  <c r="R52" i="5"/>
  <c r="R47" i="5"/>
  <c r="R40" i="5"/>
  <c r="R35" i="5"/>
  <c r="Q49" i="5"/>
  <c r="Q34" i="5"/>
  <c r="R53" i="5"/>
  <c r="C13" i="5"/>
  <c r="C8" i="4"/>
  <c r="Q40" i="5"/>
  <c r="R34" i="5"/>
  <c r="R49" i="5"/>
  <c r="Q41" i="5"/>
  <c r="D11" i="23"/>
</calcChain>
</file>

<file path=xl/sharedStrings.xml><?xml version="1.0" encoding="utf-8"?>
<sst xmlns="http://schemas.openxmlformats.org/spreadsheetml/2006/main" count="523" uniqueCount="94">
  <si>
    <t>Date</t>
  </si>
  <si>
    <t>Adj Close</t>
  </si>
  <si>
    <t>Visa, Inc. (V)</t>
  </si>
  <si>
    <t>Tyler Technologies, Inc. (TYL)</t>
  </si>
  <si>
    <t>Corporate Bond (LQD)</t>
  </si>
  <si>
    <t>N/A</t>
  </si>
  <si>
    <t>Large Cap Stocks</t>
  </si>
  <si>
    <t>Small Cap Stocks</t>
  </si>
  <si>
    <t>Corporate Bonds</t>
  </si>
  <si>
    <t>Merck &amp; Co. (MRK)</t>
  </si>
  <si>
    <t>Expected Return</t>
  </si>
  <si>
    <t>Risk (Std. dev.)</t>
  </si>
  <si>
    <t>Tyler Technologies Inc. (TYL)</t>
  </si>
  <si>
    <t>Variance</t>
  </si>
  <si>
    <t>T-Bill (TLT)</t>
  </si>
  <si>
    <t>Variance/Covariance Matrix</t>
  </si>
  <si>
    <t>Treasury Bill (TLT)</t>
  </si>
  <si>
    <t>Inputs</t>
  </si>
  <si>
    <t>Target Expected Return</t>
  </si>
  <si>
    <t>Frontier Portfolio Weights</t>
  </si>
  <si>
    <t>Tyler Tech., Inc. (TYL)</t>
  </si>
  <si>
    <t>Asset (Risk/Return) Data</t>
  </si>
  <si>
    <t>Correlation Matrix</t>
  </si>
  <si>
    <t>Expected Risk (Std. Dev.)</t>
  </si>
  <si>
    <t>target1</t>
  </si>
  <si>
    <t>portstd1</t>
  </si>
  <si>
    <t>weights1</t>
  </si>
  <si>
    <t>PExreturn1</t>
  </si>
  <si>
    <t>Weekly Return %</t>
  </si>
  <si>
    <t>Merck &amp; Co., Inc. (MRK)</t>
  </si>
  <si>
    <t>Treasury Bills</t>
  </si>
  <si>
    <t>portmin1</t>
  </si>
  <si>
    <t>portwts1</t>
  </si>
  <si>
    <t>portmax1</t>
  </si>
  <si>
    <t>portsd2</t>
  </si>
  <si>
    <t>PExreturn2</t>
  </si>
  <si>
    <t>niter2</t>
  </si>
  <si>
    <t>priter2</t>
  </si>
  <si>
    <t>effwts2</t>
  </si>
  <si>
    <t>Visa (V)</t>
  </si>
  <si>
    <t>Merck (MRK)</t>
  </si>
  <si>
    <t>Tyler (TYL)</t>
  </si>
  <si>
    <t>C-Bond (LQD)</t>
  </si>
  <si>
    <t>Tyler  (TYL)</t>
  </si>
  <si>
    <t>Exp. Return</t>
  </si>
  <si>
    <t>Risk (Std. Dev.)</t>
  </si>
  <si>
    <t>Number of Iterations</t>
  </si>
  <si>
    <t>Portfolio Percent Iterations</t>
  </si>
  <si>
    <t>Expected Portfolio Return</t>
  </si>
  <si>
    <t>Portfolio Risk (Std. Dev.)</t>
  </si>
  <si>
    <t>Minimum Weights</t>
  </si>
  <si>
    <t>Optimal Weights</t>
  </si>
  <si>
    <t>Maximum Weights</t>
  </si>
  <si>
    <t>Frontier Portfolio Weights (With Constraints)</t>
  </si>
  <si>
    <t>Portolfio and Frontier Specifications</t>
  </si>
  <si>
    <t>Data Array (Created by EF Macro)</t>
  </si>
  <si>
    <t>INPUTS</t>
  </si>
  <si>
    <t>(change2)</t>
  </si>
  <si>
    <t>Portfolio Information</t>
  </si>
  <si>
    <t>Barclay's</t>
  </si>
  <si>
    <t>U.S. Corporate Investment Grade</t>
  </si>
  <si>
    <t>Adj. Close</t>
  </si>
  <si>
    <t>Monthly Return %</t>
  </si>
  <si>
    <t>Large Cap Index</t>
  </si>
  <si>
    <t>S&amp;P 500 (SPX) Index</t>
  </si>
  <si>
    <t>Russell 2000 (RTY) Index</t>
  </si>
  <si>
    <t>Small Cap Index</t>
  </si>
  <si>
    <t>U.S. Treasury Index</t>
  </si>
  <si>
    <t>S&amp;P 500 (SPX)</t>
  </si>
  <si>
    <t>Russell 2000 (RTY)</t>
  </si>
  <si>
    <t>(change3)</t>
  </si>
  <si>
    <t>(SPX)</t>
  </si>
  <si>
    <t>(RTY)</t>
  </si>
  <si>
    <t>Corp. Inv. Grade</t>
  </si>
  <si>
    <t>Treasury</t>
  </si>
  <si>
    <t>Corporate Investment Grade</t>
  </si>
  <si>
    <t>Weekly Asset (Risk/Return) Data</t>
  </si>
  <si>
    <t>Weekly Expected Risk and Return</t>
  </si>
  <si>
    <t>portmin3</t>
  </si>
  <si>
    <t>portmax3</t>
  </si>
  <si>
    <t>PExreturn3</t>
  </si>
  <si>
    <t>portsd3</t>
  </si>
  <si>
    <t>niter3</t>
  </si>
  <si>
    <t>priter3</t>
  </si>
  <si>
    <t>effwts3</t>
  </si>
  <si>
    <t>portwts3</t>
  </si>
  <si>
    <t>Index Frontier Portfolio Weights (With Constraints)</t>
  </si>
  <si>
    <t>Index Portolfio and Frontier Specifications</t>
  </si>
  <si>
    <t>target5</t>
  </si>
  <si>
    <t>Pexreturn5</t>
  </si>
  <si>
    <t>portsd5</t>
  </si>
  <si>
    <t>weights5</t>
  </si>
  <si>
    <t>Unconstrained Index EF</t>
  </si>
  <si>
    <t xml:space="preserve">Answers to Q7-8 are in the tabs to the right.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</si>
</sst>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%"/>
    <numFmt numFmtId="165" formatCode="0.0000%"/>
    <numFmt numFmtId="166" formatCode="0.00000%"/>
    <numFmt numFmtId="167" formatCode="0.000000000%"/>
    <numFmt numFmtId="168" formatCode="0.0%"/>
  </numFmts>
  <fonts count="1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3" tint="0.3999755851924192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sz val="20"/>
      <color theme="0"/>
      <name val="Calibri"/>
      <family val="2"/>
      <scheme val="minor"/>
    </font>
    <font>
      <sz val="90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3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28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0" fontId="0" fillId="0" borderId="0" xfId="0" applyBorder="1"/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/>
    <xf numFmtId="0" fontId="0" fillId="0" borderId="4" xfId="0" applyBorder="1"/>
    <xf numFmtId="0" fontId="3" fillId="0" borderId="0" xfId="0" applyFont="1" applyBorder="1"/>
    <xf numFmtId="0" fontId="3" fillId="0" borderId="4" xfId="0" applyFont="1" applyBorder="1"/>
    <xf numFmtId="0" fontId="0" fillId="0" borderId="5" xfId="0" applyBorder="1"/>
    <xf numFmtId="0" fontId="3" fillId="0" borderId="6" xfId="0" applyFont="1" applyBorder="1"/>
    <xf numFmtId="0" fontId="0" fillId="0" borderId="8" xfId="0" applyBorder="1"/>
    <xf numFmtId="0" fontId="3" fillId="0" borderId="5" xfId="0" applyFont="1" applyBorder="1"/>
    <xf numFmtId="0" fontId="0" fillId="0" borderId="0" xfId="0" quotePrefix="1"/>
    <xf numFmtId="9" fontId="0" fillId="0" borderId="0" xfId="1" applyFont="1"/>
    <xf numFmtId="9" fontId="0" fillId="0" borderId="5" xfId="1" applyFont="1" applyBorder="1"/>
    <xf numFmtId="9" fontId="0" fillId="0" borderId="8" xfId="1" applyFont="1" applyBorder="1"/>
    <xf numFmtId="0" fontId="0" fillId="0" borderId="0" xfId="0" applyFill="1"/>
    <xf numFmtId="0" fontId="2" fillId="0" borderId="0" xfId="0" applyFont="1" applyFill="1" applyBorder="1"/>
    <xf numFmtId="0" fontId="0" fillId="0" borderId="6" xfId="0" applyBorder="1"/>
    <xf numFmtId="14" fontId="3" fillId="0" borderId="4" xfId="0" applyNumberFormat="1" applyFont="1" applyBorder="1"/>
    <xf numFmtId="14" fontId="3" fillId="0" borderId="6" xfId="0" applyNumberFormat="1" applyFont="1" applyBorder="1"/>
    <xf numFmtId="9" fontId="0" fillId="0" borderId="0" xfId="1" applyFont="1" applyBorder="1"/>
    <xf numFmtId="165" fontId="0" fillId="0" borderId="5" xfId="1" applyNumberFormat="1" applyFont="1" applyBorder="1"/>
    <xf numFmtId="10" fontId="0" fillId="0" borderId="8" xfId="1" applyNumberFormat="1" applyFont="1" applyBorder="1"/>
    <xf numFmtId="0" fontId="3" fillId="0" borderId="4" xfId="0" applyFont="1" applyFill="1" applyBorder="1"/>
    <xf numFmtId="10" fontId="0" fillId="0" borderId="4" xfId="1" applyNumberFormat="1" applyFont="1" applyBorder="1"/>
    <xf numFmtId="164" fontId="0" fillId="0" borderId="5" xfId="1" applyNumberFormat="1" applyFont="1" applyBorder="1"/>
    <xf numFmtId="0" fontId="3" fillId="0" borderId="5" xfId="0" applyFont="1" applyFill="1" applyBorder="1"/>
    <xf numFmtId="164" fontId="0" fillId="0" borderId="4" xfId="1" applyNumberFormat="1" applyFont="1" applyBorder="1"/>
    <xf numFmtId="164" fontId="0" fillId="0" borderId="0" xfId="1" applyNumberFormat="1" applyFont="1" applyBorder="1"/>
    <xf numFmtId="10" fontId="0" fillId="0" borderId="5" xfId="1" applyNumberFormat="1" applyFont="1" applyBorder="1"/>
    <xf numFmtId="164" fontId="0" fillId="0" borderId="6" xfId="1" applyNumberFormat="1" applyFont="1" applyBorder="1"/>
    <xf numFmtId="164" fontId="0" fillId="0" borderId="7" xfId="1" applyNumberFormat="1" applyFont="1" applyBorder="1"/>
    <xf numFmtId="164" fontId="0" fillId="0" borderId="8" xfId="1" applyNumberFormat="1" applyFont="1" applyBorder="1"/>
    <xf numFmtId="10" fontId="0" fillId="0" borderId="6" xfId="1" applyNumberFormat="1" applyFont="1" applyBorder="1"/>
    <xf numFmtId="0" fontId="0" fillId="8" borderId="0" xfId="0" applyFill="1"/>
    <xf numFmtId="9" fontId="0" fillId="8" borderId="0" xfId="1" applyFont="1" applyFill="1" applyBorder="1"/>
    <xf numFmtId="9" fontId="0" fillId="8" borderId="5" xfId="1" applyFont="1" applyFill="1" applyBorder="1"/>
    <xf numFmtId="9" fontId="0" fillId="8" borderId="7" xfId="1" applyFont="1" applyFill="1" applyBorder="1"/>
    <xf numFmtId="9" fontId="0" fillId="8" borderId="8" xfId="1" applyFont="1" applyFill="1" applyBorder="1"/>
    <xf numFmtId="0" fontId="0" fillId="8" borderId="5" xfId="0" applyFill="1" applyBorder="1"/>
    <xf numFmtId="9" fontId="8" fillId="0" borderId="0" xfId="1" applyFont="1" applyBorder="1"/>
    <xf numFmtId="0" fontId="3" fillId="0" borderId="6" xfId="0" applyFont="1" applyFill="1" applyBorder="1"/>
    <xf numFmtId="164" fontId="0" fillId="0" borderId="8" xfId="1" applyNumberFormat="1" applyFont="1" applyFill="1" applyBorder="1"/>
    <xf numFmtId="0" fontId="3" fillId="8" borderId="0" xfId="0" applyFont="1" applyFill="1" applyAlignment="1">
      <alignment horizontal="center"/>
    </xf>
    <xf numFmtId="0" fontId="0" fillId="8" borderId="0" xfId="0" applyFill="1" applyBorder="1"/>
    <xf numFmtId="0" fontId="3" fillId="8" borderId="0" xfId="0" applyFont="1" applyFill="1" applyBorder="1" applyAlignment="1">
      <alignment horizontal="center"/>
    </xf>
    <xf numFmtId="14" fontId="0" fillId="0" borderId="0" xfId="0" applyNumberFormat="1"/>
    <xf numFmtId="10" fontId="0" fillId="0" borderId="0" xfId="1" applyNumberFormat="1" applyFont="1"/>
    <xf numFmtId="0" fontId="0" fillId="8" borderId="7" xfId="0" applyFill="1" applyBorder="1"/>
    <xf numFmtId="10" fontId="2" fillId="0" borderId="5" xfId="1" applyNumberFormat="1" applyFont="1" applyBorder="1"/>
    <xf numFmtId="10" fontId="2" fillId="0" borderId="8" xfId="1" applyNumberFormat="1" applyFont="1" applyBorder="1"/>
    <xf numFmtId="167" fontId="2" fillId="0" borderId="5" xfId="1" applyNumberFormat="1" applyFont="1" applyBorder="1"/>
    <xf numFmtId="167" fontId="2" fillId="0" borderId="8" xfId="1" applyNumberFormat="1" applyFont="1" applyBorder="1"/>
    <xf numFmtId="0" fontId="0" fillId="0" borderId="0" xfId="0" applyAlignment="1">
      <alignment horizontal="center"/>
    </xf>
    <xf numFmtId="0" fontId="0" fillId="9" borderId="4" xfId="0" applyFill="1" applyBorder="1" applyAlignment="1">
      <alignment wrapText="1"/>
    </xf>
    <xf numFmtId="0" fontId="0" fillId="11" borderId="5" xfId="0" applyFill="1" applyBorder="1" applyAlignment="1"/>
    <xf numFmtId="0" fontId="0" fillId="0" borderId="4" xfId="0" applyBorder="1" applyAlignment="1">
      <alignment horizontal="center"/>
    </xf>
    <xf numFmtId="14" fontId="0" fillId="8" borderId="0" xfId="0" applyNumberFormat="1" applyFill="1"/>
    <xf numFmtId="10" fontId="0" fillId="8" borderId="0" xfId="1" applyNumberFormat="1" applyFont="1" applyFill="1"/>
    <xf numFmtId="10" fontId="0" fillId="8" borderId="0" xfId="0" applyNumberFormat="1" applyFill="1"/>
    <xf numFmtId="0" fontId="3" fillId="8" borderId="0" xfId="0" applyFont="1" applyFill="1"/>
    <xf numFmtId="10" fontId="3" fillId="0" borderId="4" xfId="1" applyNumberFormat="1" applyFont="1" applyBorder="1" applyAlignment="1">
      <alignment horizontal="center"/>
    </xf>
    <xf numFmtId="10" fontId="3" fillId="0" borderId="5" xfId="1" applyNumberFormat="1" applyFont="1" applyBorder="1" applyAlignment="1">
      <alignment horizontal="center"/>
    </xf>
    <xf numFmtId="14" fontId="3" fillId="0" borderId="0" xfId="0" applyNumberFormat="1" applyFont="1"/>
    <xf numFmtId="0" fontId="0" fillId="8" borderId="11" xfId="0" applyFill="1" applyBorder="1"/>
    <xf numFmtId="0" fontId="3" fillId="8" borderId="11" xfId="0" applyFont="1" applyFill="1" applyBorder="1"/>
    <xf numFmtId="10" fontId="2" fillId="0" borderId="4" xfId="1" applyNumberFormat="1" applyFont="1" applyBorder="1"/>
    <xf numFmtId="14" fontId="2" fillId="8" borderId="11" xfId="0" applyNumberFormat="1" applyFont="1" applyFill="1" applyBorder="1"/>
    <xf numFmtId="0" fontId="2" fillId="8" borderId="11" xfId="0" applyFont="1" applyFill="1" applyBorder="1"/>
    <xf numFmtId="10" fontId="2" fillId="0" borderId="6" xfId="1" applyNumberFormat="1" applyFont="1" applyBorder="1"/>
    <xf numFmtId="0" fontId="2" fillId="8" borderId="10" xfId="0" applyFont="1" applyFill="1" applyBorder="1"/>
    <xf numFmtId="10" fontId="7" fillId="0" borderId="5" xfId="1" applyNumberFormat="1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9" fontId="9" fillId="0" borderId="5" xfId="1" applyFont="1" applyBorder="1"/>
    <xf numFmtId="0" fontId="3" fillId="0" borderId="4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3" fillId="0" borderId="6" xfId="0" applyFont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9" fontId="0" fillId="0" borderId="0" xfId="1" applyFont="1" applyFill="1" applyBorder="1"/>
    <xf numFmtId="9" fontId="9" fillId="0" borderId="0" xfId="1" applyFont="1" applyFill="1" applyBorder="1"/>
    <xf numFmtId="165" fontId="0" fillId="0" borderId="0" xfId="0" applyNumberFormat="1" applyBorder="1"/>
    <xf numFmtId="165" fontId="0" fillId="0" borderId="7" xfId="0" applyNumberFormat="1" applyBorder="1"/>
    <xf numFmtId="166" fontId="0" fillId="0" borderId="5" xfId="1" applyNumberFormat="1" applyFont="1" applyBorder="1"/>
    <xf numFmtId="166" fontId="0" fillId="0" borderId="8" xfId="1" applyNumberFormat="1" applyFont="1" applyBorder="1"/>
    <xf numFmtId="165" fontId="7" fillId="0" borderId="0" xfId="1" applyNumberFormat="1" applyFont="1" applyBorder="1"/>
    <xf numFmtId="165" fontId="8" fillId="0" borderId="0" xfId="1" applyNumberFormat="1" applyFont="1" applyBorder="1"/>
    <xf numFmtId="165" fontId="7" fillId="0" borderId="7" xfId="1" applyNumberFormat="1" applyFont="1" applyBorder="1"/>
    <xf numFmtId="165" fontId="8" fillId="0" borderId="7" xfId="1" applyNumberFormat="1" applyFont="1" applyBorder="1"/>
    <xf numFmtId="166" fontId="0" fillId="0" borderId="0" xfId="1" applyNumberFormat="1" applyFont="1" applyBorder="1"/>
    <xf numFmtId="166" fontId="0" fillId="0" borderId="7" xfId="1" applyNumberFormat="1" applyFont="1" applyBorder="1"/>
    <xf numFmtId="10" fontId="0" fillId="0" borderId="8" xfId="1" applyNumberFormat="1" applyFont="1" applyFill="1" applyBorder="1"/>
    <xf numFmtId="0" fontId="3" fillId="7" borderId="12" xfId="0" applyFont="1" applyFill="1" applyBorder="1" applyAlignment="1">
      <alignment horizontal="center"/>
    </xf>
    <xf numFmtId="0" fontId="3" fillId="10" borderId="3" xfId="0" applyFont="1" applyFill="1" applyBorder="1"/>
    <xf numFmtId="0" fontId="10" fillId="8" borderId="9" xfId="0" applyFont="1" applyFill="1" applyBorder="1" applyAlignment="1">
      <alignment horizontal="center"/>
    </xf>
    <xf numFmtId="0" fontId="0" fillId="0" borderId="10" xfId="0" applyBorder="1"/>
    <xf numFmtId="10" fontId="0" fillId="0" borderId="0" xfId="1" applyNumberFormat="1" applyFont="1" applyBorder="1"/>
    <xf numFmtId="168" fontId="0" fillId="0" borderId="8" xfId="1" applyNumberFormat="1" applyFont="1" applyBorder="1"/>
    <xf numFmtId="168" fontId="0" fillId="0" borderId="5" xfId="1" applyNumberFormat="1" applyFont="1" applyBorder="1"/>
    <xf numFmtId="0" fontId="3" fillId="8" borderId="4" xfId="0" applyFont="1" applyFill="1" applyBorder="1"/>
    <xf numFmtId="0" fontId="0" fillId="8" borderId="8" xfId="0" applyFill="1" applyBorder="1"/>
    <xf numFmtId="0" fontId="0" fillId="8" borderId="4" xfId="0" applyFill="1" applyBorder="1"/>
    <xf numFmtId="9" fontId="0" fillId="12" borderId="8" xfId="1" applyFont="1" applyFill="1" applyBorder="1"/>
    <xf numFmtId="168" fontId="8" fillId="0" borderId="0" xfId="1" applyNumberFormat="1" applyFont="1" applyBorder="1"/>
    <xf numFmtId="0" fontId="4" fillId="5" borderId="1" xfId="0" applyFont="1" applyFill="1" applyBorder="1" applyAlignment="1">
      <alignment horizontal="center"/>
    </xf>
    <xf numFmtId="0" fontId="4" fillId="5" borderId="2" xfId="0" applyFont="1" applyFill="1" applyBorder="1" applyAlignment="1">
      <alignment horizontal="center"/>
    </xf>
    <xf numFmtId="0" fontId="4" fillId="5" borderId="3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11" fillId="5" borderId="1" xfId="0" applyFont="1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12" fillId="13" borderId="0" xfId="0" applyFont="1" applyFill="1" applyAlignment="1">
      <alignment horizontal="center" wrapText="1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 Expected Risk and Return (Errors</a:t>
            </a:r>
            <a:r>
              <a:rPr lang="en-US" baseline="0"/>
              <a:t> bars represent standard deviation)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'Q2'!$C$4</c:f>
              <c:strCache>
                <c:ptCount val="1"/>
                <c:pt idx="0">
                  <c:v>Expected Return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'Q2'!$D$5:$D$9</c:f>
                <c:numCache>
                  <c:formatCode>General</c:formatCode>
                  <c:ptCount val="5"/>
                  <c:pt idx="0">
                    <c:v>2.4026844893101321E-2</c:v>
                  </c:pt>
                  <c:pt idx="1">
                    <c:v>2.6478072593863745E-2</c:v>
                  </c:pt>
                  <c:pt idx="2">
                    <c:v>3.6138946273361339E-2</c:v>
                  </c:pt>
                  <c:pt idx="3">
                    <c:v>7.7832682527277063E-3</c:v>
                  </c:pt>
                  <c:pt idx="4">
                    <c:v>2.0486975152049135E-2</c:v>
                  </c:pt>
                </c:numCache>
              </c:numRef>
            </c:plus>
            <c:minus>
              <c:numRef>
                <c:f>'Q2'!$D$5:$D$9</c:f>
                <c:numCache>
                  <c:formatCode>General</c:formatCode>
                  <c:ptCount val="5"/>
                  <c:pt idx="0">
                    <c:v>2.4026844893101321E-2</c:v>
                  </c:pt>
                  <c:pt idx="1">
                    <c:v>2.6478072593863745E-2</c:v>
                  </c:pt>
                  <c:pt idx="2">
                    <c:v>3.6138946273361339E-2</c:v>
                  </c:pt>
                  <c:pt idx="3">
                    <c:v>7.7832682527277063E-3</c:v>
                  </c:pt>
                  <c:pt idx="4">
                    <c:v>2.0486975152049135E-2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'Q2'!$A$5:$B$9</c:f>
              <c:strCache>
                <c:ptCount val="5"/>
                <c:pt idx="0">
                  <c:v>Visa, Inc. (V)</c:v>
                </c:pt>
                <c:pt idx="1">
                  <c:v>Merck &amp; Co. (MRK)</c:v>
                </c:pt>
                <c:pt idx="2">
                  <c:v>Tyler Technologies Inc. (TYL)</c:v>
                </c:pt>
                <c:pt idx="3">
                  <c:v>Corporate Bond (LQD)</c:v>
                </c:pt>
                <c:pt idx="4">
                  <c:v>Treasury Bill (TLT)</c:v>
                </c:pt>
              </c:strCache>
            </c:strRef>
          </c:cat>
          <c:val>
            <c:numRef>
              <c:f>'Q2'!$C$5:$C$9</c:f>
              <c:numCache>
                <c:formatCode>0.0000%</c:formatCode>
                <c:ptCount val="5"/>
                <c:pt idx="0">
                  <c:v>3.4484119373229668E-3</c:v>
                </c:pt>
                <c:pt idx="1">
                  <c:v>-5.5500611042747167E-4</c:v>
                </c:pt>
                <c:pt idx="2">
                  <c:v>9.9060432394404447E-3</c:v>
                </c:pt>
                <c:pt idx="3">
                  <c:v>-2.8059024639107572E-4</c:v>
                </c:pt>
                <c:pt idx="4">
                  <c:v>-3.5239848793662862E-4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3903568"/>
        <c:axId val="123904128"/>
      </c:barChart>
      <c:catAx>
        <c:axId val="123903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Security/</a:t>
                </a:r>
                <a:r>
                  <a:rPr lang="en-US" baseline="0"/>
                  <a:t>Company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904128"/>
        <c:crosses val="autoZero"/>
        <c:auto val="1"/>
        <c:lblAlgn val="ctr"/>
        <c:lblOffset val="100"/>
        <c:noMultiLvlLbl val="0"/>
      </c:catAx>
      <c:valAx>
        <c:axId val="12390412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Expected Weekly Return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903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905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Efficient Frontier Unconstrained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5120489082854855E-2"/>
          <c:y val="1.5219253910740619E-2"/>
          <c:w val="0.8818654577034275"/>
          <c:h val="0.77418973372905653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'Q4 Unconstrained Diagram'!$R$31:$R$53</c:f>
              <c:numCache>
                <c:formatCode>0.00%</c:formatCode>
                <c:ptCount val="23"/>
                <c:pt idx="0">
                  <c:v>6.1198658156588117E-3</c:v>
                </c:pt>
                <c:pt idx="1">
                  <c:v>6.4645674177331155E-3</c:v>
                </c:pt>
                <c:pt idx="2">
                  <c:v>7.456885233963006E-3</c:v>
                </c:pt>
                <c:pt idx="3">
                  <c:v>8.9294755566638566E-3</c:v>
                </c:pt>
                <c:pt idx="4">
                  <c:v>1.0628837286370792E-2</c:v>
                </c:pt>
                <c:pt idx="5">
                  <c:v>1.2435561874810788E-2</c:v>
                </c:pt>
                <c:pt idx="6">
                  <c:v>1.4309038581607265E-2</c:v>
                </c:pt>
                <c:pt idx="7">
                  <c:v>1.6226162208667051E-2</c:v>
                </c:pt>
                <c:pt idx="8">
                  <c:v>1.8173124767416726E-2</c:v>
                </c:pt>
                <c:pt idx="9">
                  <c:v>2.0141274947399986E-2</c:v>
                </c:pt>
                <c:pt idx="10">
                  <c:v>2.212495916422566E-2</c:v>
                </c:pt>
                <c:pt idx="11">
                  <c:v>2.4120345116054147E-2</c:v>
                </c:pt>
                <c:pt idx="12">
                  <c:v>2.6124751631724081E-2</c:v>
                </c:pt>
                <c:pt idx="13">
                  <c:v>2.8154966359295742E-2</c:v>
                </c:pt>
                <c:pt idx="14">
                  <c:v>3.0227107580419542E-2</c:v>
                </c:pt>
                <c:pt idx="15">
                  <c:v>3.2333258336798204E-2</c:v>
                </c:pt>
                <c:pt idx="16">
                  <c:v>3.4467192531956993E-2</c:v>
                </c:pt>
                <c:pt idx="17">
                  <c:v>3.6623988507882954E-2</c:v>
                </c:pt>
                <c:pt idx="18">
                  <c:v>3.8848275452078009E-2</c:v>
                </c:pt>
                <c:pt idx="19">
                  <c:v>4.1590322297509218E-2</c:v>
                </c:pt>
                <c:pt idx="20">
                  <c:v>4.4865983847073639E-2</c:v>
                </c:pt>
                <c:pt idx="21">
                  <c:v>4.8567409843083748E-2</c:v>
                </c:pt>
                <c:pt idx="22">
                  <c:v>5.2604802876840787E-2</c:v>
                </c:pt>
              </c:numCache>
            </c:numRef>
          </c:xVal>
          <c:yVal>
            <c:numRef>
              <c:f>'Q4 Unconstrained Diagram'!$Q$31:$Q$53</c:f>
              <c:numCache>
                <c:formatCode>0.00%</c:formatCode>
                <c:ptCount val="23"/>
                <c:pt idx="0">
                  <c:v>3.9238049221739389E-5</c:v>
                </c:pt>
                <c:pt idx="1">
                  <c:v>6.3348220397255422E-4</c:v>
                </c:pt>
                <c:pt idx="2">
                  <c:v>1.227736358149961E-3</c:v>
                </c:pt>
                <c:pt idx="3">
                  <c:v>1.8219705151015556E-3</c:v>
                </c:pt>
                <c:pt idx="4">
                  <c:v>2.4162146759873688E-3</c:v>
                </c:pt>
                <c:pt idx="5">
                  <c:v>3.0104588334125076E-3</c:v>
                </c:pt>
                <c:pt idx="6">
                  <c:v>3.6047029908088976E-3</c:v>
                </c:pt>
                <c:pt idx="7">
                  <c:v>4.198947148176483E-3</c:v>
                </c:pt>
                <c:pt idx="8">
                  <c:v>4.7931913054734751E-3</c:v>
                </c:pt>
                <c:pt idx="9">
                  <c:v>5.387435462770462E-3</c:v>
                </c:pt>
                <c:pt idx="10">
                  <c:v>5.981679619477237E-3</c:v>
                </c:pt>
                <c:pt idx="11">
                  <c:v>6.5759237767946468E-3</c:v>
                </c:pt>
                <c:pt idx="12">
                  <c:v>7.1701679335339124E-3</c:v>
                </c:pt>
                <c:pt idx="13">
                  <c:v>7.76442208709552E-3</c:v>
                </c:pt>
                <c:pt idx="14">
                  <c:v>8.3586562441148402E-3</c:v>
                </c:pt>
                <c:pt idx="15">
                  <c:v>8.9529004014117387E-3</c:v>
                </c:pt>
                <c:pt idx="16">
                  <c:v>9.547154558708618E-3</c:v>
                </c:pt>
                <c:pt idx="17">
                  <c:v>1.0141398716005681E-2</c:v>
                </c:pt>
                <c:pt idx="18">
                  <c:v>1.0735642878215145E-2</c:v>
                </c:pt>
                <c:pt idx="19">
                  <c:v>1.1329887035512125E-2</c:v>
                </c:pt>
                <c:pt idx="20">
                  <c:v>1.1924131192809103E-2</c:v>
                </c:pt>
                <c:pt idx="21">
                  <c:v>1.2518375350106085E-2</c:v>
                </c:pt>
                <c:pt idx="22">
                  <c:v>1.3112619507403065E-2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263360"/>
        <c:axId val="277263920"/>
      </c:scatterChart>
      <c:valAx>
        <c:axId val="277263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Risk of Portfolio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263920"/>
        <c:crosses val="autoZero"/>
        <c:crossBetween val="midCat"/>
      </c:valAx>
      <c:valAx>
        <c:axId val="277263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Return of Portfolio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263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2"/>
    </a:solidFill>
    <a:ln w="9525" cap="flat" cmpd="sng" algn="ctr">
      <a:solidFill>
        <a:schemeClr val="accent2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Efficient Frontier Constrained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5120489082854855E-2"/>
          <c:y val="1.5219253910740619E-2"/>
          <c:w val="0.8818654577034275"/>
          <c:h val="0.77418973372905653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'Q5'!$R$31:$R$53</c:f>
              <c:numCache>
                <c:formatCode>0.00%</c:formatCode>
                <c:ptCount val="23"/>
                <c:pt idx="0">
                  <c:v>9.8867023341939579E-3</c:v>
                </c:pt>
                <c:pt idx="1">
                  <c:v>9.3774835783665255E-3</c:v>
                </c:pt>
                <c:pt idx="2">
                  <c:v>9.2020256445344822E-3</c:v>
                </c:pt>
                <c:pt idx="3">
                  <c:v>9.346805787073361E-3</c:v>
                </c:pt>
                <c:pt idx="4">
                  <c:v>9.614286241411309E-3</c:v>
                </c:pt>
                <c:pt idx="5">
                  <c:v>9.9662715517191379E-3</c:v>
                </c:pt>
                <c:pt idx="6">
                  <c:v>1.0394180323480891E-2</c:v>
                </c:pt>
                <c:pt idx="7">
                  <c:v>1.0889065515235351E-2</c:v>
                </c:pt>
                <c:pt idx="8">
                  <c:v>1.1442240091483475E-2</c:v>
                </c:pt>
                <c:pt idx="9">
                  <c:v>1.2075632707038639E-2</c:v>
                </c:pt>
                <c:pt idx="10">
                  <c:v>1.2766622485646294E-2</c:v>
                </c:pt>
                <c:pt idx="11">
                  <c:v>1.3477452642835034E-2</c:v>
                </c:pt>
                <c:pt idx="12">
                  <c:v>1.4205145044904015E-2</c:v>
                </c:pt>
                <c:pt idx="13">
                  <c:v>1.4947237127184083E-2</c:v>
                </c:pt>
                <c:pt idx="14">
                  <c:v>1.5701687340519462E-2</c:v>
                </c:pt>
                <c:pt idx="15">
                  <c:v>1.6466797170803141E-2</c:v>
                </c:pt>
                <c:pt idx="16">
                  <c:v>1.7241147536362425E-2</c:v>
                </c:pt>
                <c:pt idx="17">
                  <c:v>1.8023547477553858E-2</c:v>
                </c:pt>
                <c:pt idx="18">
                  <c:v>1.8812992713555635E-2</c:v>
                </c:pt>
                <c:pt idx="19">
                  <c:v>1.9608632330292152E-2</c:v>
                </c:pt>
                <c:pt idx="20">
                  <c:v>2.0409741912327046E-2</c:v>
                </c:pt>
                <c:pt idx="21">
                  <c:v>2.1215874939155006E-2</c:v>
                </c:pt>
                <c:pt idx="22">
                  <c:v>2.2081847033939641E-2</c:v>
                </c:pt>
              </c:numCache>
            </c:numRef>
          </c:xVal>
          <c:yVal>
            <c:numRef>
              <c:f>'Q5'!$Q$31:$Q$53</c:f>
              <c:numCache>
                <c:formatCode>0.00%</c:formatCode>
                <c:ptCount val="23"/>
                <c:pt idx="0">
                  <c:v>4.9650552559821291E-4</c:v>
                </c:pt>
                <c:pt idx="1">
                  <c:v>7.4016033142636477E-4</c:v>
                </c:pt>
                <c:pt idx="2">
                  <c:v>9.8382513705240829E-4</c:v>
                </c:pt>
                <c:pt idx="3">
                  <c:v>1.2274799384789415E-3</c:v>
                </c:pt>
                <c:pt idx="4">
                  <c:v>1.4711347466416628E-3</c:v>
                </c:pt>
                <c:pt idx="5">
                  <c:v>1.7147895522674316E-3</c:v>
                </c:pt>
                <c:pt idx="6">
                  <c:v>1.9584443578932E-3</c:v>
                </c:pt>
                <c:pt idx="7">
                  <c:v>2.2020991635189674E-3</c:v>
                </c:pt>
                <c:pt idx="8">
                  <c:v>2.4457539709959409E-3</c:v>
                </c:pt>
                <c:pt idx="9">
                  <c:v>2.6893987770609975E-3</c:v>
                </c:pt>
                <c:pt idx="10">
                  <c:v>2.9330535844654961E-3</c:v>
                </c:pt>
                <c:pt idx="11">
                  <c:v>3.17670838875238E-3</c:v>
                </c:pt>
                <c:pt idx="12">
                  <c:v>3.4203631943781477E-3</c:v>
                </c:pt>
                <c:pt idx="13">
                  <c:v>3.6640180013428002E-3</c:v>
                </c:pt>
                <c:pt idx="14">
                  <c:v>3.9076728056296854E-3</c:v>
                </c:pt>
                <c:pt idx="15">
                  <c:v>4.151327612594337E-3</c:v>
                </c:pt>
                <c:pt idx="16">
                  <c:v>4.3949824168812218E-3</c:v>
                </c:pt>
                <c:pt idx="17">
                  <c:v>4.6386372225069904E-3</c:v>
                </c:pt>
                <c:pt idx="18">
                  <c:v>4.882292028132759E-3</c:v>
                </c:pt>
                <c:pt idx="19">
                  <c:v>5.1259468337585276E-3</c:v>
                </c:pt>
                <c:pt idx="20">
                  <c:v>5.3696016407231801E-3</c:v>
                </c:pt>
                <c:pt idx="21">
                  <c:v>5.6132664442939658E-3</c:v>
                </c:pt>
                <c:pt idx="22">
                  <c:v>5.8569212498620861E-3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8848"/>
        <c:axId val="4179408"/>
      </c:scatterChart>
      <c:valAx>
        <c:axId val="4178848"/>
        <c:scaling>
          <c:orientation val="minMax"/>
          <c:max val="2.5000000000000005E-2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Risk of Portfolio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9408"/>
        <c:crosses val="autoZero"/>
        <c:crossBetween val="midCat"/>
      </c:valAx>
      <c:valAx>
        <c:axId val="417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Return of Portfolio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8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2"/>
    </a:solidFill>
    <a:ln w="9525" cap="flat" cmpd="sng" algn="ctr">
      <a:solidFill>
        <a:schemeClr val="accent2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Efficient Frontier Constrained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5120489082854855E-2"/>
          <c:y val="1.5219253910740619E-2"/>
          <c:w val="0.8818654577034275"/>
          <c:h val="0.77418973372905653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'Q5'!$R$31:$R$53</c:f>
              <c:numCache>
                <c:formatCode>0.00%</c:formatCode>
                <c:ptCount val="23"/>
                <c:pt idx="0">
                  <c:v>9.8867023341939579E-3</c:v>
                </c:pt>
                <c:pt idx="1">
                  <c:v>9.3774835783665255E-3</c:v>
                </c:pt>
                <c:pt idx="2">
                  <c:v>9.2020256445344822E-3</c:v>
                </c:pt>
                <c:pt idx="3">
                  <c:v>9.346805787073361E-3</c:v>
                </c:pt>
                <c:pt idx="4">
                  <c:v>9.614286241411309E-3</c:v>
                </c:pt>
                <c:pt idx="5">
                  <c:v>9.9662715517191379E-3</c:v>
                </c:pt>
                <c:pt idx="6">
                  <c:v>1.0394180323480891E-2</c:v>
                </c:pt>
                <c:pt idx="7">
                  <c:v>1.0889065515235351E-2</c:v>
                </c:pt>
                <c:pt idx="8">
                  <c:v>1.1442240091483475E-2</c:v>
                </c:pt>
                <c:pt idx="9">
                  <c:v>1.2075632707038639E-2</c:v>
                </c:pt>
                <c:pt idx="10">
                  <c:v>1.2766622485646294E-2</c:v>
                </c:pt>
                <c:pt idx="11">
                  <c:v>1.3477452642835034E-2</c:v>
                </c:pt>
                <c:pt idx="12">
                  <c:v>1.4205145044904015E-2</c:v>
                </c:pt>
                <c:pt idx="13">
                  <c:v>1.4947237127184083E-2</c:v>
                </c:pt>
                <c:pt idx="14">
                  <c:v>1.5701687340519462E-2</c:v>
                </c:pt>
                <c:pt idx="15">
                  <c:v>1.6466797170803141E-2</c:v>
                </c:pt>
                <c:pt idx="16">
                  <c:v>1.7241147536362425E-2</c:v>
                </c:pt>
                <c:pt idx="17">
                  <c:v>1.8023547477553858E-2</c:v>
                </c:pt>
                <c:pt idx="18">
                  <c:v>1.8812992713555635E-2</c:v>
                </c:pt>
                <c:pt idx="19">
                  <c:v>1.9608632330292152E-2</c:v>
                </c:pt>
                <c:pt idx="20">
                  <c:v>2.0409741912327046E-2</c:v>
                </c:pt>
                <c:pt idx="21">
                  <c:v>2.1215874939155006E-2</c:v>
                </c:pt>
                <c:pt idx="22">
                  <c:v>2.2081847033939641E-2</c:v>
                </c:pt>
              </c:numCache>
            </c:numRef>
          </c:xVal>
          <c:yVal>
            <c:numRef>
              <c:f>'Q5'!$Q$31:$Q$53</c:f>
              <c:numCache>
                <c:formatCode>0.00%</c:formatCode>
                <c:ptCount val="23"/>
                <c:pt idx="0">
                  <c:v>4.9650552559821291E-4</c:v>
                </c:pt>
                <c:pt idx="1">
                  <c:v>7.4016033142636477E-4</c:v>
                </c:pt>
                <c:pt idx="2">
                  <c:v>9.8382513705240829E-4</c:v>
                </c:pt>
                <c:pt idx="3">
                  <c:v>1.2274799384789415E-3</c:v>
                </c:pt>
                <c:pt idx="4">
                  <c:v>1.4711347466416628E-3</c:v>
                </c:pt>
                <c:pt idx="5">
                  <c:v>1.7147895522674316E-3</c:v>
                </c:pt>
                <c:pt idx="6">
                  <c:v>1.9584443578932E-3</c:v>
                </c:pt>
                <c:pt idx="7">
                  <c:v>2.2020991635189674E-3</c:v>
                </c:pt>
                <c:pt idx="8">
                  <c:v>2.4457539709959409E-3</c:v>
                </c:pt>
                <c:pt idx="9">
                  <c:v>2.6893987770609975E-3</c:v>
                </c:pt>
                <c:pt idx="10">
                  <c:v>2.9330535844654961E-3</c:v>
                </c:pt>
                <c:pt idx="11">
                  <c:v>3.17670838875238E-3</c:v>
                </c:pt>
                <c:pt idx="12">
                  <c:v>3.4203631943781477E-3</c:v>
                </c:pt>
                <c:pt idx="13">
                  <c:v>3.6640180013428002E-3</c:v>
                </c:pt>
                <c:pt idx="14">
                  <c:v>3.9076728056296854E-3</c:v>
                </c:pt>
                <c:pt idx="15">
                  <c:v>4.151327612594337E-3</c:v>
                </c:pt>
                <c:pt idx="16">
                  <c:v>4.3949824168812218E-3</c:v>
                </c:pt>
                <c:pt idx="17">
                  <c:v>4.6386372225069904E-3</c:v>
                </c:pt>
                <c:pt idx="18">
                  <c:v>4.882292028132759E-3</c:v>
                </c:pt>
                <c:pt idx="19">
                  <c:v>5.1259468337585276E-3</c:v>
                </c:pt>
                <c:pt idx="20">
                  <c:v>5.3696016407231801E-3</c:v>
                </c:pt>
                <c:pt idx="21">
                  <c:v>5.6132664442939658E-3</c:v>
                </c:pt>
                <c:pt idx="22">
                  <c:v>5.8569212498620861E-3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680816"/>
        <c:axId val="278679696"/>
      </c:scatterChart>
      <c:valAx>
        <c:axId val="278680816"/>
        <c:scaling>
          <c:orientation val="minMax"/>
          <c:max val="6.0000000000000012E-2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Risk of Portfolio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679696"/>
        <c:crosses val="autoZero"/>
        <c:crossBetween val="midCat"/>
      </c:valAx>
      <c:valAx>
        <c:axId val="278679696"/>
        <c:scaling>
          <c:orientation val="minMax"/>
          <c:max val="1.4000000000000002E-2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Return of Portfolio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680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2"/>
    </a:solidFill>
    <a:ln w="9525" cap="flat" cmpd="sng" algn="ctr">
      <a:solidFill>
        <a:schemeClr val="accent2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Efficient Frontier Unconstrained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5120489082854855E-2"/>
          <c:y val="1.5219253910740619E-2"/>
          <c:w val="0.8818654577034275"/>
          <c:h val="0.77418973372905653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'Q4 Unconstrained Diagram'!$R$31:$R$53</c:f>
              <c:numCache>
                <c:formatCode>0.00%</c:formatCode>
                <c:ptCount val="23"/>
                <c:pt idx="0">
                  <c:v>6.1198658156588117E-3</c:v>
                </c:pt>
                <c:pt idx="1">
                  <c:v>6.4645674177331155E-3</c:v>
                </c:pt>
                <c:pt idx="2">
                  <c:v>7.456885233963006E-3</c:v>
                </c:pt>
                <c:pt idx="3">
                  <c:v>8.9294755566638566E-3</c:v>
                </c:pt>
                <c:pt idx="4">
                  <c:v>1.0628837286370792E-2</c:v>
                </c:pt>
                <c:pt idx="5">
                  <c:v>1.2435561874810788E-2</c:v>
                </c:pt>
                <c:pt idx="6">
                  <c:v>1.4309038581607265E-2</c:v>
                </c:pt>
                <c:pt idx="7">
                  <c:v>1.6226162208667051E-2</c:v>
                </c:pt>
                <c:pt idx="8">
                  <c:v>1.8173124767416726E-2</c:v>
                </c:pt>
                <c:pt idx="9">
                  <c:v>2.0141274947399986E-2</c:v>
                </c:pt>
                <c:pt idx="10">
                  <c:v>2.212495916422566E-2</c:v>
                </c:pt>
                <c:pt idx="11">
                  <c:v>2.4120345116054147E-2</c:v>
                </c:pt>
                <c:pt idx="12">
                  <c:v>2.6124751631724081E-2</c:v>
                </c:pt>
                <c:pt idx="13">
                  <c:v>2.8154966359295742E-2</c:v>
                </c:pt>
                <c:pt idx="14">
                  <c:v>3.0227107580419542E-2</c:v>
                </c:pt>
                <c:pt idx="15">
                  <c:v>3.2333258336798204E-2</c:v>
                </c:pt>
                <c:pt idx="16">
                  <c:v>3.4467192531956993E-2</c:v>
                </c:pt>
                <c:pt idx="17">
                  <c:v>3.6623988507882954E-2</c:v>
                </c:pt>
                <c:pt idx="18">
                  <c:v>3.8848275452078009E-2</c:v>
                </c:pt>
                <c:pt idx="19">
                  <c:v>4.1590322297509218E-2</c:v>
                </c:pt>
                <c:pt idx="20">
                  <c:v>4.4865983847073639E-2</c:v>
                </c:pt>
                <c:pt idx="21">
                  <c:v>4.8567409843083748E-2</c:v>
                </c:pt>
                <c:pt idx="22">
                  <c:v>5.2604802876840787E-2</c:v>
                </c:pt>
              </c:numCache>
            </c:numRef>
          </c:xVal>
          <c:yVal>
            <c:numRef>
              <c:f>'Q4 Unconstrained Diagram'!$Q$31:$Q$53</c:f>
              <c:numCache>
                <c:formatCode>0.00%</c:formatCode>
                <c:ptCount val="23"/>
                <c:pt idx="0">
                  <c:v>3.9238049221739389E-5</c:v>
                </c:pt>
                <c:pt idx="1">
                  <c:v>6.3348220397255422E-4</c:v>
                </c:pt>
                <c:pt idx="2">
                  <c:v>1.227736358149961E-3</c:v>
                </c:pt>
                <c:pt idx="3">
                  <c:v>1.8219705151015556E-3</c:v>
                </c:pt>
                <c:pt idx="4">
                  <c:v>2.4162146759873688E-3</c:v>
                </c:pt>
                <c:pt idx="5">
                  <c:v>3.0104588334125076E-3</c:v>
                </c:pt>
                <c:pt idx="6">
                  <c:v>3.6047029908088976E-3</c:v>
                </c:pt>
                <c:pt idx="7">
                  <c:v>4.198947148176483E-3</c:v>
                </c:pt>
                <c:pt idx="8">
                  <c:v>4.7931913054734751E-3</c:v>
                </c:pt>
                <c:pt idx="9">
                  <c:v>5.387435462770462E-3</c:v>
                </c:pt>
                <c:pt idx="10">
                  <c:v>5.981679619477237E-3</c:v>
                </c:pt>
                <c:pt idx="11">
                  <c:v>6.5759237767946468E-3</c:v>
                </c:pt>
                <c:pt idx="12">
                  <c:v>7.1701679335339124E-3</c:v>
                </c:pt>
                <c:pt idx="13">
                  <c:v>7.76442208709552E-3</c:v>
                </c:pt>
                <c:pt idx="14">
                  <c:v>8.3586562441148402E-3</c:v>
                </c:pt>
                <c:pt idx="15">
                  <c:v>8.9529004014117387E-3</c:v>
                </c:pt>
                <c:pt idx="16">
                  <c:v>9.547154558708618E-3</c:v>
                </c:pt>
                <c:pt idx="17">
                  <c:v>1.0141398716005681E-2</c:v>
                </c:pt>
                <c:pt idx="18">
                  <c:v>1.0735642878215145E-2</c:v>
                </c:pt>
                <c:pt idx="19">
                  <c:v>1.1329887035512125E-2</c:v>
                </c:pt>
                <c:pt idx="20">
                  <c:v>1.1924131192809103E-2</c:v>
                </c:pt>
                <c:pt idx="21">
                  <c:v>1.2518375350106085E-2</c:v>
                </c:pt>
                <c:pt idx="22">
                  <c:v>1.3112619507403065E-2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415584"/>
        <c:axId val="284282992"/>
      </c:scatterChart>
      <c:valAx>
        <c:axId val="285415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Risk of Portfolio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4282992"/>
        <c:crosses val="autoZero"/>
        <c:crossBetween val="midCat"/>
      </c:valAx>
      <c:valAx>
        <c:axId val="28428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Return of Portfolio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5415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2"/>
    </a:solidFill>
    <a:ln w="9525" cap="flat" cmpd="sng" algn="ctr">
      <a:solidFill>
        <a:schemeClr val="accent2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INdex Portfolio</a:t>
            </a:r>
            <a:r>
              <a:rPr lang="en-US" baseline="0"/>
              <a:t> </a:t>
            </a:r>
            <a:r>
              <a:rPr lang="en-US"/>
              <a:t>Efficient Frontier 3 years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'EF 3 Yr Index '!$P$30:$P$53</c:f>
              <c:numCache>
                <c:formatCode>0.00%</c:formatCode>
                <c:ptCount val="24"/>
                <c:pt idx="0">
                  <c:v>8.169092446522877E-3</c:v>
                </c:pt>
                <c:pt idx="1">
                  <c:v>8.3748429652102784E-3</c:v>
                </c:pt>
                <c:pt idx="2">
                  <c:v>8.6895084031256564E-3</c:v>
                </c:pt>
                <c:pt idx="3">
                  <c:v>9.1017996166001015E-3</c:v>
                </c:pt>
                <c:pt idx="4">
                  <c:v>9.5991455145853066E-3</c:v>
                </c:pt>
                <c:pt idx="5">
                  <c:v>1.0169074261520356E-2</c:v>
                </c:pt>
                <c:pt idx="6">
                  <c:v>1.0800101223559875E-2</c:v>
                </c:pt>
                <c:pt idx="7">
                  <c:v>1.148215745923449E-2</c:v>
                </c:pt>
                <c:pt idx="8">
                  <c:v>1.2206692089786657E-2</c:v>
                </c:pt>
                <c:pt idx="9">
                  <c:v>1.2966586366802833E-2</c:v>
                </c:pt>
                <c:pt idx="10">
                  <c:v>1.3755981630452451E-2</c:v>
                </c:pt>
                <c:pt idx="11">
                  <c:v>1.4585838751157463E-2</c:v>
                </c:pt>
                <c:pt idx="12">
                  <c:v>1.5437606978020465E-2</c:v>
                </c:pt>
                <c:pt idx="13">
                  <c:v>1.6305275570889243E-2</c:v>
                </c:pt>
                <c:pt idx="14">
                  <c:v>1.7344309143502313E-2</c:v>
                </c:pt>
                <c:pt idx="15">
                  <c:v>1.8600450861330022E-2</c:v>
                </c:pt>
                <c:pt idx="16">
                  <c:v>1.9905424431193291E-2</c:v>
                </c:pt>
                <c:pt idx="17">
                  <c:v>2.1250236155817538E-2</c:v>
                </c:pt>
                <c:pt idx="18">
                  <c:v>2.2627784180536938E-2</c:v>
                </c:pt>
                <c:pt idx="19">
                  <c:v>2.4032439795301171E-2</c:v>
                </c:pt>
                <c:pt idx="20">
                  <c:v>2.5459716680659814E-2</c:v>
                </c:pt>
                <c:pt idx="21">
                  <c:v>2.6906015122181035E-2</c:v>
                </c:pt>
                <c:pt idx="22">
                  <c:v>2.8368425959179964E-2</c:v>
                </c:pt>
                <c:pt idx="23">
                  <c:v>2.9844536936702384E-2</c:v>
                </c:pt>
              </c:numCache>
            </c:numRef>
          </c:xVal>
          <c:yVal>
            <c:numRef>
              <c:f>'EF 3 Yr Index '!$O$30:$O$53</c:f>
              <c:numCache>
                <c:formatCode>0.00%</c:formatCode>
                <c:ptCount val="24"/>
                <c:pt idx="0">
                  <c:v>2.4658190246863811E-3</c:v>
                </c:pt>
                <c:pt idx="1">
                  <c:v>2.8043778499530622E-3</c:v>
                </c:pt>
                <c:pt idx="2">
                  <c:v>3.1429366650498761E-3</c:v>
                </c:pt>
                <c:pt idx="3">
                  <c:v>3.4814954801466896E-3</c:v>
                </c:pt>
                <c:pt idx="4">
                  <c:v>3.8200542952435039E-3</c:v>
                </c:pt>
                <c:pt idx="5">
                  <c:v>4.1586131103403179E-3</c:v>
                </c:pt>
                <c:pt idx="6">
                  <c:v>4.4971719254371318E-3</c:v>
                </c:pt>
                <c:pt idx="7">
                  <c:v>4.8357307405339457E-3</c:v>
                </c:pt>
                <c:pt idx="8">
                  <c:v>5.1742895556307596E-3</c:v>
                </c:pt>
                <c:pt idx="9">
                  <c:v>5.5128483707275727E-3</c:v>
                </c:pt>
                <c:pt idx="10">
                  <c:v>5.8514071858243874E-3</c:v>
                </c:pt>
                <c:pt idx="11">
                  <c:v>6.1899660009212014E-3</c:v>
                </c:pt>
                <c:pt idx="12">
                  <c:v>6.5285148160183727E-3</c:v>
                </c:pt>
                <c:pt idx="13">
                  <c:v>6.8670836311148292E-3</c:v>
                </c:pt>
                <c:pt idx="14">
                  <c:v>7.2056422206083675E-3</c:v>
                </c:pt>
                <c:pt idx="15">
                  <c:v>7.544201261308457E-3</c:v>
                </c:pt>
                <c:pt idx="16">
                  <c:v>7.8827600764052718E-3</c:v>
                </c:pt>
                <c:pt idx="17">
                  <c:v>8.221318891502084E-3</c:v>
                </c:pt>
                <c:pt idx="18">
                  <c:v>8.5598777065988979E-3</c:v>
                </c:pt>
                <c:pt idx="19">
                  <c:v>8.8984365216957136E-3</c:v>
                </c:pt>
                <c:pt idx="20">
                  <c:v>9.2369953367925275E-3</c:v>
                </c:pt>
                <c:pt idx="21">
                  <c:v>9.5755541518893414E-3</c:v>
                </c:pt>
                <c:pt idx="22">
                  <c:v>9.9141129669861553E-3</c:v>
                </c:pt>
                <c:pt idx="23">
                  <c:v>1.0252661782082971E-2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054096"/>
        <c:axId val="278054656"/>
      </c:scatterChart>
      <c:valAx>
        <c:axId val="278054096"/>
        <c:scaling>
          <c:orientation val="minMax"/>
          <c:max val="5.000000000000001E-2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Risk of Portfolio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054656"/>
        <c:crosses val="autoZero"/>
        <c:crossBetween val="midCat"/>
      </c:valAx>
      <c:valAx>
        <c:axId val="27805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Return of Portfolio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8054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2"/>
    </a:solidFill>
    <a:ln w="9525" cap="flat" cmpd="sng" algn="ctr">
      <a:solidFill>
        <a:schemeClr val="accent2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INdex Portfolio</a:t>
            </a:r>
            <a:r>
              <a:rPr lang="en-US" baseline="0"/>
              <a:t> </a:t>
            </a:r>
            <a:r>
              <a:rPr lang="en-US"/>
              <a:t>Efficient Frontier 5 years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'EF 5 Yr Index'!$P$30:$P$53</c:f>
              <c:numCache>
                <c:formatCode>0.00%</c:formatCode>
                <c:ptCount val="24"/>
                <c:pt idx="0">
                  <c:v>8.7156657659508245E-3</c:v>
                </c:pt>
                <c:pt idx="1">
                  <c:v>8.8403099450083261E-3</c:v>
                </c:pt>
                <c:pt idx="2">
                  <c:v>9.1022350944055027E-3</c:v>
                </c:pt>
                <c:pt idx="3">
                  <c:v>9.4900814241471107E-3</c:v>
                </c:pt>
                <c:pt idx="4">
                  <c:v>9.9891924144626353E-3</c:v>
                </c:pt>
                <c:pt idx="5">
                  <c:v>1.0583838749833372E-2</c:v>
                </c:pt>
                <c:pt idx="6">
                  <c:v>1.1258893293965084E-2</c:v>
                </c:pt>
                <c:pt idx="7">
                  <c:v>1.2000759191026826E-2</c:v>
                </c:pt>
                <c:pt idx="8">
                  <c:v>1.2797922606776048E-2</c:v>
                </c:pt>
                <c:pt idx="9">
                  <c:v>1.3640598680803917E-2</c:v>
                </c:pt>
                <c:pt idx="10">
                  <c:v>1.452318460875433E-2</c:v>
                </c:pt>
                <c:pt idx="11">
                  <c:v>1.5436847541289425E-2</c:v>
                </c:pt>
                <c:pt idx="12">
                  <c:v>1.6367157410987494E-2</c:v>
                </c:pt>
                <c:pt idx="13">
                  <c:v>1.7311352105584845E-2</c:v>
                </c:pt>
                <c:pt idx="14">
                  <c:v>1.8279399763225797E-2</c:v>
                </c:pt>
                <c:pt idx="15">
                  <c:v>1.9318094256163626E-2</c:v>
                </c:pt>
                <c:pt idx="16">
                  <c:v>2.0644052054616936E-2</c:v>
                </c:pt>
                <c:pt idx="17">
                  <c:v>2.23636273240213E-2</c:v>
                </c:pt>
                <c:pt idx="18">
                  <c:v>2.4162977721496566E-2</c:v>
                </c:pt>
                <c:pt idx="19">
                  <c:v>2.6025857657019046E-2</c:v>
                </c:pt>
                <c:pt idx="20">
                  <c:v>2.7939254986034605E-2</c:v>
                </c:pt>
                <c:pt idx="21">
                  <c:v>2.9893788253555917E-2</c:v>
                </c:pt>
                <c:pt idx="22">
                  <c:v>3.1881659021401949E-2</c:v>
                </c:pt>
                <c:pt idx="23">
                  <c:v>3.3896982756768022E-2</c:v>
                </c:pt>
              </c:numCache>
            </c:numRef>
          </c:xVal>
          <c:yVal>
            <c:numRef>
              <c:f>'EF 5 Yr Index'!$O$30:$O$53</c:f>
              <c:numCache>
                <c:formatCode>0.00%</c:formatCode>
                <c:ptCount val="24"/>
                <c:pt idx="0">
                  <c:v>3.8848952027005258E-3</c:v>
                </c:pt>
                <c:pt idx="1">
                  <c:v>4.1025567486476918E-3</c:v>
                </c:pt>
                <c:pt idx="2">
                  <c:v>4.3202172855720542E-3</c:v>
                </c:pt>
                <c:pt idx="3">
                  <c:v>4.5378778224964157E-3</c:v>
                </c:pt>
                <c:pt idx="4">
                  <c:v>4.7555383594207789E-3</c:v>
                </c:pt>
                <c:pt idx="5">
                  <c:v>4.9731988963451412E-3</c:v>
                </c:pt>
                <c:pt idx="6">
                  <c:v>5.1908594332695027E-3</c:v>
                </c:pt>
                <c:pt idx="7">
                  <c:v>5.4085099701934479E-3</c:v>
                </c:pt>
                <c:pt idx="8">
                  <c:v>5.6261805071182282E-3</c:v>
                </c:pt>
                <c:pt idx="9">
                  <c:v>5.8438410440425905E-3</c:v>
                </c:pt>
                <c:pt idx="10">
                  <c:v>6.0614915809666103E-3</c:v>
                </c:pt>
                <c:pt idx="11">
                  <c:v>6.2791521178909727E-3</c:v>
                </c:pt>
                <c:pt idx="12">
                  <c:v>6.4968226548156767E-3</c:v>
                </c:pt>
                <c:pt idx="13">
                  <c:v>6.714483191740039E-3</c:v>
                </c:pt>
                <c:pt idx="14">
                  <c:v>6.9321437237090909E-3</c:v>
                </c:pt>
                <c:pt idx="15">
                  <c:v>7.149794265588795E-3</c:v>
                </c:pt>
                <c:pt idx="16">
                  <c:v>7.3674548025126213E-3</c:v>
                </c:pt>
                <c:pt idx="17">
                  <c:v>7.5851253394374893E-3</c:v>
                </c:pt>
                <c:pt idx="18">
                  <c:v>7.8027758763613477E-3</c:v>
                </c:pt>
                <c:pt idx="19">
                  <c:v>8.0204464132862148E-3</c:v>
                </c:pt>
                <c:pt idx="20">
                  <c:v>8.2380969502100707E-3</c:v>
                </c:pt>
                <c:pt idx="21">
                  <c:v>8.4557674871349395E-3</c:v>
                </c:pt>
                <c:pt idx="22">
                  <c:v>8.6734280240593018E-3</c:v>
                </c:pt>
                <c:pt idx="23">
                  <c:v>8.8910785609836729E-3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821760"/>
        <c:axId val="275822320"/>
      </c:scatterChart>
      <c:valAx>
        <c:axId val="275821760"/>
        <c:scaling>
          <c:orientation val="minMax"/>
          <c:max val="5.000000000000001E-2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Risk of Portfolio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822320"/>
        <c:crosses val="autoZero"/>
        <c:crossBetween val="midCat"/>
      </c:valAx>
      <c:valAx>
        <c:axId val="275822320"/>
        <c:scaling>
          <c:orientation val="minMax"/>
          <c:max val="1.2000000000000002E-2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Return of Portfolio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821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2"/>
    </a:solidFill>
    <a:ln w="9525" cap="flat" cmpd="sng" algn="ctr">
      <a:solidFill>
        <a:schemeClr val="accent2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INdex Portfolio</a:t>
            </a:r>
            <a:r>
              <a:rPr lang="en-US" baseline="0"/>
              <a:t> </a:t>
            </a:r>
            <a:r>
              <a:rPr lang="en-US"/>
              <a:t>Efficient Frontier 15 years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'EF 15 Yr Index'!$P$30:$P$53</c:f>
              <c:numCache>
                <c:formatCode>0.00%</c:formatCode>
                <c:ptCount val="24"/>
                <c:pt idx="0">
                  <c:v>1.22594984827842E-2</c:v>
                </c:pt>
                <c:pt idx="1">
                  <c:v>1.2555904362611515E-2</c:v>
                </c:pt>
                <c:pt idx="2">
                  <c:v>1.3005096084197859E-2</c:v>
                </c:pt>
                <c:pt idx="3">
                  <c:v>1.3504330846213206E-2</c:v>
                </c:pt>
                <c:pt idx="4">
                  <c:v>1.4039772348643953E-2</c:v>
                </c:pt>
                <c:pt idx="5">
                  <c:v>1.4609615279925395E-2</c:v>
                </c:pt>
                <c:pt idx="6">
                  <c:v>1.5241453513949727E-2</c:v>
                </c:pt>
                <c:pt idx="7">
                  <c:v>1.5938018494053092E-2</c:v>
                </c:pt>
                <c:pt idx="8">
                  <c:v>1.6691208576637608E-2</c:v>
                </c:pt>
                <c:pt idx="9">
                  <c:v>1.7493711324759475E-2</c:v>
                </c:pt>
                <c:pt idx="10">
                  <c:v>1.8339054228950019E-2</c:v>
                </c:pt>
                <c:pt idx="11">
                  <c:v>1.9221585939871763E-2</c:v>
                </c:pt>
                <c:pt idx="12">
                  <c:v>2.0136417357825509E-2</c:v>
                </c:pt>
                <c:pt idx="13">
                  <c:v>2.107920648989655E-2</c:v>
                </c:pt>
                <c:pt idx="14">
                  <c:v>2.2046619657585E-2</c:v>
                </c:pt>
                <c:pt idx="15">
                  <c:v>2.3035581379714429E-2</c:v>
                </c:pt>
                <c:pt idx="16">
                  <c:v>2.4043166912840856E-2</c:v>
                </c:pt>
                <c:pt idx="17">
                  <c:v>2.5067253994587414E-2</c:v>
                </c:pt>
                <c:pt idx="18">
                  <c:v>2.610575082214308E-2</c:v>
                </c:pt>
                <c:pt idx="19">
                  <c:v>2.7191012819411123E-2</c:v>
                </c:pt>
                <c:pt idx="20">
                  <c:v>2.8458710061109616E-2</c:v>
                </c:pt>
                <c:pt idx="21">
                  <c:v>2.9751991733188897E-2</c:v>
                </c:pt>
                <c:pt idx="22">
                  <c:v>3.1067662921335046E-2</c:v>
                </c:pt>
                <c:pt idx="23">
                  <c:v>4.4102120624398632E-2</c:v>
                </c:pt>
              </c:numCache>
            </c:numRef>
          </c:xVal>
          <c:yVal>
            <c:numRef>
              <c:f>'EF 15 Yr Index'!$O$30:$O$53</c:f>
              <c:numCache>
                <c:formatCode>0.00%</c:formatCode>
                <c:ptCount val="24"/>
                <c:pt idx="0">
                  <c:v>4.5680787975056368E-3</c:v>
                </c:pt>
                <c:pt idx="1">
                  <c:v>4.6378188114023899E-3</c:v>
                </c:pt>
                <c:pt idx="2">
                  <c:v>4.7075562771637268E-3</c:v>
                </c:pt>
                <c:pt idx="3">
                  <c:v>4.7772937444739367E-3</c:v>
                </c:pt>
                <c:pt idx="4">
                  <c:v>4.8470312116949557E-3</c:v>
                </c:pt>
                <c:pt idx="5">
                  <c:v>4.9167686793874501E-3</c:v>
                </c:pt>
                <c:pt idx="6">
                  <c:v>4.9865061475074853E-3</c:v>
                </c:pt>
                <c:pt idx="7">
                  <c:v>5.0562436147285044E-3</c:v>
                </c:pt>
                <c:pt idx="8">
                  <c:v>5.1259810819495235E-3</c:v>
                </c:pt>
                <c:pt idx="9">
                  <c:v>5.1957185491705426E-3</c:v>
                </c:pt>
                <c:pt idx="10">
                  <c:v>5.2654560163915617E-3</c:v>
                </c:pt>
                <c:pt idx="11">
                  <c:v>5.3351934836125808E-3</c:v>
                </c:pt>
                <c:pt idx="12">
                  <c:v>5.404930950833599E-3</c:v>
                </c:pt>
                <c:pt idx="13">
                  <c:v>5.4746584180546155E-3</c:v>
                </c:pt>
                <c:pt idx="14">
                  <c:v>5.5443958852756355E-3</c:v>
                </c:pt>
                <c:pt idx="15">
                  <c:v>5.6141433524966571E-3</c:v>
                </c:pt>
                <c:pt idx="16">
                  <c:v>5.6838808197176762E-3</c:v>
                </c:pt>
                <c:pt idx="17">
                  <c:v>5.7536182869386953E-3</c:v>
                </c:pt>
                <c:pt idx="18">
                  <c:v>5.8233457541597118E-3</c:v>
                </c:pt>
                <c:pt idx="19">
                  <c:v>5.8930932213807335E-3</c:v>
                </c:pt>
                <c:pt idx="20">
                  <c:v>5.9628306886017526E-3</c:v>
                </c:pt>
                <c:pt idx="21">
                  <c:v>6.0325681558227717E-3</c:v>
                </c:pt>
                <c:pt idx="22">
                  <c:v>6.1023056230437907E-3</c:v>
                </c:pt>
                <c:pt idx="23">
                  <c:v>6.1720330902648004E-3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778656"/>
        <c:axId val="277779216"/>
      </c:scatterChart>
      <c:valAx>
        <c:axId val="277778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Risk of Portfolio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779216"/>
        <c:crosses val="autoZero"/>
        <c:crossBetween val="midCat"/>
      </c:valAx>
      <c:valAx>
        <c:axId val="277779216"/>
        <c:scaling>
          <c:orientation val="minMax"/>
          <c:max val="1.2000000000000002E-2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Return of Portfolio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778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2"/>
    </a:solidFill>
    <a:ln w="9525" cap="flat" cmpd="sng" algn="ctr">
      <a:solidFill>
        <a:schemeClr val="accent2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INdex Portfolio</a:t>
            </a:r>
            <a:r>
              <a:rPr lang="en-US" baseline="0"/>
              <a:t> </a:t>
            </a:r>
            <a:r>
              <a:rPr lang="en-US"/>
              <a:t>Efficient Frontier 30 years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'EF 30 Yr Index'!$P$30:$P$128</c:f>
              <c:numCache>
                <c:formatCode>0.00%</c:formatCode>
                <c:ptCount val="99"/>
                <c:pt idx="0">
                  <c:v>1.3494805482369069E-2</c:v>
                </c:pt>
                <c:pt idx="1">
                  <c:v>1.3904707850495234E-2</c:v>
                </c:pt>
                <c:pt idx="2">
                  <c:v>1.4444116618998436E-2</c:v>
                </c:pt>
                <c:pt idx="3">
                  <c:v>1.5067193290108093E-2</c:v>
                </c:pt>
                <c:pt idx="4">
                  <c:v>1.5756136518031309E-2</c:v>
                </c:pt>
                <c:pt idx="5">
                  <c:v>1.6502699114536962E-2</c:v>
                </c:pt>
                <c:pt idx="6">
                  <c:v>1.7300173331438316E-2</c:v>
                </c:pt>
                <c:pt idx="7">
                  <c:v>1.8150559879838341E-2</c:v>
                </c:pt>
                <c:pt idx="8">
                  <c:v>1.9049267478281569E-2</c:v>
                </c:pt>
                <c:pt idx="9">
                  <c:v>1.998981430379802E-2</c:v>
                </c:pt>
                <c:pt idx="10">
                  <c:v>2.0966570470041933E-2</c:v>
                </c:pt>
                <c:pt idx="11">
                  <c:v>2.1974708088705851E-2</c:v>
                </c:pt>
                <c:pt idx="12">
                  <c:v>2.3010102799121263E-2</c:v>
                </c:pt>
                <c:pt idx="13">
                  <c:v>2.4102909181873012E-2</c:v>
                </c:pt>
                <c:pt idx="14">
                  <c:v>2.5243901094712713E-2</c:v>
                </c:pt>
                <c:pt idx="15">
                  <c:v>2.6414366805252134E-2</c:v>
                </c:pt>
                <c:pt idx="16">
                  <c:v>2.8024880947906797E-2</c:v>
                </c:pt>
                <c:pt idx="17">
                  <c:v>2.988247954842585E-2</c:v>
                </c:pt>
                <c:pt idx="18">
                  <c:v>3.1828472347958492E-2</c:v>
                </c:pt>
                <c:pt idx="19">
                  <c:v>3.3847755679318525E-2</c:v>
                </c:pt>
                <c:pt idx="20">
                  <c:v>3.5927974080489512E-2</c:v>
                </c:pt>
                <c:pt idx="21">
                  <c:v>3.8059137181618088E-2</c:v>
                </c:pt>
                <c:pt idx="22">
                  <c:v>4.0233150124860152E-2</c:v>
                </c:pt>
                <c:pt idx="23">
                  <c:v>4.2443222128738321E-2</c:v>
                </c:pt>
              </c:numCache>
            </c:numRef>
          </c:xVal>
          <c:yVal>
            <c:numRef>
              <c:f>'EF 30 Yr Index'!$O$30:$O$128</c:f>
              <c:numCache>
                <c:formatCode>0.00%</c:formatCode>
                <c:ptCount val="99"/>
                <c:pt idx="0">
                  <c:v>6.0793627998859115E-3</c:v>
                </c:pt>
                <c:pt idx="1">
                  <c:v>6.1870275297710806E-3</c:v>
                </c:pt>
                <c:pt idx="2">
                  <c:v>6.2946822573458194E-3</c:v>
                </c:pt>
                <c:pt idx="3">
                  <c:v>6.4023469873610017E-3</c:v>
                </c:pt>
                <c:pt idx="4">
                  <c:v>6.5100117163503831E-3</c:v>
                </c:pt>
                <c:pt idx="5">
                  <c:v>6.6176764453397636E-3</c:v>
                </c:pt>
                <c:pt idx="6">
                  <c:v>6.7253459766908217E-3</c:v>
                </c:pt>
                <c:pt idx="7">
                  <c:v>6.8330159037073689E-3</c:v>
                </c:pt>
                <c:pt idx="8">
                  <c:v>6.9406806326967503E-3</c:v>
                </c:pt>
                <c:pt idx="9">
                  <c:v>7.0483453616861317E-3</c:v>
                </c:pt>
                <c:pt idx="10">
                  <c:v>7.1560100906755131E-3</c:v>
                </c:pt>
                <c:pt idx="11">
                  <c:v>7.2636748196648945E-3</c:v>
                </c:pt>
                <c:pt idx="12">
                  <c:v>7.371339548654275E-3</c:v>
                </c:pt>
                <c:pt idx="13">
                  <c:v>7.4790042776436572E-3</c:v>
                </c:pt>
                <c:pt idx="14">
                  <c:v>7.5866690066330377E-3</c:v>
                </c:pt>
                <c:pt idx="15">
                  <c:v>7.69433373562242E-3</c:v>
                </c:pt>
                <c:pt idx="16">
                  <c:v>7.8019884646120512E-3</c:v>
                </c:pt>
                <c:pt idx="17">
                  <c:v>7.9096631936011828E-3</c:v>
                </c:pt>
                <c:pt idx="18">
                  <c:v>8.0173279225905624E-3</c:v>
                </c:pt>
                <c:pt idx="19">
                  <c:v>8.1249926515799455E-3</c:v>
                </c:pt>
                <c:pt idx="20">
                  <c:v>8.2326573805693269E-3</c:v>
                </c:pt>
                <c:pt idx="21">
                  <c:v>8.3403221095587083E-3</c:v>
                </c:pt>
                <c:pt idx="22">
                  <c:v>8.4479868385480897E-3</c:v>
                </c:pt>
                <c:pt idx="23">
                  <c:v>8.5556415675374798E-3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466672"/>
        <c:axId val="279467232"/>
      </c:scatterChart>
      <c:valAx>
        <c:axId val="279466672"/>
        <c:scaling>
          <c:orientation val="minMax"/>
          <c:max val="5.000000000000001E-2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Risk of Portfolio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9467232"/>
        <c:crosses val="autoZero"/>
        <c:crossBetween val="midCat"/>
      </c:valAx>
      <c:valAx>
        <c:axId val="279467232"/>
        <c:scaling>
          <c:orientation val="minMax"/>
          <c:max val="1.2000000000000002E-2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Return of Portfolio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946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2"/>
    </a:solidFill>
    <a:ln w="9525" cap="flat" cmpd="sng" algn="ctr">
      <a:solidFill>
        <a:schemeClr val="accent2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838199</xdr:colOff>
      <xdr:row>1</xdr:row>
      <xdr:rowOff>0</xdr:rowOff>
    </xdr:from>
    <xdr:to>
      <xdr:col>12</xdr:col>
      <xdr:colOff>9524</xdr:colOff>
      <xdr:row>26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1924050</xdr:colOff>
          <xdr:row>6</xdr:row>
          <xdr:rowOff>180975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EF_Unconstrained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819150</xdr:colOff>
          <xdr:row>3</xdr:row>
          <xdr:rowOff>19050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EF_Constrained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9525</xdr:colOff>
      <xdr:row>3</xdr:row>
      <xdr:rowOff>15875</xdr:rowOff>
    </xdr:from>
    <xdr:to>
      <xdr:col>18</xdr:col>
      <xdr:colOff>28575</xdr:colOff>
      <xdr:row>24</xdr:row>
      <xdr:rowOff>190500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819150</xdr:colOff>
          <xdr:row>3</xdr:row>
          <xdr:rowOff>19050</xdr:rowOff>
        </xdr:from>
        <xdr:to>
          <xdr:col>10</xdr:col>
          <xdr:colOff>0</xdr:colOff>
          <xdr:row>8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EF_Constrained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9525</xdr:colOff>
      <xdr:row>3</xdr:row>
      <xdr:rowOff>15875</xdr:rowOff>
    </xdr:from>
    <xdr:to>
      <xdr:col>18</xdr:col>
      <xdr:colOff>28575</xdr:colOff>
      <xdr:row>24</xdr:row>
      <xdr:rowOff>190500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239486</xdr:colOff>
      <xdr:row>23</xdr:row>
      <xdr:rowOff>81643</xdr:rowOff>
    </xdr:from>
    <xdr:to>
      <xdr:col>12</xdr:col>
      <xdr:colOff>547007</xdr:colOff>
      <xdr:row>46</xdr:row>
      <xdr:rowOff>60325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247650</xdr:colOff>
      <xdr:row>1</xdr:row>
      <xdr:rowOff>76200</xdr:rowOff>
    </xdr:from>
    <xdr:to>
      <xdr:col>12</xdr:col>
      <xdr:colOff>555172</xdr:colOff>
      <xdr:row>23</xdr:row>
      <xdr:rowOff>49439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19050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EF_Index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9525</xdr:colOff>
      <xdr:row>3</xdr:row>
      <xdr:rowOff>15875</xdr:rowOff>
    </xdr:from>
    <xdr:to>
      <xdr:col>17</xdr:col>
      <xdr:colOff>28575</xdr:colOff>
      <xdr:row>23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5</xdr:row>
          <xdr:rowOff>9525</xdr:rowOff>
        </xdr:from>
        <xdr:to>
          <xdr:col>5</xdr:col>
          <xdr:colOff>1924050</xdr:colOff>
          <xdr:row>9</xdr:row>
          <xdr:rowOff>180975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Index EF_Unconstrained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19050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EF_Index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9525</xdr:colOff>
      <xdr:row>3</xdr:row>
      <xdr:rowOff>15875</xdr:rowOff>
    </xdr:from>
    <xdr:to>
      <xdr:col>17</xdr:col>
      <xdr:colOff>28575</xdr:colOff>
      <xdr:row>23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5</xdr:row>
          <xdr:rowOff>9525</xdr:rowOff>
        </xdr:from>
        <xdr:to>
          <xdr:col>5</xdr:col>
          <xdr:colOff>1924050</xdr:colOff>
          <xdr:row>9</xdr:row>
          <xdr:rowOff>180975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Index EF_Unconstrained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19050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EF_Index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9525</xdr:colOff>
      <xdr:row>3</xdr:row>
      <xdr:rowOff>15875</xdr:rowOff>
    </xdr:from>
    <xdr:to>
      <xdr:col>17</xdr:col>
      <xdr:colOff>28575</xdr:colOff>
      <xdr:row>23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5</xdr:row>
          <xdr:rowOff>9525</xdr:rowOff>
        </xdr:from>
        <xdr:to>
          <xdr:col>5</xdr:col>
          <xdr:colOff>1924050</xdr:colOff>
          <xdr:row>9</xdr:row>
          <xdr:rowOff>180975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Index EF_Unconstrained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19050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EF_Index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9525</xdr:colOff>
      <xdr:row>3</xdr:row>
      <xdr:rowOff>15875</xdr:rowOff>
    </xdr:from>
    <xdr:to>
      <xdr:col>17</xdr:col>
      <xdr:colOff>28575</xdr:colOff>
      <xdr:row>23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5</xdr:row>
          <xdr:rowOff>9525</xdr:rowOff>
        </xdr:from>
        <xdr:to>
          <xdr:col>5</xdr:col>
          <xdr:colOff>1924050</xdr:colOff>
          <xdr:row>9</xdr:row>
          <xdr:rowOff>180975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Index EF_Unconstrained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60"/>
  <sheetViews>
    <sheetView zoomScaleNormal="100" zoomScaleSheetLayoutView="130" workbookViewId="0">
      <pane ySplit="6" topLeftCell="A46" activePane="bottomLeft" state="frozen"/>
      <selection pane="bottomLeft" activeCell="E2" sqref="E2"/>
    </sheetView>
  </sheetViews>
  <sheetFormatPr defaultColWidth="11" defaultRowHeight="15.75" x14ac:dyDescent="0.25"/>
  <cols>
    <col min="1" max="1" width="11.125" bestFit="1" customWidth="1"/>
    <col min="3" max="3" width="15.75" bestFit="1" customWidth="1"/>
    <col min="4" max="4" width="1.25" customWidth="1"/>
    <col min="6" max="6" width="15.75" bestFit="1" customWidth="1"/>
    <col min="7" max="7" width="0.875" customWidth="1"/>
    <col min="8" max="8" width="10.875" bestFit="1" customWidth="1"/>
    <col min="9" max="9" width="15.75" bestFit="1" customWidth="1"/>
    <col min="10" max="10" width="0.875" customWidth="1"/>
    <col min="12" max="12" width="15.75" bestFit="1" customWidth="1"/>
    <col min="13" max="13" width="0.75" customWidth="1"/>
    <col min="15" max="15" width="15.75" bestFit="1" customWidth="1"/>
  </cols>
  <sheetData>
    <row r="1" spans="1:16" x14ac:dyDescent="0.25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</row>
    <row r="2" spans="1:16" x14ac:dyDescent="0.25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16" ht="16.5" thickBot="1" x14ac:dyDescent="0.3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16" ht="18.75" x14ac:dyDescent="0.3">
      <c r="A4" s="38"/>
      <c r="B4" s="108" t="s">
        <v>6</v>
      </c>
      <c r="C4" s="109"/>
      <c r="D4" s="109"/>
      <c r="E4" s="109"/>
      <c r="F4" s="110"/>
      <c r="G4" s="38"/>
      <c r="H4" s="108" t="s">
        <v>7</v>
      </c>
      <c r="I4" s="110"/>
      <c r="J4" s="38"/>
      <c r="K4" s="108" t="s">
        <v>8</v>
      </c>
      <c r="L4" s="111"/>
      <c r="M4" s="38"/>
      <c r="N4" s="108" t="s">
        <v>30</v>
      </c>
      <c r="O4" s="110"/>
      <c r="P4" s="38"/>
    </row>
    <row r="5" spans="1:16" ht="16.5" thickBot="1" x14ac:dyDescent="0.3">
      <c r="A5" s="38"/>
      <c r="B5" s="112" t="s">
        <v>2</v>
      </c>
      <c r="C5" s="113"/>
      <c r="D5" s="48"/>
      <c r="E5" s="114" t="s">
        <v>29</v>
      </c>
      <c r="F5" s="115"/>
      <c r="G5" s="38"/>
      <c r="H5" s="116" t="s">
        <v>3</v>
      </c>
      <c r="I5" s="117"/>
      <c r="J5" s="38"/>
      <c r="K5" s="118" t="s">
        <v>4</v>
      </c>
      <c r="L5" s="119"/>
      <c r="M5" s="38"/>
      <c r="N5" s="120" t="s">
        <v>14</v>
      </c>
      <c r="O5" s="121"/>
      <c r="P5" s="38"/>
    </row>
    <row r="6" spans="1:16" s="2" customFormat="1" x14ac:dyDescent="0.25">
      <c r="A6" s="96" t="s">
        <v>0</v>
      </c>
      <c r="B6" s="4" t="s">
        <v>1</v>
      </c>
      <c r="C6" s="5" t="s">
        <v>28</v>
      </c>
      <c r="D6" s="49"/>
      <c r="E6" s="4" t="s">
        <v>1</v>
      </c>
      <c r="F6" s="5" t="s">
        <v>28</v>
      </c>
      <c r="G6" s="47"/>
      <c r="H6" s="4" t="s">
        <v>1</v>
      </c>
      <c r="I6" s="5" t="s">
        <v>28</v>
      </c>
      <c r="J6" s="47"/>
      <c r="K6" s="4" t="s">
        <v>1</v>
      </c>
      <c r="L6" s="5" t="s">
        <v>28</v>
      </c>
      <c r="M6" s="47"/>
      <c r="N6" s="4" t="s">
        <v>1</v>
      </c>
      <c r="O6" s="5" t="s">
        <v>28</v>
      </c>
      <c r="P6" s="47"/>
    </row>
    <row r="7" spans="1:16" x14ac:dyDescent="0.25">
      <c r="A7" s="22">
        <v>42366</v>
      </c>
      <c r="B7" s="8">
        <v>77.397300999999999</v>
      </c>
      <c r="C7" s="6" t="s">
        <v>5</v>
      </c>
      <c r="D7" s="48"/>
      <c r="E7" s="8">
        <v>52.82</v>
      </c>
      <c r="F7" s="6" t="s">
        <v>5</v>
      </c>
      <c r="G7" s="38"/>
      <c r="H7" s="8">
        <v>174.320007</v>
      </c>
      <c r="I7" s="6" t="s">
        <v>5</v>
      </c>
      <c r="J7" s="38"/>
      <c r="K7" s="8">
        <v>113.673416</v>
      </c>
      <c r="L7" s="6" t="s">
        <v>5</v>
      </c>
      <c r="M7" s="38"/>
      <c r="N7" s="8">
        <v>120.35172300000001</v>
      </c>
      <c r="O7" s="6" t="s">
        <v>5</v>
      </c>
      <c r="P7" s="38"/>
    </row>
    <row r="8" spans="1:16" x14ac:dyDescent="0.25">
      <c r="A8" s="22">
        <v>42359</v>
      </c>
      <c r="B8" s="8">
        <v>78.105903999999995</v>
      </c>
      <c r="C8" s="55">
        <f>B7/B8-1</f>
        <v>-9.0723359401869708E-3</v>
      </c>
      <c r="D8" s="48"/>
      <c r="E8" s="8">
        <v>52.849997999999999</v>
      </c>
      <c r="F8" s="55">
        <f>E7/E8-1</f>
        <v>-5.6760645478171057E-4</v>
      </c>
      <c r="G8" s="38"/>
      <c r="H8" s="8">
        <v>178.55999800000001</v>
      </c>
      <c r="I8" s="55">
        <f t="shared" ref="I8:I39" si="0">H7/H8-1</f>
        <v>-2.3745469576002098E-2</v>
      </c>
      <c r="J8" s="38"/>
      <c r="K8" s="8">
        <v>114.211823</v>
      </c>
      <c r="L8" s="55">
        <f>K7/K8-1</f>
        <v>-4.7141091513791533E-3</v>
      </c>
      <c r="M8" s="38"/>
      <c r="N8" s="8">
        <v>121.599358</v>
      </c>
      <c r="O8" s="55">
        <f>N7/N8-1</f>
        <v>-1.0260210419860805E-2</v>
      </c>
      <c r="P8" s="38"/>
    </row>
    <row r="9" spans="1:16" x14ac:dyDescent="0.25">
      <c r="A9" s="22">
        <v>42352</v>
      </c>
      <c r="B9" s="8">
        <v>76.169724000000002</v>
      </c>
      <c r="C9" s="55">
        <f t="shared" ref="C9:C59" si="1">B8/B9-1</f>
        <v>2.5419286014479958E-2</v>
      </c>
      <c r="D9" s="48"/>
      <c r="E9" s="8">
        <v>51.639999000000003</v>
      </c>
      <c r="F9" s="55">
        <f t="shared" ref="F9:F59" si="2">E8/E9-1</f>
        <v>2.3431429578455232E-2</v>
      </c>
      <c r="G9" s="38"/>
      <c r="H9" s="8">
        <v>176.740005</v>
      </c>
      <c r="I9" s="55">
        <f t="shared" si="0"/>
        <v>1.0297572414349698E-2</v>
      </c>
      <c r="J9" s="38"/>
      <c r="K9" s="8">
        <v>113.811089</v>
      </c>
      <c r="L9" s="55">
        <f t="shared" ref="L9:L59" si="3">K8/K9-1</f>
        <v>3.5210452999003827E-3</v>
      </c>
      <c r="M9" s="38"/>
      <c r="N9" s="8">
        <v>122.73934199999999</v>
      </c>
      <c r="O9" s="55">
        <f t="shared" ref="O9:O59" si="4">N8/N9-1</f>
        <v>-9.2878451311886323E-3</v>
      </c>
      <c r="P9" s="38"/>
    </row>
    <row r="10" spans="1:16" x14ac:dyDescent="0.25">
      <c r="A10" s="22">
        <v>42345</v>
      </c>
      <c r="B10" s="8">
        <v>75.960136000000006</v>
      </c>
      <c r="C10" s="55">
        <f t="shared" si="1"/>
        <v>2.7591841067793332E-3</v>
      </c>
      <c r="D10" s="48"/>
      <c r="E10" s="8">
        <v>52.150002000000001</v>
      </c>
      <c r="F10" s="55">
        <f t="shared" si="2"/>
        <v>-9.7795394140156588E-3</v>
      </c>
      <c r="G10" s="38"/>
      <c r="H10" s="8">
        <v>174.240005</v>
      </c>
      <c r="I10" s="55">
        <f t="shared" si="0"/>
        <v>1.43480252999304E-2</v>
      </c>
      <c r="J10" s="38"/>
      <c r="K10" s="8">
        <v>114.53688</v>
      </c>
      <c r="L10" s="55">
        <f t="shared" si="3"/>
        <v>-6.3367449855452618E-3</v>
      </c>
      <c r="M10" s="38"/>
      <c r="N10" s="8">
        <v>123.267235</v>
      </c>
      <c r="O10" s="55">
        <f t="shared" si="4"/>
        <v>-4.2825086487906505E-3</v>
      </c>
      <c r="P10" s="38"/>
    </row>
    <row r="11" spans="1:16" x14ac:dyDescent="0.25">
      <c r="A11" s="22">
        <v>42338</v>
      </c>
      <c r="B11" s="8">
        <v>80.241692</v>
      </c>
      <c r="C11" s="55">
        <f t="shared" si="1"/>
        <v>-5.3358246732882919E-2</v>
      </c>
      <c r="D11" s="48"/>
      <c r="E11" s="8">
        <v>53.180427999999999</v>
      </c>
      <c r="F11" s="55">
        <f t="shared" si="2"/>
        <v>-1.9376038116880157E-2</v>
      </c>
      <c r="G11" s="38"/>
      <c r="H11" s="8">
        <v>179.64999399999999</v>
      </c>
      <c r="I11" s="55">
        <f t="shared" si="0"/>
        <v>-3.0114050546531046E-2</v>
      </c>
      <c r="J11" s="38"/>
      <c r="K11" s="8">
        <v>114.586601</v>
      </c>
      <c r="L11" s="55">
        <f t="shared" si="3"/>
        <v>-4.3391635292511221E-4</v>
      </c>
      <c r="M11" s="38"/>
      <c r="N11" s="8">
        <v>120.099892</v>
      </c>
      <c r="O11" s="55">
        <f t="shared" si="4"/>
        <v>2.637257159232087E-2</v>
      </c>
      <c r="P11" s="38"/>
    </row>
    <row r="12" spans="1:16" x14ac:dyDescent="0.25">
      <c r="A12" s="22">
        <v>42331</v>
      </c>
      <c r="B12" s="8">
        <v>79.682784999999996</v>
      </c>
      <c r="C12" s="55">
        <f t="shared" si="1"/>
        <v>7.0141499195843782E-3</v>
      </c>
      <c r="D12" s="48"/>
      <c r="E12" s="8">
        <v>53.497687999999997</v>
      </c>
      <c r="F12" s="55">
        <f t="shared" si="2"/>
        <v>-5.9303497377306558E-3</v>
      </c>
      <c r="G12" s="38"/>
      <c r="H12" s="8">
        <v>174.91999799999999</v>
      </c>
      <c r="I12" s="55">
        <f t="shared" si="0"/>
        <v>2.7040910439525723E-2</v>
      </c>
      <c r="J12" s="38"/>
      <c r="K12" s="8">
        <v>114.86612700000001</v>
      </c>
      <c r="L12" s="55">
        <f t="shared" si="3"/>
        <v>-2.4334937313591487E-3</v>
      </c>
      <c r="M12" s="38"/>
      <c r="N12" s="8">
        <v>120.23337600000001</v>
      </c>
      <c r="O12" s="55">
        <f t="shared" si="4"/>
        <v>-1.110207535052532E-3</v>
      </c>
      <c r="P12" s="38"/>
    </row>
    <row r="13" spans="1:16" x14ac:dyDescent="0.25">
      <c r="A13" s="22">
        <v>42324</v>
      </c>
      <c r="B13" s="8">
        <v>80.032104000000004</v>
      </c>
      <c r="C13" s="55">
        <f t="shared" si="1"/>
        <v>-4.3647359314707979E-3</v>
      </c>
      <c r="D13" s="48"/>
      <c r="E13" s="8">
        <v>53.636485999999998</v>
      </c>
      <c r="F13" s="55">
        <f t="shared" si="2"/>
        <v>-2.5877534184473028E-3</v>
      </c>
      <c r="G13" s="38"/>
      <c r="H13" s="8">
        <v>174.199997</v>
      </c>
      <c r="I13" s="55">
        <f t="shared" si="0"/>
        <v>4.1331860642912499E-3</v>
      </c>
      <c r="J13" s="38"/>
      <c r="K13" s="8">
        <v>114.638092</v>
      </c>
      <c r="L13" s="55">
        <f t="shared" si="3"/>
        <v>1.9891730228727145E-3</v>
      </c>
      <c r="M13" s="38"/>
      <c r="N13" s="8">
        <v>119.716537</v>
      </c>
      <c r="O13" s="55">
        <f t="shared" si="4"/>
        <v>4.3171896961904377E-3</v>
      </c>
      <c r="P13" s="38"/>
    </row>
    <row r="14" spans="1:16" x14ac:dyDescent="0.25">
      <c r="A14" s="22">
        <v>42317</v>
      </c>
      <c r="B14" s="8">
        <v>77.956199999999995</v>
      </c>
      <c r="C14" s="55">
        <f t="shared" si="1"/>
        <v>2.6629107113994799E-2</v>
      </c>
      <c r="D14" s="48"/>
      <c r="E14" s="8">
        <v>52.575653000000003</v>
      </c>
      <c r="F14" s="55">
        <f t="shared" si="2"/>
        <v>2.0177267222910134E-2</v>
      </c>
      <c r="G14" s="38"/>
      <c r="H14" s="8">
        <v>168.5</v>
      </c>
      <c r="I14" s="55">
        <f t="shared" si="0"/>
        <v>3.3827875370919802E-2</v>
      </c>
      <c r="J14" s="38"/>
      <c r="K14" s="8">
        <v>114.152298</v>
      </c>
      <c r="L14" s="55">
        <f t="shared" si="3"/>
        <v>4.2556655320244996E-3</v>
      </c>
      <c r="M14" s="38"/>
      <c r="N14" s="8">
        <v>118.951233</v>
      </c>
      <c r="O14" s="55">
        <f t="shared" si="4"/>
        <v>6.4337626496062672E-3</v>
      </c>
      <c r="P14" s="38"/>
    </row>
    <row r="15" spans="1:16" x14ac:dyDescent="0.25">
      <c r="A15" s="22">
        <v>42310</v>
      </c>
      <c r="B15" s="8">
        <v>78.453941</v>
      </c>
      <c r="C15" s="55">
        <f t="shared" si="1"/>
        <v>-6.3443721711826662E-3</v>
      </c>
      <c r="D15" s="48"/>
      <c r="E15" s="8">
        <v>54.142119999999998</v>
      </c>
      <c r="F15" s="55">
        <f t="shared" si="2"/>
        <v>-2.8932502088946599E-2</v>
      </c>
      <c r="G15" s="38"/>
      <c r="H15" s="8">
        <v>171.570007</v>
      </c>
      <c r="I15" s="55">
        <f t="shared" si="0"/>
        <v>-1.7893611206765359E-2</v>
      </c>
      <c r="J15" s="38"/>
      <c r="K15" s="8">
        <v>113.765648</v>
      </c>
      <c r="L15" s="55">
        <f t="shared" si="3"/>
        <v>3.3986533439338551E-3</v>
      </c>
      <c r="M15" s="38"/>
      <c r="N15" s="8">
        <v>118.275368</v>
      </c>
      <c r="O15" s="55">
        <f t="shared" si="4"/>
        <v>5.7143343658843104E-3</v>
      </c>
      <c r="P15" s="38"/>
    </row>
    <row r="16" spans="1:16" x14ac:dyDescent="0.25">
      <c r="A16" s="22">
        <v>42303</v>
      </c>
      <c r="B16" s="8">
        <v>77.288337999999996</v>
      </c>
      <c r="C16" s="55">
        <f t="shared" si="1"/>
        <v>1.5081227390347118E-2</v>
      </c>
      <c r="D16" s="48"/>
      <c r="E16" s="8">
        <v>54.191688999999997</v>
      </c>
      <c r="F16" s="55">
        <f t="shared" si="2"/>
        <v>-9.1469745480710074E-4</v>
      </c>
      <c r="G16" s="38"/>
      <c r="H16" s="8">
        <v>170.36000100000001</v>
      </c>
      <c r="I16" s="55">
        <f t="shared" si="0"/>
        <v>7.1026414234407476E-3</v>
      </c>
      <c r="J16" s="38"/>
      <c r="K16" s="8">
        <v>115.093163</v>
      </c>
      <c r="L16" s="55">
        <f t="shared" si="3"/>
        <v>-1.1534264637422464E-2</v>
      </c>
      <c r="M16" s="38"/>
      <c r="N16" s="8">
        <v>121.766975</v>
      </c>
      <c r="O16" s="55">
        <f t="shared" si="4"/>
        <v>-2.8674498976426044E-2</v>
      </c>
      <c r="P16" s="38"/>
    </row>
    <row r="17" spans="1:16" x14ac:dyDescent="0.25">
      <c r="A17" s="22">
        <v>42296</v>
      </c>
      <c r="B17" s="8">
        <v>76.780258000000003</v>
      </c>
      <c r="C17" s="55">
        <f t="shared" si="1"/>
        <v>6.6173260319077887E-3</v>
      </c>
      <c r="D17" s="48"/>
      <c r="E17" s="8">
        <v>52.426940999999999</v>
      </c>
      <c r="F17" s="55">
        <f t="shared" si="2"/>
        <v>3.3661090392437698E-2</v>
      </c>
      <c r="G17" s="38"/>
      <c r="H17" s="8">
        <v>173.19000199999999</v>
      </c>
      <c r="I17" s="55">
        <f t="shared" si="0"/>
        <v>-1.6340440945314949E-2</v>
      </c>
      <c r="J17" s="38"/>
      <c r="K17" s="8">
        <v>115.82473</v>
      </c>
      <c r="L17" s="55">
        <f t="shared" si="3"/>
        <v>-6.316155453157557E-3</v>
      </c>
      <c r="M17" s="38"/>
      <c r="N17" s="8">
        <v>122.18351</v>
      </c>
      <c r="O17" s="55">
        <f t="shared" si="4"/>
        <v>-3.40909342021678E-3</v>
      </c>
      <c r="P17" s="38"/>
    </row>
    <row r="18" spans="1:16" x14ac:dyDescent="0.25">
      <c r="A18" s="22">
        <v>42289</v>
      </c>
      <c r="B18" s="8">
        <v>75.714279000000005</v>
      </c>
      <c r="C18" s="55">
        <f t="shared" si="1"/>
        <v>1.4078969173040745E-2</v>
      </c>
      <c r="D18" s="48"/>
      <c r="E18" s="8">
        <v>51.038936999999997</v>
      </c>
      <c r="F18" s="55">
        <f t="shared" si="2"/>
        <v>2.719500212161563E-2</v>
      </c>
      <c r="G18" s="38"/>
      <c r="H18" s="8">
        <v>171.16000399999999</v>
      </c>
      <c r="I18" s="55">
        <f t="shared" si="0"/>
        <v>1.1860235759284077E-2</v>
      </c>
      <c r="J18" s="38"/>
      <c r="K18" s="8">
        <v>115.656662</v>
      </c>
      <c r="L18" s="55">
        <f t="shared" si="3"/>
        <v>1.4531631563083902E-3</v>
      </c>
      <c r="M18" s="38"/>
      <c r="N18" s="8">
        <v>122.90748600000001</v>
      </c>
      <c r="O18" s="55">
        <f t="shared" si="4"/>
        <v>-5.8904141933227017E-3</v>
      </c>
      <c r="P18" s="38"/>
    </row>
    <row r="19" spans="1:16" x14ac:dyDescent="0.25">
      <c r="A19" s="22">
        <v>42282</v>
      </c>
      <c r="B19" s="8">
        <v>73.701874000000004</v>
      </c>
      <c r="C19" s="55">
        <f t="shared" si="1"/>
        <v>2.7304665278931717E-2</v>
      </c>
      <c r="D19" s="48"/>
      <c r="E19" s="8">
        <v>50.513477000000002</v>
      </c>
      <c r="F19" s="55">
        <f t="shared" si="2"/>
        <v>1.0402372420334371E-2</v>
      </c>
      <c r="G19" s="38"/>
      <c r="H19" s="8">
        <v>166.58000200000001</v>
      </c>
      <c r="I19" s="55">
        <f t="shared" si="0"/>
        <v>2.7494308710597659E-2</v>
      </c>
      <c r="J19" s="38"/>
      <c r="K19" s="8">
        <v>114.836128</v>
      </c>
      <c r="L19" s="55">
        <f t="shared" si="3"/>
        <v>7.1452600700712132E-3</v>
      </c>
      <c r="M19" s="38"/>
      <c r="N19" s="8">
        <v>121.271103</v>
      </c>
      <c r="O19" s="55">
        <f t="shared" si="4"/>
        <v>1.349359377064463E-2</v>
      </c>
      <c r="P19" s="38"/>
    </row>
    <row r="20" spans="1:16" x14ac:dyDescent="0.25">
      <c r="A20" s="22">
        <v>42275</v>
      </c>
      <c r="B20" s="8">
        <v>70.404312000000004</v>
      </c>
      <c r="C20" s="55">
        <f t="shared" si="1"/>
        <v>4.6837500521274888E-2</v>
      </c>
      <c r="D20" s="48"/>
      <c r="E20" s="8">
        <v>49.710414999999998</v>
      </c>
      <c r="F20" s="55">
        <f t="shared" si="2"/>
        <v>1.6154803777035598E-2</v>
      </c>
      <c r="G20" s="38"/>
      <c r="H20" s="8">
        <v>168.009995</v>
      </c>
      <c r="I20" s="55">
        <f t="shared" si="0"/>
        <v>-8.5113567201761109E-3</v>
      </c>
      <c r="J20" s="38"/>
      <c r="K20" s="8">
        <v>114.915207</v>
      </c>
      <c r="L20" s="55">
        <f t="shared" si="3"/>
        <v>-6.8815087284312959E-4</v>
      </c>
      <c r="M20" s="38"/>
      <c r="N20" s="8">
        <v>123.53228799999999</v>
      </c>
      <c r="O20" s="55">
        <f t="shared" si="4"/>
        <v>-1.8304404756107173E-2</v>
      </c>
      <c r="P20" s="38"/>
    </row>
    <row r="21" spans="1:16" x14ac:dyDescent="0.25">
      <c r="A21" s="22">
        <v>42268</v>
      </c>
      <c r="B21" s="8">
        <v>70.424239999999998</v>
      </c>
      <c r="C21" s="55">
        <f t="shared" si="1"/>
        <v>-2.829707498439582E-4</v>
      </c>
      <c r="D21" s="48"/>
      <c r="E21" s="8">
        <v>49.175041</v>
      </c>
      <c r="F21" s="55">
        <f t="shared" si="2"/>
        <v>1.0887108360519759E-2</v>
      </c>
      <c r="G21" s="38"/>
      <c r="H21" s="8">
        <v>150.970001</v>
      </c>
      <c r="I21" s="55">
        <f t="shared" si="0"/>
        <v>0.11287006615307638</v>
      </c>
      <c r="J21" s="38"/>
      <c r="K21" s="8">
        <v>114.111435</v>
      </c>
      <c r="L21" s="55">
        <f t="shared" si="3"/>
        <v>7.0437463169226167E-3</v>
      </c>
      <c r="M21" s="38"/>
      <c r="N21" s="8">
        <v>120.287437</v>
      </c>
      <c r="O21" s="55">
        <f t="shared" si="4"/>
        <v>2.6975809618422497E-2</v>
      </c>
      <c r="P21" s="38"/>
    </row>
    <row r="22" spans="1:16" x14ac:dyDescent="0.25">
      <c r="A22" s="22">
        <v>42261</v>
      </c>
      <c r="B22" s="8">
        <v>69.527625999999998</v>
      </c>
      <c r="C22" s="55">
        <f t="shared" si="1"/>
        <v>1.2895794831251584E-2</v>
      </c>
      <c r="D22" s="48"/>
      <c r="E22" s="8">
        <v>51.683368999999999</v>
      </c>
      <c r="F22" s="55">
        <f t="shared" si="2"/>
        <v>-4.8532594692114572E-2</v>
      </c>
      <c r="G22" s="38"/>
      <c r="H22" s="8">
        <v>148.820007</v>
      </c>
      <c r="I22" s="55">
        <f t="shared" si="0"/>
        <v>1.4446941935703617E-2</v>
      </c>
      <c r="J22" s="38"/>
      <c r="K22" s="8">
        <v>114.594452</v>
      </c>
      <c r="L22" s="55">
        <f t="shared" si="3"/>
        <v>-4.2150120845292349E-3</v>
      </c>
      <c r="M22" s="38"/>
      <c r="N22" s="8">
        <v>120.841667</v>
      </c>
      <c r="O22" s="55">
        <f t="shared" si="4"/>
        <v>-4.5864147173673153E-3</v>
      </c>
      <c r="P22" s="38"/>
    </row>
    <row r="23" spans="1:16" x14ac:dyDescent="0.25">
      <c r="A23" s="22">
        <v>42255</v>
      </c>
      <c r="B23" s="8">
        <v>70.493979999999993</v>
      </c>
      <c r="C23" s="55">
        <f t="shared" si="1"/>
        <v>-1.370831949054363E-2</v>
      </c>
      <c r="D23" s="48"/>
      <c r="E23" s="8">
        <v>51.643706999999999</v>
      </c>
      <c r="F23" s="55">
        <f t="shared" si="2"/>
        <v>7.6799289408091553E-4</v>
      </c>
      <c r="G23" s="38"/>
      <c r="H23" s="8">
        <v>145.529999</v>
      </c>
      <c r="I23" s="55">
        <f t="shared" si="0"/>
        <v>2.2607077733849179E-2</v>
      </c>
      <c r="J23" s="38"/>
      <c r="K23" s="8">
        <v>113.973427</v>
      </c>
      <c r="L23" s="55">
        <f t="shared" si="3"/>
        <v>5.4488578289393352E-3</v>
      </c>
      <c r="M23" s="38"/>
      <c r="N23" s="8">
        <v>120.13898500000001</v>
      </c>
      <c r="O23" s="55">
        <f t="shared" si="4"/>
        <v>5.8489090780982078E-3</v>
      </c>
      <c r="P23" s="38"/>
    </row>
    <row r="24" spans="1:16" x14ac:dyDescent="0.25">
      <c r="A24" s="22">
        <v>42247</v>
      </c>
      <c r="B24" s="8">
        <v>68.899994000000007</v>
      </c>
      <c r="C24" s="55">
        <f t="shared" si="1"/>
        <v>2.3134777050923816E-2</v>
      </c>
      <c r="D24" s="48"/>
      <c r="E24" s="8">
        <v>50.711410999999998</v>
      </c>
      <c r="F24" s="55">
        <f t="shared" si="2"/>
        <v>1.8384343515900126E-2</v>
      </c>
      <c r="G24" s="38"/>
      <c r="H24" s="8">
        <v>136.529999</v>
      </c>
      <c r="I24" s="55">
        <f t="shared" si="0"/>
        <v>6.5919578597521289E-2</v>
      </c>
      <c r="J24" s="38"/>
      <c r="K24" s="8">
        <v>114.407158</v>
      </c>
      <c r="L24" s="55">
        <f t="shared" si="3"/>
        <v>-3.7911176851364026E-3</v>
      </c>
      <c r="M24" s="38"/>
      <c r="N24" s="8">
        <v>121.415688</v>
      </c>
      <c r="O24" s="55">
        <f t="shared" si="4"/>
        <v>-1.0515140349902752E-2</v>
      </c>
      <c r="P24" s="38"/>
    </row>
    <row r="25" spans="1:16" x14ac:dyDescent="0.25">
      <c r="A25" s="22">
        <v>42240</v>
      </c>
      <c r="B25" s="8">
        <v>72.187584000000001</v>
      </c>
      <c r="C25" s="55">
        <f t="shared" si="1"/>
        <v>-4.554231929967345E-2</v>
      </c>
      <c r="D25" s="48"/>
      <c r="E25" s="8">
        <v>54.427036000000001</v>
      </c>
      <c r="F25" s="55">
        <f t="shared" si="2"/>
        <v>-6.8268001954028934E-2</v>
      </c>
      <c r="G25" s="38"/>
      <c r="H25" s="8">
        <v>138.88000500000001</v>
      </c>
      <c r="I25" s="55">
        <f t="shared" si="0"/>
        <v>-1.6921125542874282E-2</v>
      </c>
      <c r="J25" s="38"/>
      <c r="K25" s="8">
        <v>113.376205</v>
      </c>
      <c r="L25" s="55">
        <f t="shared" si="3"/>
        <v>9.0932043456561917E-3</v>
      </c>
      <c r="M25" s="38"/>
      <c r="N25" s="8">
        <v>120.83667800000001</v>
      </c>
      <c r="O25" s="55">
        <f t="shared" si="4"/>
        <v>4.7916742630080833E-3</v>
      </c>
      <c r="P25" s="38"/>
    </row>
    <row r="26" spans="1:16" x14ac:dyDescent="0.25">
      <c r="A26" s="22">
        <v>42233</v>
      </c>
      <c r="B26" s="8">
        <v>70.922363000000004</v>
      </c>
      <c r="C26" s="55">
        <f t="shared" si="1"/>
        <v>1.7839521224074284E-2</v>
      </c>
      <c r="D26" s="48"/>
      <c r="E26" s="8">
        <v>54.820225000000001</v>
      </c>
      <c r="F26" s="55">
        <f t="shared" si="2"/>
        <v>-7.1723346629825047E-3</v>
      </c>
      <c r="G26" s="38"/>
      <c r="H26" s="8">
        <v>136.509995</v>
      </c>
      <c r="I26" s="55">
        <f t="shared" si="0"/>
        <v>1.7361439358341446E-2</v>
      </c>
      <c r="J26" s="38"/>
      <c r="K26" s="8">
        <v>114.02491000000001</v>
      </c>
      <c r="L26" s="55">
        <f t="shared" si="3"/>
        <v>-5.6891516073110937E-3</v>
      </c>
      <c r="M26" s="38"/>
      <c r="N26" s="8">
        <v>124.81650500000001</v>
      </c>
      <c r="O26" s="55">
        <f t="shared" si="4"/>
        <v>-3.1885422524849605E-2</v>
      </c>
      <c r="P26" s="38"/>
    </row>
    <row r="27" spans="1:16" x14ac:dyDescent="0.25">
      <c r="A27" s="22">
        <v>42226</v>
      </c>
      <c r="B27" s="8">
        <v>73.940971000000005</v>
      </c>
      <c r="C27" s="55">
        <f t="shared" si="1"/>
        <v>-4.0824565314404704E-2</v>
      </c>
      <c r="D27" s="48"/>
      <c r="E27" s="8">
        <v>58.172150000000002</v>
      </c>
      <c r="F27" s="55">
        <f t="shared" si="2"/>
        <v>-5.7620785891530635E-2</v>
      </c>
      <c r="G27" s="38"/>
      <c r="H27" s="8">
        <v>141.96000699999999</v>
      </c>
      <c r="I27" s="55">
        <f t="shared" si="0"/>
        <v>-3.8391178721201347E-2</v>
      </c>
      <c r="J27" s="38"/>
      <c r="K27" s="8">
        <v>113.445007</v>
      </c>
      <c r="L27" s="55">
        <f t="shared" si="3"/>
        <v>5.1117542793224224E-3</v>
      </c>
      <c r="M27" s="38"/>
      <c r="N27" s="8">
        <v>122.41675600000001</v>
      </c>
      <c r="O27" s="55">
        <f t="shared" si="4"/>
        <v>1.9603108907737976E-2</v>
      </c>
      <c r="P27" s="38"/>
    </row>
    <row r="28" spans="1:16" x14ac:dyDescent="0.25">
      <c r="A28" s="22">
        <v>42219</v>
      </c>
      <c r="B28" s="8">
        <v>73.810074</v>
      </c>
      <c r="C28" s="55">
        <f t="shared" si="1"/>
        <v>1.7734300063159125E-3</v>
      </c>
      <c r="D28" s="48"/>
      <c r="E28" s="8">
        <v>56.982757999999997</v>
      </c>
      <c r="F28" s="55">
        <f t="shared" si="2"/>
        <v>2.0872840166844986E-2</v>
      </c>
      <c r="G28" s="38"/>
      <c r="H28" s="8">
        <v>139.050003</v>
      </c>
      <c r="I28" s="55">
        <f t="shared" si="0"/>
        <v>2.0927752155460055E-2</v>
      </c>
      <c r="J28" s="38"/>
      <c r="K28" s="8">
        <v>113.887306</v>
      </c>
      <c r="L28" s="55">
        <f t="shared" si="3"/>
        <v>-3.8836549527301312E-3</v>
      </c>
      <c r="M28" s="38"/>
      <c r="N28" s="8">
        <v>122.792023</v>
      </c>
      <c r="O28" s="55">
        <f t="shared" si="4"/>
        <v>-3.0561187187215788E-3</v>
      </c>
      <c r="P28" s="38"/>
    </row>
    <row r="29" spans="1:16" x14ac:dyDescent="0.25">
      <c r="A29" s="22">
        <v>42212</v>
      </c>
      <c r="B29" s="8">
        <v>74.933982999999998</v>
      </c>
      <c r="C29" s="55">
        <f t="shared" si="1"/>
        <v>-1.4998655549912532E-2</v>
      </c>
      <c r="D29" s="48"/>
      <c r="E29" s="8">
        <v>57.955894000000001</v>
      </c>
      <c r="F29" s="55">
        <f t="shared" si="2"/>
        <v>-1.6790975564970223E-2</v>
      </c>
      <c r="G29" s="38"/>
      <c r="H29" s="8">
        <v>139.53999300000001</v>
      </c>
      <c r="I29" s="55">
        <f t="shared" si="0"/>
        <v>-3.5114664223897529E-3</v>
      </c>
      <c r="J29" s="38"/>
      <c r="K29" s="8">
        <v>114.03473700000001</v>
      </c>
      <c r="L29" s="55">
        <f t="shared" si="3"/>
        <v>-1.2928604377805408E-3</v>
      </c>
      <c r="M29" s="38"/>
      <c r="N29" s="8">
        <v>120.740891</v>
      </c>
      <c r="O29" s="55">
        <f t="shared" si="4"/>
        <v>1.6987881926430415E-2</v>
      </c>
      <c r="P29" s="38"/>
    </row>
    <row r="30" spans="1:16" x14ac:dyDescent="0.25">
      <c r="A30" s="22">
        <v>42205</v>
      </c>
      <c r="B30" s="8">
        <v>74.396895999999998</v>
      </c>
      <c r="C30" s="55">
        <f t="shared" si="1"/>
        <v>7.2192124789722811E-3</v>
      </c>
      <c r="D30" s="48"/>
      <c r="E30" s="8">
        <v>56.432293000000001</v>
      </c>
      <c r="F30" s="55">
        <f t="shared" si="2"/>
        <v>2.6998743432240069E-2</v>
      </c>
      <c r="G30" s="38"/>
      <c r="H30" s="8">
        <v>136.21000699999999</v>
      </c>
      <c r="I30" s="55">
        <f t="shared" si="0"/>
        <v>2.4447440194317105E-2</v>
      </c>
      <c r="J30" s="38"/>
      <c r="K30" s="8">
        <v>113.56429300000001</v>
      </c>
      <c r="L30" s="55">
        <f t="shared" si="3"/>
        <v>4.1425344848491363E-3</v>
      </c>
      <c r="M30" s="38"/>
      <c r="N30" s="8">
        <v>119.617531</v>
      </c>
      <c r="O30" s="55">
        <f t="shared" si="4"/>
        <v>9.3912655662489186E-3</v>
      </c>
      <c r="P30" s="38"/>
    </row>
    <row r="31" spans="1:16" x14ac:dyDescent="0.25">
      <c r="A31" s="22">
        <v>42198</v>
      </c>
      <c r="B31" s="8">
        <v>70.498016000000007</v>
      </c>
      <c r="C31" s="55">
        <f t="shared" si="1"/>
        <v>5.5304818790928634E-2</v>
      </c>
      <c r="D31" s="48"/>
      <c r="E31" s="8">
        <v>57.818278999999997</v>
      </c>
      <c r="F31" s="55">
        <f t="shared" si="2"/>
        <v>-2.3971415683265107E-2</v>
      </c>
      <c r="G31" s="38"/>
      <c r="H31" s="8">
        <v>142.86000100000001</v>
      </c>
      <c r="I31" s="55">
        <f t="shared" si="0"/>
        <v>-4.6549026693623041E-2</v>
      </c>
      <c r="J31" s="38"/>
      <c r="K31" s="8">
        <v>113.16244500000001</v>
      </c>
      <c r="L31" s="55">
        <f t="shared" si="3"/>
        <v>3.5510720893314751E-3</v>
      </c>
      <c r="M31" s="38"/>
      <c r="N31" s="8">
        <v>116.986519</v>
      </c>
      <c r="O31" s="55">
        <f t="shared" si="4"/>
        <v>2.2489873384470949E-2</v>
      </c>
      <c r="P31" s="38"/>
    </row>
    <row r="32" spans="1:16" x14ac:dyDescent="0.25">
      <c r="A32" s="22">
        <v>42191</v>
      </c>
      <c r="B32" s="8">
        <v>68.051276999999999</v>
      </c>
      <c r="C32" s="55">
        <f t="shared" si="1"/>
        <v>3.5954343663529009E-2</v>
      </c>
      <c r="D32" s="48"/>
      <c r="E32" s="8">
        <v>56.963096999999998</v>
      </c>
      <c r="F32" s="55">
        <f t="shared" si="2"/>
        <v>1.5012912658172395E-2</v>
      </c>
      <c r="G32" s="38"/>
      <c r="H32" s="8">
        <v>138.41999799999999</v>
      </c>
      <c r="I32" s="55">
        <f t="shared" si="0"/>
        <v>3.2076311690165005E-2</v>
      </c>
      <c r="J32" s="38"/>
      <c r="K32" s="8">
        <v>112.760605</v>
      </c>
      <c r="L32" s="55">
        <f t="shared" si="3"/>
        <v>3.5636559417182578E-3</v>
      </c>
      <c r="M32" s="38"/>
      <c r="N32" s="8">
        <v>114.355507</v>
      </c>
      <c r="O32" s="55">
        <f t="shared" si="4"/>
        <v>2.30073047553363E-2</v>
      </c>
      <c r="P32" s="38"/>
    </row>
    <row r="33" spans="1:16" x14ac:dyDescent="0.25">
      <c r="A33" s="22">
        <v>42184</v>
      </c>
      <c r="B33" s="8">
        <v>67.872246000000004</v>
      </c>
      <c r="C33" s="55">
        <f t="shared" si="1"/>
        <v>2.6377644847643822E-3</v>
      </c>
      <c r="D33" s="48"/>
      <c r="E33" s="8">
        <v>56.687866</v>
      </c>
      <c r="F33" s="55">
        <f t="shared" si="2"/>
        <v>4.8552012876970085E-3</v>
      </c>
      <c r="G33" s="38"/>
      <c r="H33" s="8">
        <v>130.35000600000001</v>
      </c>
      <c r="I33" s="55">
        <f t="shared" si="0"/>
        <v>6.1910177434130631E-2</v>
      </c>
      <c r="J33" s="38"/>
      <c r="K33" s="8">
        <v>113.16244500000001</v>
      </c>
      <c r="L33" s="55">
        <f t="shared" si="3"/>
        <v>-3.5510013944998198E-3</v>
      </c>
      <c r="M33" s="38"/>
      <c r="N33" s="8">
        <v>114.306236</v>
      </c>
      <c r="O33" s="55">
        <f t="shared" si="4"/>
        <v>4.3104384961112352E-4</v>
      </c>
      <c r="P33" s="38"/>
    </row>
    <row r="34" spans="1:16" x14ac:dyDescent="0.25">
      <c r="A34" s="22">
        <v>42177</v>
      </c>
      <c r="B34" s="8">
        <v>68.379501000000005</v>
      </c>
      <c r="C34" s="55">
        <f t="shared" si="1"/>
        <v>-7.4182319639917171E-3</v>
      </c>
      <c r="D34" s="48"/>
      <c r="E34" s="8">
        <v>57.493904000000001</v>
      </c>
      <c r="F34" s="55">
        <f t="shared" si="2"/>
        <v>-1.4019538488810879E-2</v>
      </c>
      <c r="G34" s="38"/>
      <c r="H34" s="8">
        <v>129.33999600000001</v>
      </c>
      <c r="I34" s="55">
        <f t="shared" si="0"/>
        <v>7.8089533882466089E-3</v>
      </c>
      <c r="J34" s="38"/>
      <c r="K34" s="8">
        <v>112.331551</v>
      </c>
      <c r="L34" s="55">
        <f t="shared" si="3"/>
        <v>7.3967998536759172E-3</v>
      </c>
      <c r="M34" s="38"/>
      <c r="N34" s="8">
        <v>113.298073</v>
      </c>
      <c r="O34" s="55">
        <f t="shared" si="4"/>
        <v>8.8983243342541929E-3</v>
      </c>
      <c r="P34" s="38"/>
    </row>
    <row r="35" spans="1:16" x14ac:dyDescent="0.25">
      <c r="A35" s="22">
        <v>42170</v>
      </c>
      <c r="B35" s="8">
        <v>68.319823999999997</v>
      </c>
      <c r="C35" s="55">
        <f t="shared" si="1"/>
        <v>8.7349463897923307E-4</v>
      </c>
      <c r="D35" s="48"/>
      <c r="E35" s="8">
        <v>57.051566999999999</v>
      </c>
      <c r="F35" s="55">
        <f t="shared" si="2"/>
        <v>7.7532839720249047E-3</v>
      </c>
      <c r="G35" s="38"/>
      <c r="H35" s="8">
        <v>128.5</v>
      </c>
      <c r="I35" s="55">
        <f t="shared" si="0"/>
        <v>6.5369338521401588E-3</v>
      </c>
      <c r="J35" s="38"/>
      <c r="K35" s="8">
        <v>113.875687</v>
      </c>
      <c r="L35" s="55">
        <f t="shared" si="3"/>
        <v>-1.3559839160399489E-2</v>
      </c>
      <c r="M35" s="38"/>
      <c r="N35" s="8">
        <v>117.083527</v>
      </c>
      <c r="O35" s="55">
        <f t="shared" si="4"/>
        <v>-3.2331226236462784E-2</v>
      </c>
      <c r="P35" s="38"/>
    </row>
    <row r="36" spans="1:16" x14ac:dyDescent="0.25">
      <c r="A36" s="22">
        <v>42163</v>
      </c>
      <c r="B36" s="8">
        <v>68.956374999999994</v>
      </c>
      <c r="C36" s="55">
        <f t="shared" si="1"/>
        <v>-9.2312132127014834E-3</v>
      </c>
      <c r="D36" s="48"/>
      <c r="E36" s="8">
        <v>56.884459999999997</v>
      </c>
      <c r="F36" s="55">
        <f t="shared" si="2"/>
        <v>2.9376564355185764E-3</v>
      </c>
      <c r="G36" s="38"/>
      <c r="H36" s="8">
        <v>120.760002</v>
      </c>
      <c r="I36" s="55">
        <f t="shared" si="0"/>
        <v>6.4094053261112061E-2</v>
      </c>
      <c r="J36" s="38"/>
      <c r="K36" s="8">
        <v>113.220894</v>
      </c>
      <c r="L36" s="55">
        <f t="shared" si="3"/>
        <v>5.783322996901985E-3</v>
      </c>
      <c r="M36" s="38"/>
      <c r="N36" s="8">
        <v>115.972466</v>
      </c>
      <c r="O36" s="55">
        <f t="shared" si="4"/>
        <v>9.5803860892291759E-3</v>
      </c>
      <c r="P36" s="38"/>
    </row>
    <row r="37" spans="1:16" x14ac:dyDescent="0.25">
      <c r="A37" s="22">
        <v>42156</v>
      </c>
      <c r="B37" s="8">
        <v>68.001548999999997</v>
      </c>
      <c r="C37" s="55">
        <f t="shared" si="1"/>
        <v>1.40412389723652E-2</v>
      </c>
      <c r="D37" s="48"/>
      <c r="E37" s="8">
        <v>57.547652999999997</v>
      </c>
      <c r="F37" s="55">
        <f t="shared" si="2"/>
        <v>-1.1524240614990799E-2</v>
      </c>
      <c r="G37" s="38"/>
      <c r="H37" s="8">
        <v>121.300003</v>
      </c>
      <c r="I37" s="55">
        <f t="shared" si="0"/>
        <v>-4.4517805988842918E-3</v>
      </c>
      <c r="J37" s="38"/>
      <c r="K37" s="8">
        <v>113.308853</v>
      </c>
      <c r="L37" s="55">
        <f t="shared" si="3"/>
        <v>-7.7627650153688776E-4</v>
      </c>
      <c r="M37" s="38"/>
      <c r="N37" s="8">
        <v>115.628334</v>
      </c>
      <c r="O37" s="55">
        <f t="shared" si="4"/>
        <v>2.976190939497636E-3</v>
      </c>
      <c r="P37" s="38"/>
    </row>
    <row r="38" spans="1:16" x14ac:dyDescent="0.25">
      <c r="A38" s="22">
        <v>42150</v>
      </c>
      <c r="B38" s="8">
        <v>68.309875000000005</v>
      </c>
      <c r="C38" s="55">
        <f t="shared" si="1"/>
        <v>-4.5136373035378208E-3</v>
      </c>
      <c r="D38" s="48"/>
      <c r="E38" s="8">
        <v>59.401195999999999</v>
      </c>
      <c r="F38" s="55">
        <f t="shared" si="2"/>
        <v>-3.120379933090911E-2</v>
      </c>
      <c r="G38" s="38"/>
      <c r="H38" s="8">
        <v>121.480003</v>
      </c>
      <c r="I38" s="55">
        <f t="shared" si="0"/>
        <v>-1.4817253503031091E-3</v>
      </c>
      <c r="J38" s="38"/>
      <c r="K38" s="8">
        <v>115.264442</v>
      </c>
      <c r="L38" s="55">
        <f t="shared" si="3"/>
        <v>-1.6966108246982192E-2</v>
      </c>
      <c r="M38" s="38"/>
      <c r="N38" s="8">
        <v>120.393089</v>
      </c>
      <c r="O38" s="55">
        <f t="shared" si="4"/>
        <v>-3.9576648789200863E-2</v>
      </c>
      <c r="P38" s="38"/>
    </row>
    <row r="39" spans="1:16" x14ac:dyDescent="0.25">
      <c r="A39" s="22">
        <v>42142</v>
      </c>
      <c r="B39" s="8">
        <v>69.244811999999996</v>
      </c>
      <c r="C39" s="55">
        <f t="shared" si="1"/>
        <v>-1.3501906828774279E-2</v>
      </c>
      <c r="D39" s="48"/>
      <c r="E39" s="8">
        <v>57.928116000000003</v>
      </c>
      <c r="F39" s="55">
        <f t="shared" si="2"/>
        <v>2.5429447765917157E-2</v>
      </c>
      <c r="G39" s="38"/>
      <c r="H39" s="8">
        <v>124.480003</v>
      </c>
      <c r="I39" s="55">
        <f t="shared" si="0"/>
        <v>-2.410025648858638E-2</v>
      </c>
      <c r="J39" s="38"/>
      <c r="K39" s="8">
        <v>114.83562499999999</v>
      </c>
      <c r="L39" s="55">
        <f t="shared" si="3"/>
        <v>3.7341809216435706E-3</v>
      </c>
      <c r="M39" s="38"/>
      <c r="N39" s="8">
        <v>118.126701</v>
      </c>
      <c r="O39" s="55">
        <f t="shared" si="4"/>
        <v>1.9186077159642378E-2</v>
      </c>
      <c r="P39" s="38"/>
    </row>
    <row r="40" spans="1:16" x14ac:dyDescent="0.25">
      <c r="A40" s="22">
        <v>42135</v>
      </c>
      <c r="B40" s="8">
        <v>69.195083999999994</v>
      </c>
      <c r="C40" s="55">
        <f t="shared" si="1"/>
        <v>7.1866377096974077E-4</v>
      </c>
      <c r="D40" s="48"/>
      <c r="E40" s="8">
        <v>58.757331999999998</v>
      </c>
      <c r="F40" s="55">
        <f t="shared" si="2"/>
        <v>-1.4112553646921766E-2</v>
      </c>
      <c r="G40" s="38"/>
      <c r="H40" s="8">
        <v>123.139999</v>
      </c>
      <c r="I40" s="55">
        <f t="shared" ref="I40:I59" si="5">H39/H40-1</f>
        <v>1.0881955586177883E-2</v>
      </c>
      <c r="J40" s="38"/>
      <c r="K40" s="8">
        <v>115.732246</v>
      </c>
      <c r="L40" s="55">
        <f t="shared" si="3"/>
        <v>-7.7473740551100567E-3</v>
      </c>
      <c r="M40" s="38"/>
      <c r="N40" s="8">
        <v>119.294228</v>
      </c>
      <c r="O40" s="55">
        <f t="shared" si="4"/>
        <v>-9.7869529781441367E-3</v>
      </c>
      <c r="P40" s="38"/>
    </row>
    <row r="41" spans="1:16" x14ac:dyDescent="0.25">
      <c r="A41" s="22">
        <v>42128</v>
      </c>
      <c r="B41" s="8">
        <v>68.974907000000002</v>
      </c>
      <c r="C41" s="55">
        <f t="shared" si="1"/>
        <v>3.192131886455396E-3</v>
      </c>
      <c r="D41" s="48"/>
      <c r="E41" s="8">
        <v>59.254863999999998</v>
      </c>
      <c r="F41" s="55">
        <f t="shared" si="2"/>
        <v>-8.3964752665705022E-3</v>
      </c>
      <c r="G41" s="38"/>
      <c r="H41" s="8">
        <v>120.93</v>
      </c>
      <c r="I41" s="55">
        <f t="shared" si="5"/>
        <v>1.8275026875051559E-2</v>
      </c>
      <c r="J41" s="38"/>
      <c r="K41" s="8">
        <v>115.985641</v>
      </c>
      <c r="L41" s="55">
        <f t="shared" si="3"/>
        <v>-2.1847100883806148E-3</v>
      </c>
      <c r="M41" s="38"/>
      <c r="N41" s="8">
        <v>120.19686900000001</v>
      </c>
      <c r="O41" s="55">
        <f t="shared" si="4"/>
        <v>-7.5096881267348037E-3</v>
      </c>
      <c r="P41" s="38"/>
    </row>
    <row r="42" spans="1:16" x14ac:dyDescent="0.25">
      <c r="A42" s="22">
        <v>42121</v>
      </c>
      <c r="B42" s="8">
        <v>65.301276999999999</v>
      </c>
      <c r="C42" s="55">
        <f t="shared" si="1"/>
        <v>5.6256633388654942E-2</v>
      </c>
      <c r="D42" s="48"/>
      <c r="E42" s="8">
        <v>58.396380999999998</v>
      </c>
      <c r="F42" s="55">
        <f t="shared" si="2"/>
        <v>1.4700962376418492E-2</v>
      </c>
      <c r="G42" s="38"/>
      <c r="H42" s="8">
        <v>122.790001</v>
      </c>
      <c r="I42" s="55">
        <f t="shared" si="5"/>
        <v>-1.5147821360470548E-2</v>
      </c>
      <c r="J42" s="38"/>
      <c r="K42" s="8">
        <v>115.927162</v>
      </c>
      <c r="L42" s="55">
        <f t="shared" si="3"/>
        <v>5.0444605898314343E-4</v>
      </c>
      <c r="M42" s="38"/>
      <c r="N42" s="8">
        <v>121.65873000000001</v>
      </c>
      <c r="O42" s="55">
        <f t="shared" si="4"/>
        <v>-1.2016079733858764E-2</v>
      </c>
      <c r="P42" s="38"/>
    </row>
    <row r="43" spans="1:16" x14ac:dyDescent="0.25">
      <c r="A43" s="22">
        <v>42114</v>
      </c>
      <c r="B43" s="8">
        <v>66.999092000000005</v>
      </c>
      <c r="C43" s="55">
        <f t="shared" si="1"/>
        <v>-2.5340865813524793E-2</v>
      </c>
      <c r="D43" s="48"/>
      <c r="E43" s="8">
        <v>56.191639000000002</v>
      </c>
      <c r="F43" s="55">
        <f t="shared" si="2"/>
        <v>3.9236121943337476E-2</v>
      </c>
      <c r="G43" s="38"/>
      <c r="H43" s="8">
        <v>132.11999499999999</v>
      </c>
      <c r="I43" s="55">
        <f t="shared" si="5"/>
        <v>-7.0617577604358717E-2</v>
      </c>
      <c r="J43" s="38"/>
      <c r="K43" s="8">
        <v>118.23234600000001</v>
      </c>
      <c r="L43" s="55">
        <f t="shared" si="3"/>
        <v>-1.9497067240804022E-2</v>
      </c>
      <c r="M43" s="38"/>
      <c r="N43" s="8">
        <v>126.373611</v>
      </c>
      <c r="O43" s="55">
        <f t="shared" si="4"/>
        <v>-3.7309062886554667E-2</v>
      </c>
      <c r="P43" s="38"/>
    </row>
    <row r="44" spans="1:16" x14ac:dyDescent="0.25">
      <c r="A44" s="22">
        <v>42107</v>
      </c>
      <c r="B44" s="8">
        <v>64.060181</v>
      </c>
      <c r="C44" s="55">
        <f t="shared" si="1"/>
        <v>4.5877344617555771E-2</v>
      </c>
      <c r="D44" s="48"/>
      <c r="E44" s="8">
        <v>55.489243000000002</v>
      </c>
      <c r="F44" s="55">
        <f t="shared" si="2"/>
        <v>1.2658237201037315E-2</v>
      </c>
      <c r="G44" s="38"/>
      <c r="H44" s="8">
        <v>121.860001</v>
      </c>
      <c r="I44" s="55">
        <f t="shared" si="5"/>
        <v>8.4194927915682394E-2</v>
      </c>
      <c r="J44" s="38"/>
      <c r="K44" s="8">
        <v>118.786331</v>
      </c>
      <c r="L44" s="55">
        <f t="shared" si="3"/>
        <v>-4.6637100021214017E-3</v>
      </c>
      <c r="M44" s="38"/>
      <c r="N44" s="8">
        <v>128.70388800000001</v>
      </c>
      <c r="O44" s="55">
        <f t="shared" si="4"/>
        <v>-1.8105723426164122E-2</v>
      </c>
      <c r="P44" s="38"/>
    </row>
    <row r="45" spans="1:16" x14ac:dyDescent="0.25">
      <c r="A45" s="22">
        <v>42100</v>
      </c>
      <c r="B45" s="8">
        <v>65.86721</v>
      </c>
      <c r="C45" s="55">
        <f t="shared" si="1"/>
        <v>-2.7434424503482102E-2</v>
      </c>
      <c r="D45" s="48"/>
      <c r="E45" s="8">
        <v>55.850197000000001</v>
      </c>
      <c r="F45" s="55">
        <f t="shared" si="2"/>
        <v>-6.4628957351753336E-3</v>
      </c>
      <c r="G45" s="38"/>
      <c r="H45" s="8">
        <v>125.5</v>
      </c>
      <c r="I45" s="55">
        <f t="shared" si="5"/>
        <v>-2.9003976095617556E-2</v>
      </c>
      <c r="J45" s="38"/>
      <c r="K45" s="8">
        <v>118.22262600000001</v>
      </c>
      <c r="L45" s="55">
        <f t="shared" si="3"/>
        <v>4.7681651057218666E-3</v>
      </c>
      <c r="M45" s="38"/>
      <c r="N45" s="8">
        <v>126.912109</v>
      </c>
      <c r="O45" s="55">
        <f t="shared" si="4"/>
        <v>1.4118266681708125E-2</v>
      </c>
      <c r="P45" s="38"/>
    </row>
    <row r="46" spans="1:16" x14ac:dyDescent="0.25">
      <c r="A46" s="22">
        <v>42093</v>
      </c>
      <c r="B46" s="8">
        <v>64.824698999999995</v>
      </c>
      <c r="C46" s="55">
        <f t="shared" si="1"/>
        <v>1.6082002941502305E-2</v>
      </c>
      <c r="D46" s="48"/>
      <c r="E46" s="8">
        <v>55.703861000000003</v>
      </c>
      <c r="F46" s="55">
        <f t="shared" si="2"/>
        <v>2.6270351349613197E-3</v>
      </c>
      <c r="G46" s="38"/>
      <c r="H46" s="8">
        <v>122.160004</v>
      </c>
      <c r="I46" s="55">
        <f t="shared" si="5"/>
        <v>2.7341158240302699E-2</v>
      </c>
      <c r="J46" s="38"/>
      <c r="K46" s="8">
        <v>118.11571499999999</v>
      </c>
      <c r="L46" s="55">
        <f t="shared" si="3"/>
        <v>9.0513781337242527E-4</v>
      </c>
      <c r="M46" s="38"/>
      <c r="N46" s="8">
        <v>127.998924</v>
      </c>
      <c r="O46" s="55">
        <f t="shared" si="4"/>
        <v>-8.4908135634015336E-3</v>
      </c>
      <c r="P46" s="38"/>
    </row>
    <row r="47" spans="1:16" x14ac:dyDescent="0.25">
      <c r="A47" s="22">
        <v>42086</v>
      </c>
      <c r="B47" s="8">
        <v>65.072913999999997</v>
      </c>
      <c r="C47" s="55">
        <f t="shared" si="1"/>
        <v>-3.8144134747062353E-3</v>
      </c>
      <c r="D47" s="48"/>
      <c r="E47" s="8">
        <v>56.337971000000003</v>
      </c>
      <c r="F47" s="55">
        <f t="shared" si="2"/>
        <v>-1.1255463921482023E-2</v>
      </c>
      <c r="G47" s="38"/>
      <c r="H47" s="8">
        <v>119.279999</v>
      </c>
      <c r="I47" s="55">
        <f t="shared" si="5"/>
        <v>2.4144911335889585E-2</v>
      </c>
      <c r="J47" s="38"/>
      <c r="K47" s="8">
        <v>117.554115</v>
      </c>
      <c r="L47" s="55">
        <f t="shared" si="3"/>
        <v>4.7773742331351787E-3</v>
      </c>
      <c r="M47" s="38"/>
      <c r="N47" s="8">
        <v>128.05396999999999</v>
      </c>
      <c r="O47" s="55">
        <f t="shared" si="4"/>
        <v>-4.2986562618863022E-4</v>
      </c>
      <c r="P47" s="38"/>
    </row>
    <row r="48" spans="1:16" x14ac:dyDescent="0.25">
      <c r="A48" s="22">
        <v>42079</v>
      </c>
      <c r="B48" s="8">
        <v>66.929596000000004</v>
      </c>
      <c r="C48" s="55">
        <f t="shared" si="1"/>
        <v>-2.7740821863021625E-2</v>
      </c>
      <c r="D48" s="48"/>
      <c r="E48" s="8">
        <v>57.147677999999999</v>
      </c>
      <c r="F48" s="55">
        <f t="shared" si="2"/>
        <v>-1.4168677159551391E-2</v>
      </c>
      <c r="G48" s="38"/>
      <c r="H48" s="8">
        <v>125.290001</v>
      </c>
      <c r="I48" s="55">
        <f t="shared" si="5"/>
        <v>-4.7968728166903007E-2</v>
      </c>
      <c r="J48" s="38"/>
      <c r="K48" s="8">
        <v>117.75766</v>
      </c>
      <c r="L48" s="55">
        <f t="shared" si="3"/>
        <v>-1.7285075128021798E-3</v>
      </c>
      <c r="M48" s="38"/>
      <c r="N48" s="8">
        <v>128.493652</v>
      </c>
      <c r="O48" s="55">
        <f t="shared" si="4"/>
        <v>-3.4218188459613774E-3</v>
      </c>
      <c r="P48" s="38"/>
    </row>
    <row r="49" spans="1:16" x14ac:dyDescent="0.25">
      <c r="A49" s="22">
        <v>42072</v>
      </c>
      <c r="B49" s="8">
        <v>65.785301000000004</v>
      </c>
      <c r="C49" s="55">
        <f t="shared" si="1"/>
        <v>1.739438723553155E-2</v>
      </c>
      <c r="D49" s="48"/>
      <c r="E49" s="8">
        <v>54.825870999999999</v>
      </c>
      <c r="F49" s="55">
        <f t="shared" si="2"/>
        <v>4.2348748093760324E-2</v>
      </c>
      <c r="G49" s="38"/>
      <c r="H49" s="8">
        <v>119.510002</v>
      </c>
      <c r="I49" s="55">
        <f t="shared" si="5"/>
        <v>4.8364144450436797E-2</v>
      </c>
      <c r="J49" s="38"/>
      <c r="K49" s="8">
        <v>116.28435500000001</v>
      </c>
      <c r="L49" s="55">
        <f t="shared" si="3"/>
        <v>1.2669847117438904E-2</v>
      </c>
      <c r="M49" s="38"/>
      <c r="N49" s="8">
        <v>123.81352200000001</v>
      </c>
      <c r="O49" s="55">
        <f t="shared" si="4"/>
        <v>3.7799829327203716E-2</v>
      </c>
      <c r="P49" s="38"/>
    </row>
    <row r="50" spans="1:16" x14ac:dyDescent="0.25">
      <c r="A50" s="22">
        <v>42065</v>
      </c>
      <c r="B50" s="8">
        <v>66.855125000000001</v>
      </c>
      <c r="C50" s="55">
        <f t="shared" si="1"/>
        <v>-1.6002123995729534E-2</v>
      </c>
      <c r="D50" s="48"/>
      <c r="E50" s="8">
        <v>55.005116000000001</v>
      </c>
      <c r="F50" s="55">
        <f t="shared" si="2"/>
        <v>-3.2586968819410256E-3</v>
      </c>
      <c r="G50" s="38"/>
      <c r="H50" s="8">
        <v>114.30999799999999</v>
      </c>
      <c r="I50" s="55">
        <f t="shared" si="5"/>
        <v>4.5490369092649363E-2</v>
      </c>
      <c r="J50" s="38"/>
      <c r="K50" s="8">
        <v>115.489548</v>
      </c>
      <c r="L50" s="55">
        <f t="shared" si="3"/>
        <v>6.8820686699717637E-3</v>
      </c>
      <c r="M50" s="38"/>
      <c r="N50" s="8">
        <v>120.667374</v>
      </c>
      <c r="O50" s="55">
        <f t="shared" si="4"/>
        <v>2.6072896887604502E-2</v>
      </c>
      <c r="P50" s="38"/>
    </row>
    <row r="51" spans="1:16" x14ac:dyDescent="0.25">
      <c r="A51" s="22">
        <v>42058</v>
      </c>
      <c r="B51" s="8">
        <v>67.344116</v>
      </c>
      <c r="C51" s="55">
        <f t="shared" si="1"/>
        <v>-7.2610797950038997E-3</v>
      </c>
      <c r="D51" s="48"/>
      <c r="E51" s="8">
        <v>56.650238000000002</v>
      </c>
      <c r="F51" s="55">
        <f t="shared" si="2"/>
        <v>-2.9039983909688094E-2</v>
      </c>
      <c r="G51" s="38"/>
      <c r="H51" s="8">
        <v>119.370003</v>
      </c>
      <c r="I51" s="55">
        <f t="shared" si="5"/>
        <v>-4.2389250840514814E-2</v>
      </c>
      <c r="J51" s="38"/>
      <c r="K51" s="8">
        <v>117.74118</v>
      </c>
      <c r="L51" s="55">
        <f t="shared" si="3"/>
        <v>-1.9123572568238267E-2</v>
      </c>
      <c r="M51" s="38"/>
      <c r="N51" s="8">
        <v>126.31285099999999</v>
      </c>
      <c r="O51" s="55">
        <f t="shared" si="4"/>
        <v>-4.4694399305419852E-2</v>
      </c>
      <c r="P51" s="38"/>
    </row>
    <row r="52" spans="1:16" x14ac:dyDescent="0.25">
      <c r="A52" s="22">
        <v>42052</v>
      </c>
      <c r="B52" s="8">
        <v>67.763603000000003</v>
      </c>
      <c r="C52" s="55">
        <f t="shared" si="1"/>
        <v>-6.1904471047681264E-3</v>
      </c>
      <c r="D52" s="48"/>
      <c r="E52" s="8">
        <v>56.466369999999998</v>
      </c>
      <c r="F52" s="55">
        <f t="shared" si="2"/>
        <v>3.2562390676078579E-3</v>
      </c>
      <c r="G52" s="38"/>
      <c r="H52" s="8">
        <v>118.07</v>
      </c>
      <c r="I52" s="55">
        <f t="shared" si="5"/>
        <v>1.1010442957567479E-2</v>
      </c>
      <c r="J52" s="38"/>
      <c r="K52" s="8">
        <v>116.832504</v>
      </c>
      <c r="L52" s="55">
        <f t="shared" si="3"/>
        <v>7.7775958649315413E-3</v>
      </c>
      <c r="M52" s="38"/>
      <c r="N52" s="8">
        <v>123.39711800000001</v>
      </c>
      <c r="O52" s="55">
        <f t="shared" si="4"/>
        <v>2.3628858171549805E-2</v>
      </c>
      <c r="P52" s="38"/>
    </row>
    <row r="53" spans="1:16" x14ac:dyDescent="0.25">
      <c r="A53" s="22">
        <v>42044</v>
      </c>
      <c r="B53" s="8">
        <v>66.927109000000002</v>
      </c>
      <c r="C53" s="55">
        <f t="shared" si="1"/>
        <v>1.249858259976544E-2</v>
      </c>
      <c r="D53" s="48"/>
      <c r="E53" s="8">
        <v>56.911521999999998</v>
      </c>
      <c r="F53" s="55">
        <f t="shared" si="2"/>
        <v>-7.8218256050154311E-3</v>
      </c>
      <c r="G53" s="38"/>
      <c r="H53" s="8">
        <v>116.279999</v>
      </c>
      <c r="I53" s="55">
        <f t="shared" si="5"/>
        <v>1.5393885581302724E-2</v>
      </c>
      <c r="J53" s="38"/>
      <c r="K53" s="8">
        <v>116.803505</v>
      </c>
      <c r="L53" s="55">
        <f t="shared" si="3"/>
        <v>2.4827165931373685E-4</v>
      </c>
      <c r="M53" s="38"/>
      <c r="N53" s="8">
        <v>125.006134</v>
      </c>
      <c r="O53" s="55">
        <f t="shared" si="4"/>
        <v>-1.2871496369930124E-2</v>
      </c>
      <c r="P53" s="38"/>
    </row>
    <row r="54" spans="1:16" x14ac:dyDescent="0.25">
      <c r="A54" s="22">
        <v>42037</v>
      </c>
      <c r="B54" s="8">
        <v>66.258110000000002</v>
      </c>
      <c r="C54" s="55">
        <f t="shared" si="1"/>
        <v>1.0096862104880477E-2</v>
      </c>
      <c r="D54" s="48"/>
      <c r="E54" s="8">
        <v>56.892166000000003</v>
      </c>
      <c r="F54" s="55">
        <f t="shared" si="2"/>
        <v>3.4022258881827305E-4</v>
      </c>
      <c r="G54" s="38"/>
      <c r="H54" s="8">
        <v>114.900002</v>
      </c>
      <c r="I54" s="55">
        <f t="shared" si="5"/>
        <v>1.2010417545510688E-2</v>
      </c>
      <c r="J54" s="38"/>
      <c r="K54" s="8">
        <v>117.132172</v>
      </c>
      <c r="L54" s="55">
        <f t="shared" si="3"/>
        <v>-2.8059498461275867E-3</v>
      </c>
      <c r="M54" s="38"/>
      <c r="N54" s="8">
        <v>127.70734400000001</v>
      </c>
      <c r="O54" s="55">
        <f t="shared" si="4"/>
        <v>-2.1151563531068396E-2</v>
      </c>
      <c r="P54" s="38"/>
    </row>
    <row r="55" spans="1:16" x14ac:dyDescent="0.25">
      <c r="A55" s="22">
        <v>42030</v>
      </c>
      <c r="B55" s="8">
        <v>63.158535000000001</v>
      </c>
      <c r="C55" s="55">
        <f t="shared" si="1"/>
        <v>4.907610665763551E-2</v>
      </c>
      <c r="D55" s="48"/>
      <c r="E55" s="8">
        <v>58.334063999999998</v>
      </c>
      <c r="F55" s="55">
        <f t="shared" si="2"/>
        <v>-2.4717941818694356E-2</v>
      </c>
      <c r="G55" s="38"/>
      <c r="H55" s="8">
        <v>106.08000199999999</v>
      </c>
      <c r="I55" s="55">
        <f t="shared" si="5"/>
        <v>8.3144794812503919E-2</v>
      </c>
      <c r="J55" s="38"/>
      <c r="K55" s="8">
        <v>119.437698</v>
      </c>
      <c r="L55" s="55">
        <f t="shared" si="3"/>
        <v>-1.9303168418400074E-2</v>
      </c>
      <c r="M55" s="38"/>
      <c r="N55" s="8">
        <v>134.57345599999999</v>
      </c>
      <c r="O55" s="55">
        <f t="shared" si="4"/>
        <v>-5.1021295016752677E-2</v>
      </c>
      <c r="P55" s="38"/>
    </row>
    <row r="56" spans="1:16" x14ac:dyDescent="0.25">
      <c r="A56" s="22">
        <v>42024</v>
      </c>
      <c r="B56" s="8">
        <v>63.995990999999997</v>
      </c>
      <c r="C56" s="55">
        <f t="shared" si="1"/>
        <v>-1.3086069719585924E-2</v>
      </c>
      <c r="D56" s="48"/>
      <c r="E56" s="8">
        <v>60.472724999999997</v>
      </c>
      <c r="F56" s="55">
        <f t="shared" si="2"/>
        <v>-3.5365712393479853E-2</v>
      </c>
      <c r="G56" s="38"/>
      <c r="H56" s="8">
        <v>111.16999800000001</v>
      </c>
      <c r="I56" s="55">
        <f t="shared" si="5"/>
        <v>-4.5785698403988606E-2</v>
      </c>
      <c r="J56" s="38"/>
      <c r="K56" s="8">
        <v>117.885559</v>
      </c>
      <c r="L56" s="55">
        <f t="shared" si="3"/>
        <v>1.3166489713977603E-2</v>
      </c>
      <c r="M56" s="38"/>
      <c r="N56" s="8">
        <v>131.15754699999999</v>
      </c>
      <c r="O56" s="55">
        <f t="shared" si="4"/>
        <v>2.604431905088922E-2</v>
      </c>
      <c r="P56" s="38"/>
    </row>
    <row r="57" spans="1:16" x14ac:dyDescent="0.25">
      <c r="A57" s="22">
        <v>42016</v>
      </c>
      <c r="B57" s="8">
        <v>63.168441999999999</v>
      </c>
      <c r="C57" s="55">
        <f t="shared" si="1"/>
        <v>1.3100671376381268E-2</v>
      </c>
      <c r="D57" s="48"/>
      <c r="E57" s="8">
        <v>60.995292999999997</v>
      </c>
      <c r="F57" s="55">
        <f t="shared" si="2"/>
        <v>-8.5673496149940576E-3</v>
      </c>
      <c r="G57" s="38"/>
      <c r="H57" s="8">
        <v>108.44000200000001</v>
      </c>
      <c r="I57" s="55">
        <f t="shared" si="5"/>
        <v>2.5175174747783524E-2</v>
      </c>
      <c r="J57" s="38"/>
      <c r="K57" s="8">
        <v>117.03718600000001</v>
      </c>
      <c r="L57" s="55">
        <f t="shared" si="3"/>
        <v>7.2487474194740109E-3</v>
      </c>
      <c r="M57" s="38"/>
      <c r="N57" s="8">
        <v>129.619888</v>
      </c>
      <c r="O57" s="55">
        <f t="shared" si="4"/>
        <v>1.1862832345604257E-2</v>
      </c>
      <c r="P57" s="38"/>
    </row>
    <row r="58" spans="1:16" x14ac:dyDescent="0.25">
      <c r="A58" s="22">
        <v>42009</v>
      </c>
      <c r="B58" s="8">
        <v>64.550987000000006</v>
      </c>
      <c r="C58" s="55">
        <f t="shared" si="1"/>
        <v>-2.1417875454019075E-2</v>
      </c>
      <c r="D58" s="48"/>
      <c r="E58" s="8">
        <v>60.540466000000002</v>
      </c>
      <c r="F58" s="55">
        <f t="shared" si="2"/>
        <v>7.5127766608205082E-3</v>
      </c>
      <c r="G58" s="38"/>
      <c r="H58" s="8">
        <v>107.489998</v>
      </c>
      <c r="I58" s="55">
        <f t="shared" si="5"/>
        <v>8.8380688219940051E-3</v>
      </c>
      <c r="J58" s="38"/>
      <c r="K58" s="8">
        <v>116.555153</v>
      </c>
      <c r="L58" s="55">
        <f t="shared" si="3"/>
        <v>4.1356644266083986E-3</v>
      </c>
      <c r="M58" s="38"/>
      <c r="N58" s="8">
        <v>127.556725</v>
      </c>
      <c r="O58" s="55">
        <f t="shared" si="4"/>
        <v>1.6174474532800964E-2</v>
      </c>
      <c r="P58" s="38"/>
    </row>
    <row r="59" spans="1:16" ht="16.5" thickBot="1" x14ac:dyDescent="0.3">
      <c r="A59" s="23">
        <v>42006</v>
      </c>
      <c r="B59" s="21">
        <v>65.663466999999997</v>
      </c>
      <c r="C59" s="56">
        <f t="shared" si="1"/>
        <v>-1.6942145318034951E-2</v>
      </c>
      <c r="D59" s="52"/>
      <c r="E59" s="21">
        <v>55.343814999999999</v>
      </c>
      <c r="F59" s="56">
        <f t="shared" si="2"/>
        <v>9.389759271203113E-2</v>
      </c>
      <c r="G59" s="38"/>
      <c r="H59" s="21">
        <v>107.849998</v>
      </c>
      <c r="I59" s="56">
        <f t="shared" si="5"/>
        <v>-3.3379694638473456E-3</v>
      </c>
      <c r="J59" s="38"/>
      <c r="K59" s="21">
        <v>115.523605</v>
      </c>
      <c r="L59" s="56">
        <f t="shared" si="3"/>
        <v>8.9293266081853506E-3</v>
      </c>
      <c r="M59" s="38"/>
      <c r="N59" s="21">
        <v>123.907234</v>
      </c>
      <c r="O59" s="56">
        <f t="shared" si="4"/>
        <v>2.9453413510949655E-2</v>
      </c>
      <c r="P59" s="38"/>
    </row>
    <row r="60" spans="1:16" x14ac:dyDescent="0.25">
      <c r="C60" s="20"/>
    </row>
  </sheetData>
  <mergeCells count="9">
    <mergeCell ref="B4:F4"/>
    <mergeCell ref="H4:I4"/>
    <mergeCell ref="K4:L4"/>
    <mergeCell ref="N4:O4"/>
    <mergeCell ref="B5:C5"/>
    <mergeCell ref="E5:F5"/>
    <mergeCell ref="H5:I5"/>
    <mergeCell ref="K5:L5"/>
    <mergeCell ref="N5:O5"/>
  </mergeCells>
  <pageMargins left="0.75" right="0.75" top="1" bottom="1" header="0.5" footer="0.5"/>
  <pageSetup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G18"/>
  <sheetViews>
    <sheetView tabSelected="1" workbookViewId="0">
      <selection activeCell="A5" sqref="A5"/>
    </sheetView>
  </sheetViews>
  <sheetFormatPr defaultColWidth="11" defaultRowHeight="15.75" x14ac:dyDescent="0.25"/>
  <cols>
    <col min="1" max="1" width="24.5" bestFit="1" customWidth="1"/>
    <col min="2" max="2" width="25.375" bestFit="1" customWidth="1"/>
    <col min="3" max="3" width="15.125" bestFit="1" customWidth="1"/>
    <col min="4" max="4" width="17.25" bestFit="1" customWidth="1"/>
    <col min="5" max="5" width="25.375" bestFit="1" customWidth="1"/>
    <col min="6" max="6" width="20" bestFit="1" customWidth="1"/>
    <col min="7" max="7" width="18.125" bestFit="1" customWidth="1"/>
  </cols>
  <sheetData>
    <row r="2" spans="2:7" ht="16.5" thickBot="1" x14ac:dyDescent="0.3"/>
    <row r="3" spans="2:7" ht="18.75" x14ac:dyDescent="0.3">
      <c r="B3" s="108" t="s">
        <v>77</v>
      </c>
      <c r="C3" s="109"/>
      <c r="D3" s="109"/>
      <c r="E3" s="110"/>
    </row>
    <row r="4" spans="2:7" x14ac:dyDescent="0.25">
      <c r="B4" s="8"/>
      <c r="C4" s="76" t="s">
        <v>10</v>
      </c>
      <c r="D4" s="76" t="s">
        <v>11</v>
      </c>
      <c r="E4" s="5" t="s">
        <v>13</v>
      </c>
    </row>
    <row r="5" spans="2:7" x14ac:dyDescent="0.25">
      <c r="B5" s="10" t="s">
        <v>2</v>
      </c>
      <c r="C5" s="89">
        <f>AVERAGE('Q1 (and raw data)'!$C$8:$C$59)</f>
        <v>3.4484119373229668E-3</v>
      </c>
      <c r="D5" s="90">
        <f>STDEV('Q1 (and raw data)'!$C$8:$C$59)</f>
        <v>2.4026844893101321E-2</v>
      </c>
      <c r="E5" s="11">
        <f>D5^2</f>
        <v>5.7728927551714906E-4</v>
      </c>
    </row>
    <row r="6" spans="2:7" x14ac:dyDescent="0.25">
      <c r="B6" s="10" t="s">
        <v>9</v>
      </c>
      <c r="C6" s="89">
        <f>AVERAGE('Q1 (and raw data)'!$F$8:$F$59)</f>
        <v>-5.5500611042747167E-4</v>
      </c>
      <c r="D6" s="90">
        <f>STDEV('Q1 (and raw data)'!$F$8:$F$59)</f>
        <v>2.6478072593863745E-2</v>
      </c>
      <c r="E6" s="11">
        <f t="shared" ref="E6:E9" si="0">D6^2</f>
        <v>7.010883282859183E-4</v>
      </c>
    </row>
    <row r="7" spans="2:7" x14ac:dyDescent="0.25">
      <c r="B7" s="10" t="s">
        <v>12</v>
      </c>
      <c r="C7" s="89">
        <f>AVERAGE('Q1 (and raw data)'!$I$8:$I$59)</f>
        <v>9.9060432394404447E-3</v>
      </c>
      <c r="D7" s="90">
        <f>STDEV('Q1 (and raw data)'!$I$8:$I$59)</f>
        <v>3.6138946273361339E-2</v>
      </c>
      <c r="E7" s="11">
        <f t="shared" si="0"/>
        <v>1.3060234377488974E-3</v>
      </c>
    </row>
    <row r="8" spans="2:7" x14ac:dyDescent="0.25">
      <c r="B8" s="10" t="s">
        <v>4</v>
      </c>
      <c r="C8" s="89">
        <f>AVERAGE('Q1 (and raw data)'!$L$8:$L$59)</f>
        <v>-2.8059024639107572E-4</v>
      </c>
      <c r="D8" s="90">
        <f>STDEV('Q1 (and raw data)'!$L$8:$L$59)</f>
        <v>7.7832682527277063E-3</v>
      </c>
      <c r="E8" s="11">
        <f t="shared" si="0"/>
        <v>6.0579264693919002E-5</v>
      </c>
    </row>
    <row r="9" spans="2:7" ht="16.5" thickBot="1" x14ac:dyDescent="0.3">
      <c r="B9" s="12" t="s">
        <v>16</v>
      </c>
      <c r="C9" s="91">
        <f>AVERAGE('Q1 (and raw data)'!$O$8:$O$59)</f>
        <v>-3.5239848793662862E-4</v>
      </c>
      <c r="D9" s="92">
        <f>STDEV('Q1 (and raw data)'!$O$8:$O$59)</f>
        <v>2.0486975152049135E-2</v>
      </c>
      <c r="E9" s="13">
        <f t="shared" si="0"/>
        <v>4.1971615088067866E-4</v>
      </c>
    </row>
    <row r="11" spans="2:7" ht="16.5" thickBot="1" x14ac:dyDescent="0.3"/>
    <row r="12" spans="2:7" ht="18.75" x14ac:dyDescent="0.3">
      <c r="B12" s="108" t="s">
        <v>15</v>
      </c>
      <c r="C12" s="109"/>
      <c r="D12" s="109"/>
      <c r="E12" s="109"/>
      <c r="F12" s="109"/>
      <c r="G12" s="110"/>
    </row>
    <row r="13" spans="2:7" x14ac:dyDescent="0.25">
      <c r="B13" s="8"/>
      <c r="C13" s="76" t="s">
        <v>2</v>
      </c>
      <c r="D13" s="76" t="s">
        <v>9</v>
      </c>
      <c r="E13" s="76" t="s">
        <v>12</v>
      </c>
      <c r="F13" s="76" t="s">
        <v>4</v>
      </c>
      <c r="G13" s="14" t="s">
        <v>16</v>
      </c>
    </row>
    <row r="14" spans="2:7" x14ac:dyDescent="0.25">
      <c r="B14" s="10" t="s">
        <v>2</v>
      </c>
      <c r="C14" s="3">
        <f>E5</f>
        <v>5.7728927551714906E-4</v>
      </c>
      <c r="D14" s="3">
        <f>C15</f>
        <v>1.5158663822101875E-4</v>
      </c>
      <c r="E14" s="3">
        <f>C16</f>
        <v>3.3819243333108002E-4</v>
      </c>
      <c r="F14" s="3">
        <f>C17</f>
        <v>-2.5920055446219592E-5</v>
      </c>
      <c r="G14" s="11">
        <f>C18</f>
        <v>-1.3935608471308869E-4</v>
      </c>
    </row>
    <row r="15" spans="2:7" x14ac:dyDescent="0.25">
      <c r="B15" s="10" t="s">
        <v>9</v>
      </c>
      <c r="C15" s="3">
        <f>COVAR('Q1 (and raw data)'!$C$8:$C$59, 'Q1 (and raw data)'!$F$8:$F$59 )</f>
        <v>1.5158663822101875E-4</v>
      </c>
      <c r="D15" s="3">
        <f>E6</f>
        <v>7.010883282859183E-4</v>
      </c>
      <c r="E15" s="3">
        <f>D16</f>
        <v>1.9575986090101765E-4</v>
      </c>
      <c r="F15" s="3">
        <f>D17</f>
        <v>1.914278953313638E-5</v>
      </c>
      <c r="G15" s="11">
        <f>D18</f>
        <v>6.5372297317842746E-5</v>
      </c>
    </row>
    <row r="16" spans="2:7" x14ac:dyDescent="0.25">
      <c r="B16" s="10" t="s">
        <v>12</v>
      </c>
      <c r="C16" s="3">
        <f>COVAR('Q1 (and raw data)'!$C$8:$C$59, 'Q1 (and raw data)'!$I$8:$I$59 )</f>
        <v>3.3819243333108002E-4</v>
      </c>
      <c r="D16" s="3">
        <f>COVAR('Q1 (and raw data)'!$F$8:$F$59, 'Q1 (and raw data)'!$I$8:$I$59)</f>
        <v>1.9575986090101765E-4</v>
      </c>
      <c r="E16" s="3">
        <f>E7</f>
        <v>1.3060234377488974E-3</v>
      </c>
      <c r="F16" s="3">
        <f>E17</f>
        <v>2.6588087389163916E-5</v>
      </c>
      <c r="G16" s="11">
        <f>E18</f>
        <v>1.8874529973640815E-5</v>
      </c>
    </row>
    <row r="17" spans="2:7" x14ac:dyDescent="0.25">
      <c r="B17" s="10" t="s">
        <v>4</v>
      </c>
      <c r="C17" s="3">
        <f>COVAR('Q1 (and raw data)'!$C$8:$C$59, 'Q1 (and raw data)'!$L$8:$L$59)</f>
        <v>-2.5920055446219592E-5</v>
      </c>
      <c r="D17" s="3">
        <f>COVAR('Q1 (and raw data)'!$F$8:$F$59, 'Q1 (and raw data)'!$L$8:$L$59)</f>
        <v>1.914278953313638E-5</v>
      </c>
      <c r="E17" s="3">
        <f>COVAR('Q1 (and raw data)'!$I$8:$I$59, 'Q1 (and raw data)'!$L$8:$L$59)</f>
        <v>2.6588087389163916E-5</v>
      </c>
      <c r="F17" s="3">
        <f>E8</f>
        <v>6.0579264693919002E-5</v>
      </c>
      <c r="G17" s="11">
        <f>F18</f>
        <v>1.3636600382981549E-4</v>
      </c>
    </row>
    <row r="18" spans="2:7" ht="16.5" thickBot="1" x14ac:dyDescent="0.3">
      <c r="B18" s="12" t="s">
        <v>16</v>
      </c>
      <c r="C18" s="7">
        <f>COVAR('Q1 (and raw data)'!$C$8:$C$59, 'Q1 (and raw data)'!$O$8:$O$59)</f>
        <v>-1.3935608471308869E-4</v>
      </c>
      <c r="D18" s="7">
        <f>COVAR('Q1 (and raw data)'!$F$8:$F$59, 'Q1 (and raw data)'!$O$8:$O$59)</f>
        <v>6.5372297317842746E-5</v>
      </c>
      <c r="E18" s="7">
        <f>COVAR('Q1 (and raw data)'!$I$8:$I$59, 'Q1 (and raw data)'!$O$8:$O$59)</f>
        <v>1.8874529973640815E-5</v>
      </c>
      <c r="F18" s="7">
        <f>COVAR('Q1 (and raw data)'!$L$8:$L$59, 'Q1 (and raw data)'!$O$8:$O$59)</f>
        <v>1.3636600382981549E-4</v>
      </c>
      <c r="G18" s="13">
        <f>E9</f>
        <v>4.1971615088067866E-4</v>
      </c>
    </row>
  </sheetData>
  <mergeCells count="2">
    <mergeCell ref="B3:E3"/>
    <mergeCell ref="B12:G12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89"/>
  <sheetViews>
    <sheetView workbookViewId="0">
      <selection activeCell="N16" sqref="N16"/>
    </sheetView>
  </sheetViews>
  <sheetFormatPr defaultColWidth="11" defaultRowHeight="15.75" x14ac:dyDescent="0.25"/>
  <sheetData>
    <row r="1" spans="1:22" x14ac:dyDescent="0.25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</row>
    <row r="2" spans="1:22" x14ac:dyDescent="0.25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</row>
    <row r="3" spans="1:22" x14ac:dyDescent="0.25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</row>
    <row r="4" spans="1:22" x14ac:dyDescent="0.2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</row>
    <row r="5" spans="1:22" x14ac:dyDescent="0.2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</row>
    <row r="6" spans="1:22" x14ac:dyDescent="0.2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</row>
    <row r="7" spans="1:22" x14ac:dyDescent="0.2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</row>
    <row r="8" spans="1:22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</row>
    <row r="9" spans="1:22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</row>
    <row r="10" spans="1:22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</row>
    <row r="11" spans="1:22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</row>
    <row r="12" spans="1:22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</row>
    <row r="13" spans="1:22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</row>
    <row r="14" spans="1:22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</row>
    <row r="15" spans="1:22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</row>
    <row r="16" spans="1:22" x14ac:dyDescent="0.2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</row>
    <row r="17" spans="1:22" x14ac:dyDescent="0.2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</row>
    <row r="18" spans="1:22" x14ac:dyDescent="0.2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</row>
    <row r="19" spans="1:22" x14ac:dyDescent="0.2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</row>
    <row r="20" spans="1:22" x14ac:dyDescent="0.2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</row>
    <row r="21" spans="1:22" x14ac:dyDescent="0.25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</row>
    <row r="22" spans="1:22" x14ac:dyDescent="0.25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</row>
    <row r="23" spans="1:22" x14ac:dyDescent="0.25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</row>
    <row r="24" spans="1:22" x14ac:dyDescent="0.25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</row>
    <row r="25" spans="1:22" x14ac:dyDescent="0.25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</row>
    <row r="26" spans="1:22" x14ac:dyDescent="0.25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</row>
    <row r="27" spans="1:22" x14ac:dyDescent="0.25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</row>
    <row r="28" spans="1:22" x14ac:dyDescent="0.25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</row>
    <row r="29" spans="1:22" x14ac:dyDescent="0.25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</row>
    <row r="30" spans="1:22" x14ac:dyDescent="0.25">
      <c r="A30" s="38"/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</row>
    <row r="31" spans="1:22" x14ac:dyDescent="0.25">
      <c r="A31" s="38"/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</row>
    <row r="32" spans="1:22" x14ac:dyDescent="0.25">
      <c r="A32" s="38"/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</row>
    <row r="33" spans="1:22" x14ac:dyDescent="0.25">
      <c r="A33" s="38"/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</row>
    <row r="34" spans="1:22" x14ac:dyDescent="0.25">
      <c r="A34" s="38"/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</row>
    <row r="35" spans="1:22" x14ac:dyDescent="0.25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</row>
    <row r="36" spans="1:22" x14ac:dyDescent="0.25">
      <c r="A36" s="38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</row>
    <row r="37" spans="1:22" x14ac:dyDescent="0.25">
      <c r="A37" s="38"/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</row>
    <row r="38" spans="1:22" x14ac:dyDescent="0.25">
      <c r="A38" s="38"/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</row>
    <row r="39" spans="1:22" x14ac:dyDescent="0.25">
      <c r="A39" s="38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</row>
    <row r="40" spans="1:22" x14ac:dyDescent="0.25">
      <c r="A40" s="38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</row>
    <row r="41" spans="1:22" x14ac:dyDescent="0.25">
      <c r="A41" s="38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</row>
    <row r="42" spans="1:22" x14ac:dyDescent="0.25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</row>
    <row r="43" spans="1:22" x14ac:dyDescent="0.25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</row>
    <row r="44" spans="1:22" x14ac:dyDescent="0.25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</row>
    <row r="45" spans="1:22" x14ac:dyDescent="0.25">
      <c r="A45" s="38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</row>
    <row r="46" spans="1:22" x14ac:dyDescent="0.25">
      <c r="A46" s="38"/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</row>
    <row r="47" spans="1:22" x14ac:dyDescent="0.25">
      <c r="A47" s="38"/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</row>
    <row r="48" spans="1:22" x14ac:dyDescent="0.25">
      <c r="A48" s="38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</row>
    <row r="49" spans="1:22" x14ac:dyDescent="0.25">
      <c r="A49" s="38"/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</row>
    <row r="50" spans="1:22" x14ac:dyDescent="0.25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</row>
    <row r="51" spans="1:22" x14ac:dyDescent="0.25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</row>
    <row r="52" spans="1:22" x14ac:dyDescent="0.25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</row>
    <row r="53" spans="1:22" x14ac:dyDescent="0.25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</row>
    <row r="54" spans="1:22" x14ac:dyDescent="0.25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</row>
    <row r="55" spans="1:22" x14ac:dyDescent="0.25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</row>
    <row r="56" spans="1:22" x14ac:dyDescent="0.25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</row>
    <row r="57" spans="1:22" x14ac:dyDescent="0.25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</row>
    <row r="58" spans="1:22" x14ac:dyDescent="0.25">
      <c r="A58" s="38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</row>
    <row r="59" spans="1:22" x14ac:dyDescent="0.25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</row>
    <row r="60" spans="1:22" x14ac:dyDescent="0.25">
      <c r="A60" s="38"/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</row>
    <row r="61" spans="1:22" x14ac:dyDescent="0.25">
      <c r="A61" s="38"/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</row>
    <row r="62" spans="1:22" x14ac:dyDescent="0.25">
      <c r="A62" s="38"/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</row>
    <row r="63" spans="1:22" x14ac:dyDescent="0.25">
      <c r="A63" s="38"/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</row>
    <row r="64" spans="1:22" x14ac:dyDescent="0.25">
      <c r="A64" s="38"/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</row>
    <row r="65" spans="1:22" x14ac:dyDescent="0.25">
      <c r="A65" s="38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</row>
    <row r="66" spans="1:22" x14ac:dyDescent="0.25">
      <c r="A66" s="38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</row>
    <row r="67" spans="1:22" x14ac:dyDescent="0.25">
      <c r="A67" s="38"/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</row>
    <row r="68" spans="1:22" x14ac:dyDescent="0.25">
      <c r="A68" s="38"/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</row>
    <row r="69" spans="1:22" x14ac:dyDescent="0.25">
      <c r="A69" s="38"/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</row>
    <row r="70" spans="1:22" x14ac:dyDescent="0.25">
      <c r="A70" s="38"/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</row>
    <row r="71" spans="1:22" x14ac:dyDescent="0.25">
      <c r="A71" s="38"/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</row>
    <row r="72" spans="1:22" x14ac:dyDescent="0.25">
      <c r="A72" s="38"/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</row>
    <row r="73" spans="1:22" x14ac:dyDescent="0.25">
      <c r="A73" s="38"/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</row>
    <row r="74" spans="1:22" x14ac:dyDescent="0.25">
      <c r="A74" s="38"/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</row>
    <row r="75" spans="1:22" x14ac:dyDescent="0.25">
      <c r="A75" s="38"/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</row>
    <row r="76" spans="1:22" x14ac:dyDescent="0.25">
      <c r="A76" s="38"/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</row>
    <row r="77" spans="1:22" x14ac:dyDescent="0.25">
      <c r="A77" s="38"/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</row>
    <row r="78" spans="1:22" x14ac:dyDescent="0.25">
      <c r="A78" s="38"/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</row>
    <row r="79" spans="1:22" x14ac:dyDescent="0.25">
      <c r="A79" s="38"/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</row>
    <row r="80" spans="1:22" x14ac:dyDescent="0.25">
      <c r="A80" s="38"/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</row>
    <row r="81" spans="1:22" x14ac:dyDescent="0.25">
      <c r="A81" s="38"/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</row>
    <row r="82" spans="1:22" x14ac:dyDescent="0.25">
      <c r="A82" s="38"/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</row>
    <row r="83" spans="1:22" x14ac:dyDescent="0.25">
      <c r="A83" s="38"/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</row>
    <row r="84" spans="1:22" x14ac:dyDescent="0.25">
      <c r="A84" s="38"/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  <c r="U84" s="38"/>
      <c r="V84" s="38"/>
    </row>
    <row r="85" spans="1:22" x14ac:dyDescent="0.25">
      <c r="A85" s="38"/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  <c r="U85" s="38"/>
      <c r="V85" s="38"/>
    </row>
    <row r="86" spans="1:22" x14ac:dyDescent="0.25">
      <c r="A86" s="38"/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  <c r="U86" s="38"/>
      <c r="V86" s="38"/>
    </row>
    <row r="87" spans="1:22" x14ac:dyDescent="0.25">
      <c r="A87" s="38"/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</row>
    <row r="88" spans="1:22" x14ac:dyDescent="0.25">
      <c r="A88" s="38"/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</row>
    <row r="89" spans="1:22" x14ac:dyDescent="0.25">
      <c r="A89" s="38"/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H35"/>
  <sheetViews>
    <sheetView topLeftCell="A10" zoomScale="80" zoomScaleNormal="80" workbookViewId="0">
      <selection activeCell="C35" sqref="C35"/>
    </sheetView>
  </sheetViews>
  <sheetFormatPr defaultColWidth="11" defaultRowHeight="15.75" x14ac:dyDescent="0.25"/>
  <cols>
    <col min="2" max="2" width="25.375" bestFit="1" customWidth="1"/>
    <col min="3" max="3" width="15.125" bestFit="1" customWidth="1"/>
    <col min="4" max="4" width="17.25" bestFit="1" customWidth="1"/>
    <col min="5" max="5" width="25.375" bestFit="1" customWidth="1"/>
    <col min="6" max="6" width="23.75" bestFit="1" customWidth="1"/>
    <col min="7" max="7" width="16.125" bestFit="1" customWidth="1"/>
  </cols>
  <sheetData>
    <row r="2" spans="1:8" ht="16.5" thickBot="1" x14ac:dyDescent="0.3">
      <c r="B2" s="1"/>
    </row>
    <row r="3" spans="1:8" ht="18.75" x14ac:dyDescent="0.3">
      <c r="B3" s="108" t="s">
        <v>17</v>
      </c>
      <c r="C3" s="110"/>
      <c r="F3" s="108" t="s">
        <v>19</v>
      </c>
      <c r="G3" s="110"/>
    </row>
    <row r="4" spans="1:8" ht="16.5" thickBot="1" x14ac:dyDescent="0.3">
      <c r="A4" t="s">
        <v>24</v>
      </c>
      <c r="B4" s="12" t="s">
        <v>18</v>
      </c>
      <c r="C4" s="42">
        <v>0.04</v>
      </c>
      <c r="F4" s="10" t="s">
        <v>2</v>
      </c>
      <c r="G4" s="17">
        <v>0</v>
      </c>
    </row>
    <row r="5" spans="1:8" ht="16.5" thickBot="1" x14ac:dyDescent="0.3">
      <c r="F5" s="10" t="s">
        <v>9</v>
      </c>
      <c r="G5" s="17">
        <v>0</v>
      </c>
      <c r="H5" t="s">
        <v>26</v>
      </c>
    </row>
    <row r="6" spans="1:8" ht="18.75" x14ac:dyDescent="0.3">
      <c r="B6" s="108" t="s">
        <v>58</v>
      </c>
      <c r="C6" s="110"/>
      <c r="F6" s="10" t="s">
        <v>20</v>
      </c>
      <c r="G6" s="17">
        <v>3.9335797198305693</v>
      </c>
    </row>
    <row r="7" spans="1:8" x14ac:dyDescent="0.25">
      <c r="A7" s="15" t="s">
        <v>27</v>
      </c>
      <c r="B7" s="10" t="s">
        <v>10</v>
      </c>
      <c r="C7" s="33">
        <f>portfolioreturn(C13:C17, G4:G8)</f>
        <v>3.9999999847937499E-2</v>
      </c>
      <c r="F7" s="10" t="s">
        <v>4</v>
      </c>
      <c r="G7" s="17">
        <v>0</v>
      </c>
    </row>
    <row r="8" spans="1:8" ht="16.5" thickBot="1" x14ac:dyDescent="0.3">
      <c r="A8" s="19" t="s">
        <v>25</v>
      </c>
      <c r="B8" s="45" t="s">
        <v>23</v>
      </c>
      <c r="C8" s="46">
        <f>SQRT(PortfolioVariance(G4:G8,C31:G35))</f>
        <v>0.15292021470977857</v>
      </c>
      <c r="F8" s="12" t="s">
        <v>16</v>
      </c>
      <c r="G8" s="18">
        <f>1-SUM(weights1)</f>
        <v>-2.9335797198305693</v>
      </c>
    </row>
    <row r="10" spans="1:8" ht="16.5" thickBot="1" x14ac:dyDescent="0.3"/>
    <row r="11" spans="1:8" ht="18.75" x14ac:dyDescent="0.3">
      <c r="B11" s="108" t="s">
        <v>76</v>
      </c>
      <c r="C11" s="109"/>
      <c r="D11" s="110"/>
    </row>
    <row r="12" spans="1:8" x14ac:dyDescent="0.25">
      <c r="B12" s="8"/>
      <c r="C12" s="9" t="s">
        <v>10</v>
      </c>
      <c r="D12" s="14" t="s">
        <v>11</v>
      </c>
    </row>
    <row r="13" spans="1:8" x14ac:dyDescent="0.25">
      <c r="B13" s="10" t="s">
        <v>2</v>
      </c>
      <c r="C13" s="93">
        <f>AVERAGE('Q1 (and raw data)'!$C$8:$C$59)</f>
        <v>3.4484119373229668E-3</v>
      </c>
      <c r="D13" s="87">
        <f>STDEV('Q1 (and raw data)'!$C$8:$C$59)</f>
        <v>2.4026844893101321E-2</v>
      </c>
    </row>
    <row r="14" spans="1:8" x14ac:dyDescent="0.25">
      <c r="B14" s="10" t="s">
        <v>9</v>
      </c>
      <c r="C14" s="93">
        <f>AVERAGE('Q1 (and raw data)'!$F$8:$F$59)</f>
        <v>-5.5500611042747167E-4</v>
      </c>
      <c r="D14" s="87">
        <f>STDEV('Q1 (and raw data)'!$F$8:$F$59)</f>
        <v>2.6478072593863745E-2</v>
      </c>
    </row>
    <row r="15" spans="1:8" x14ac:dyDescent="0.25">
      <c r="B15" s="10" t="s">
        <v>12</v>
      </c>
      <c r="C15" s="93">
        <f>AVERAGE('Q1 (and raw data)'!$I$8:$I$59)</f>
        <v>9.9060432394404447E-3</v>
      </c>
      <c r="D15" s="87">
        <f>STDEV('Q1 (and raw data)'!$I$8:$I$59)</f>
        <v>3.6138946273361339E-2</v>
      </c>
    </row>
    <row r="16" spans="1:8" x14ac:dyDescent="0.25">
      <c r="B16" s="10" t="s">
        <v>4</v>
      </c>
      <c r="C16" s="93">
        <f>AVERAGE('Q1 (and raw data)'!$L$8:$L$59)</f>
        <v>-2.8059024639107572E-4</v>
      </c>
      <c r="D16" s="87">
        <f>STDEV('Q1 (and raw data)'!$L$8:$L$59)</f>
        <v>7.7832682527277063E-3</v>
      </c>
    </row>
    <row r="17" spans="2:7" ht="16.5" thickBot="1" x14ac:dyDescent="0.3">
      <c r="B17" s="12" t="s">
        <v>16</v>
      </c>
      <c r="C17" s="94">
        <f>AVERAGE('Q1 (and raw data)'!$O$8:$O$59)</f>
        <v>-3.5239848793662862E-4</v>
      </c>
      <c r="D17" s="88">
        <f>STDEV('Q1 (and raw data)'!$O$8:$O$59)</f>
        <v>2.0486975152049135E-2</v>
      </c>
    </row>
    <row r="18" spans="2:7" x14ac:dyDescent="0.25">
      <c r="B18" s="9"/>
      <c r="C18" s="3"/>
      <c r="D18" s="3"/>
    </row>
    <row r="19" spans="2:7" ht="16.5" thickBot="1" x14ac:dyDescent="0.3">
      <c r="B19" s="9"/>
      <c r="C19" s="3"/>
      <c r="D19" s="3"/>
    </row>
    <row r="20" spans="2:7" ht="18.75" x14ac:dyDescent="0.3">
      <c r="B20" s="108" t="s">
        <v>22</v>
      </c>
      <c r="C20" s="109"/>
      <c r="D20" s="109"/>
      <c r="E20" s="109"/>
      <c r="F20" s="109"/>
      <c r="G20" s="110"/>
    </row>
    <row r="21" spans="2:7" x14ac:dyDescent="0.25">
      <c r="B21" s="8"/>
      <c r="C21" s="76" t="s">
        <v>2</v>
      </c>
      <c r="D21" s="76" t="s">
        <v>9</v>
      </c>
      <c r="E21" s="76" t="s">
        <v>12</v>
      </c>
      <c r="F21" s="76" t="s">
        <v>4</v>
      </c>
      <c r="G21" s="5" t="s">
        <v>16</v>
      </c>
    </row>
    <row r="22" spans="2:7" x14ac:dyDescent="0.25">
      <c r="B22" s="10" t="s">
        <v>2</v>
      </c>
      <c r="C22" s="3">
        <f>CORREL('Q1 (and raw data)'!$C$8:$C$59, 'Q1 (and raw data)'!$C$8:$C$59 )</f>
        <v>1</v>
      </c>
      <c r="D22" s="3">
        <f>C23</f>
        <v>0.24294668406723968</v>
      </c>
      <c r="E22" s="3">
        <f>C24</f>
        <v>0.39712280180086407</v>
      </c>
      <c r="F22" s="3">
        <f>C25</f>
        <v>-0.14132218717246184</v>
      </c>
      <c r="G22" s="11">
        <f>C26</f>
        <v>-0.28865861143188271</v>
      </c>
    </row>
    <row r="23" spans="2:7" x14ac:dyDescent="0.25">
      <c r="B23" s="10" t="s">
        <v>9</v>
      </c>
      <c r="C23" s="3">
        <f>CORREL('Q1 (and raw data)'!$C$8:$C$59, 'Q1 (and raw data)'!$F$8:$F$59 )</f>
        <v>0.24294668406723968</v>
      </c>
      <c r="D23" s="3">
        <v>1</v>
      </c>
      <c r="E23" s="3">
        <f>D24</f>
        <v>0.20859070952312989</v>
      </c>
      <c r="F23" s="3">
        <f>D25</f>
        <v>9.4708732559736997E-2</v>
      </c>
      <c r="G23" s="11">
        <f>D26</f>
        <v>0.12287476650368979</v>
      </c>
    </row>
    <row r="24" spans="2:7" x14ac:dyDescent="0.25">
      <c r="B24" s="10" t="s">
        <v>12</v>
      </c>
      <c r="C24" s="3">
        <f>CORREL('Q1 (and raw data)'!$C$8:$C$59, 'Q1 (and raw data)'!$I$8:$I$59 )</f>
        <v>0.39712280180086407</v>
      </c>
      <c r="D24" s="3">
        <f>CORREL('Q1 (and raw data)'!$F$8:$F$59, 'Q1 (and raw data)'!$I$8:$I$59)</f>
        <v>0.20859070952312989</v>
      </c>
      <c r="E24" s="3">
        <v>1</v>
      </c>
      <c r="F24" s="3">
        <f>E25</f>
        <v>9.6379080998970523E-2</v>
      </c>
      <c r="G24" s="11">
        <f>E26</f>
        <v>2.5992974861614688E-2</v>
      </c>
    </row>
    <row r="25" spans="2:7" x14ac:dyDescent="0.25">
      <c r="B25" s="10" t="s">
        <v>4</v>
      </c>
      <c r="C25" s="3">
        <f>CORREL('Q1 (and raw data)'!$C$8:$C$59, 'Q1 (and raw data)'!$L$8:$L$59)</f>
        <v>-0.14132218717246184</v>
      </c>
      <c r="D25" s="3">
        <f>CORREL('Q1 (and raw data)'!$F$8:$F$59, 'Q1 (and raw data)'!$L$8:$L$59)</f>
        <v>9.4708732559736997E-2</v>
      </c>
      <c r="E25" s="3">
        <f>CORREL('Q1 (and raw data)'!$I$8:$I$59, 'Q1 (and raw data)'!$L$8:$L$59)</f>
        <v>9.6379080998970523E-2</v>
      </c>
      <c r="F25" s="3">
        <v>1</v>
      </c>
      <c r="G25" s="11">
        <f>F26</f>
        <v>0.8719657806273553</v>
      </c>
    </row>
    <row r="26" spans="2:7" ht="16.5" thickBot="1" x14ac:dyDescent="0.3">
      <c r="B26" s="12" t="s">
        <v>16</v>
      </c>
      <c r="C26" s="7">
        <f>CORREL('Q1 (and raw data)'!$C$8:$C$59, 'Q1 (and raw data)'!$O$8:$O$59)</f>
        <v>-0.28865861143188271</v>
      </c>
      <c r="D26" s="7">
        <f>CORREL('Q1 (and raw data)'!$F$8:$F$59, 'Q1 (and raw data)'!$O$8:$O$59)</f>
        <v>0.12287476650368979</v>
      </c>
      <c r="E26" s="7">
        <f>CORREL('Q1 (and raw data)'!$I$8:$I$59, 'Q1 (and raw data)'!$O$8:$O$59)</f>
        <v>2.5992974861614688E-2</v>
      </c>
      <c r="F26" s="7">
        <f>CORREL('Q1 (and raw data)'!$L$8:$L$59, 'Q1 (and raw data)'!$O$8:$O$59)</f>
        <v>0.8719657806273553</v>
      </c>
      <c r="G26" s="13">
        <v>1</v>
      </c>
    </row>
    <row r="27" spans="2:7" x14ac:dyDescent="0.25">
      <c r="B27" s="9"/>
      <c r="C27" s="3"/>
      <c r="D27" s="3"/>
    </row>
    <row r="28" spans="2:7" ht="16.5" thickBot="1" x14ac:dyDescent="0.3">
      <c r="B28" s="9"/>
      <c r="C28" s="3"/>
      <c r="D28" s="3"/>
    </row>
    <row r="29" spans="2:7" ht="18.75" x14ac:dyDescent="0.3">
      <c r="B29" s="108" t="s">
        <v>15</v>
      </c>
      <c r="C29" s="109"/>
      <c r="D29" s="109"/>
      <c r="E29" s="109"/>
      <c r="F29" s="109"/>
      <c r="G29" s="110"/>
    </row>
    <row r="30" spans="2:7" x14ac:dyDescent="0.25">
      <c r="B30" s="8"/>
      <c r="C30" s="76" t="s">
        <v>2</v>
      </c>
      <c r="D30" s="76" t="s">
        <v>9</v>
      </c>
      <c r="E30" s="76" t="s">
        <v>12</v>
      </c>
      <c r="F30" s="76" t="s">
        <v>4</v>
      </c>
      <c r="G30" s="5" t="s">
        <v>16</v>
      </c>
    </row>
    <row r="31" spans="2:7" x14ac:dyDescent="0.25">
      <c r="B31" s="10" t="s">
        <v>2</v>
      </c>
      <c r="C31" s="3">
        <v>5.7728927551714906E-4</v>
      </c>
      <c r="D31" s="3">
        <v>1.5158663822101875E-4</v>
      </c>
      <c r="E31" s="3">
        <v>3.3819243333108002E-4</v>
      </c>
      <c r="F31" s="3">
        <v>-2.5920055446219592E-5</v>
      </c>
      <c r="G31" s="11">
        <v>-1.3935608471308869E-4</v>
      </c>
    </row>
    <row r="32" spans="2:7" x14ac:dyDescent="0.25">
      <c r="B32" s="10" t="s">
        <v>9</v>
      </c>
      <c r="C32" s="3">
        <v>1.5158663822101875E-4</v>
      </c>
      <c r="D32" s="3">
        <v>7.010883282859183E-4</v>
      </c>
      <c r="E32" s="3">
        <v>1.9575986090101765E-4</v>
      </c>
      <c r="F32" s="3">
        <v>1.914278953313638E-5</v>
      </c>
      <c r="G32" s="11">
        <v>6.5372297317842746E-5</v>
      </c>
    </row>
    <row r="33" spans="2:7" x14ac:dyDescent="0.25">
      <c r="B33" s="10" t="s">
        <v>12</v>
      </c>
      <c r="C33" s="3">
        <v>3.3819243333108002E-4</v>
      </c>
      <c r="D33" s="3">
        <v>1.9575986090101765E-4</v>
      </c>
      <c r="E33" s="3">
        <v>1.3060234377488974E-3</v>
      </c>
      <c r="F33" s="3">
        <v>2.6588087389163916E-5</v>
      </c>
      <c r="G33" s="11">
        <v>1.8874529973640815E-5</v>
      </c>
    </row>
    <row r="34" spans="2:7" x14ac:dyDescent="0.25">
      <c r="B34" s="10" t="s">
        <v>4</v>
      </c>
      <c r="C34" s="3">
        <v>-2.5920055446219592E-5</v>
      </c>
      <c r="D34" s="3">
        <v>1.914278953313638E-5</v>
      </c>
      <c r="E34" s="3">
        <v>2.6588087389163916E-5</v>
      </c>
      <c r="F34" s="3">
        <v>6.0579264693919002E-5</v>
      </c>
      <c r="G34" s="11">
        <v>1.3636600382981549E-4</v>
      </c>
    </row>
    <row r="35" spans="2:7" ht="16.5" thickBot="1" x14ac:dyDescent="0.3">
      <c r="B35" s="12" t="s">
        <v>16</v>
      </c>
      <c r="C35" s="7">
        <v>-1.3935608471308869E-4</v>
      </c>
      <c r="D35" s="7">
        <v>6.5372297317842746E-5</v>
      </c>
      <c r="E35" s="7">
        <v>1.8874529973640815E-5</v>
      </c>
      <c r="F35" s="7">
        <v>1.3636600382981549E-4</v>
      </c>
      <c r="G35" s="13">
        <v>4.1971615088067866E-4</v>
      </c>
    </row>
  </sheetData>
  <mergeCells count="6">
    <mergeCell ref="B29:G29"/>
    <mergeCell ref="F3:G3"/>
    <mergeCell ref="B11:D11"/>
    <mergeCell ref="B20:G20"/>
    <mergeCell ref="B6:C6"/>
    <mergeCell ref="B3:C3"/>
  </mergeCells>
  <pageMargins left="0.75" right="0.75" top="1" bottom="1" header="0.5" footer="0.5"/>
  <pageSetup paperSize="15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ffFrontier1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1924050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R54"/>
  <sheetViews>
    <sheetView topLeftCell="G1" zoomScale="70" zoomScaleNormal="70" workbookViewId="0">
      <selection activeCell="O2" sqref="O2"/>
    </sheetView>
  </sheetViews>
  <sheetFormatPr defaultColWidth="11" defaultRowHeight="15.75" x14ac:dyDescent="0.25"/>
  <cols>
    <col min="1" max="1" width="12" bestFit="1" customWidth="1"/>
    <col min="2" max="2" width="36.375" bestFit="1" customWidth="1"/>
    <col min="3" max="3" width="21.125" bestFit="1" customWidth="1"/>
    <col min="4" max="4" width="19.5" customWidth="1"/>
    <col min="5" max="5" width="15.125" bestFit="1" customWidth="1"/>
    <col min="6" max="6" width="18.25" bestFit="1" customWidth="1"/>
    <col min="7" max="7" width="16.125" bestFit="1" customWidth="1"/>
    <col min="12" max="12" width="16.125" bestFit="1" customWidth="1"/>
    <col min="13" max="13" width="14.25" bestFit="1" customWidth="1"/>
    <col min="14" max="14" width="18.25" bestFit="1" customWidth="1"/>
    <col min="15" max="15" width="14.75" bestFit="1" customWidth="1"/>
    <col min="16" max="16" width="2.25" customWidth="1"/>
    <col min="17" max="17" width="15.125" bestFit="1" customWidth="1"/>
    <col min="18" max="18" width="19.75" bestFit="1" customWidth="1"/>
    <col min="20" max="20" width="13.75" bestFit="1" customWidth="1"/>
  </cols>
  <sheetData>
    <row r="1" spans="1:7" ht="16.5" thickBot="1" x14ac:dyDescent="0.3"/>
    <row r="2" spans="1:7" ht="19.5" thickBot="1" x14ac:dyDescent="0.35">
      <c r="B2" s="98" t="s">
        <v>56</v>
      </c>
    </row>
    <row r="3" spans="1:7" ht="16.5" thickBot="1" x14ac:dyDescent="0.3"/>
    <row r="4" spans="1:7" ht="18.75" x14ac:dyDescent="0.3">
      <c r="B4" s="108" t="s">
        <v>53</v>
      </c>
      <c r="C4" s="109"/>
      <c r="D4" s="109"/>
      <c r="E4" s="109"/>
      <c r="F4" s="109"/>
      <c r="G4" s="110"/>
    </row>
    <row r="5" spans="1:7" x14ac:dyDescent="0.25">
      <c r="B5" s="8"/>
      <c r="C5" s="9" t="s">
        <v>39</v>
      </c>
      <c r="D5" s="9" t="s">
        <v>40</v>
      </c>
      <c r="E5" s="9" t="s">
        <v>41</v>
      </c>
      <c r="F5" s="9" t="s">
        <v>42</v>
      </c>
      <c r="G5" s="14" t="s">
        <v>14</v>
      </c>
    </row>
    <row r="6" spans="1:7" x14ac:dyDescent="0.25">
      <c r="A6" t="s">
        <v>31</v>
      </c>
      <c r="B6" s="10" t="s">
        <v>50</v>
      </c>
      <c r="C6" s="39">
        <v>-1</v>
      </c>
      <c r="D6" s="39">
        <v>-1</v>
      </c>
      <c r="E6" s="39">
        <v>-1</v>
      </c>
      <c r="F6" s="39">
        <v>-1</v>
      </c>
      <c r="G6" s="40">
        <v>-1</v>
      </c>
    </row>
    <row r="7" spans="1:7" x14ac:dyDescent="0.25">
      <c r="A7" t="s">
        <v>32</v>
      </c>
      <c r="B7" s="10" t="s">
        <v>51</v>
      </c>
      <c r="C7" s="107">
        <v>0.99999999999999989</v>
      </c>
      <c r="D7" s="107">
        <v>0</v>
      </c>
      <c r="E7" s="107">
        <v>1.0000000099999999</v>
      </c>
      <c r="F7" s="107">
        <v>0</v>
      </c>
      <c r="G7" s="102">
        <f>1-SUM(C7:F7)</f>
        <v>-1.0000000099999999</v>
      </c>
    </row>
    <row r="8" spans="1:7" ht="16.5" thickBot="1" x14ac:dyDescent="0.3">
      <c r="A8" t="s">
        <v>33</v>
      </c>
      <c r="B8" s="12" t="s">
        <v>52</v>
      </c>
      <c r="C8" s="41">
        <v>1</v>
      </c>
      <c r="D8" s="41">
        <v>1</v>
      </c>
      <c r="E8" s="41">
        <v>1</v>
      </c>
      <c r="F8" s="41">
        <v>1</v>
      </c>
      <c r="G8" s="42">
        <v>1</v>
      </c>
    </row>
    <row r="9" spans="1:7" x14ac:dyDescent="0.25">
      <c r="A9" s="44" t="s">
        <v>57</v>
      </c>
      <c r="B9" s="9"/>
      <c r="D9" s="24"/>
      <c r="E9" s="24"/>
      <c r="F9" s="24"/>
      <c r="G9" s="24"/>
    </row>
    <row r="10" spans="1:7" ht="16.5" thickBot="1" x14ac:dyDescent="0.3">
      <c r="D10" s="16"/>
      <c r="E10" s="16"/>
      <c r="F10" s="16"/>
      <c r="G10" s="16"/>
    </row>
    <row r="11" spans="1:7" ht="18.75" x14ac:dyDescent="0.3">
      <c r="B11" s="108" t="s">
        <v>54</v>
      </c>
      <c r="C11" s="110"/>
    </row>
    <row r="12" spans="1:7" x14ac:dyDescent="0.25">
      <c r="A12" t="s">
        <v>35</v>
      </c>
      <c r="B12" s="10" t="s">
        <v>48</v>
      </c>
      <c r="C12" s="25">
        <f>portfolioreturn(portwts1, C20:C24)</f>
        <v>1.3706853767284456E-2</v>
      </c>
    </row>
    <row r="13" spans="1:7" x14ac:dyDescent="0.25">
      <c r="A13" t="s">
        <v>34</v>
      </c>
      <c r="B13" s="10" t="s">
        <v>49</v>
      </c>
      <c r="C13" s="25">
        <f>SQRT(PortfolioVariance(portwts1,C38:G42))</f>
        <v>5.6906626143090611E-2</v>
      </c>
    </row>
    <row r="14" spans="1:7" x14ac:dyDescent="0.25">
      <c r="A14" t="s">
        <v>36</v>
      </c>
      <c r="B14" s="10" t="s">
        <v>46</v>
      </c>
      <c r="C14" s="43">
        <v>25</v>
      </c>
    </row>
    <row r="15" spans="1:7" ht="16.5" thickBot="1" x14ac:dyDescent="0.3">
      <c r="A15" t="s">
        <v>37</v>
      </c>
      <c r="B15" s="12" t="s">
        <v>47</v>
      </c>
      <c r="C15" s="95">
        <v>1.4301097821997025E-2</v>
      </c>
    </row>
    <row r="17" spans="2:18" ht="16.5" thickBot="1" x14ac:dyDescent="0.3"/>
    <row r="18" spans="2:18" ht="18.75" x14ac:dyDescent="0.3">
      <c r="B18" s="108" t="s">
        <v>21</v>
      </c>
      <c r="C18" s="109"/>
      <c r="D18" s="110"/>
    </row>
    <row r="19" spans="2:18" x14ac:dyDescent="0.25">
      <c r="B19" s="60"/>
      <c r="C19" s="76" t="s">
        <v>10</v>
      </c>
      <c r="D19" s="5" t="s">
        <v>11</v>
      </c>
    </row>
    <row r="20" spans="2:18" x14ac:dyDescent="0.25">
      <c r="B20" s="10" t="s">
        <v>2</v>
      </c>
      <c r="C20" s="93">
        <f>AVERAGE('Q1 (and raw data)'!$C$8:$C$59)</f>
        <v>3.4484119373229668E-3</v>
      </c>
      <c r="D20" s="87">
        <f>STDEV('Q1 (and raw data)'!$C$8:$C$59)</f>
        <v>2.4026844893101321E-2</v>
      </c>
    </row>
    <row r="21" spans="2:18" x14ac:dyDescent="0.25">
      <c r="B21" s="10" t="s">
        <v>9</v>
      </c>
      <c r="C21" s="93">
        <f>AVERAGE('Q1 (and raw data)'!$F$8:$F$59)</f>
        <v>-5.5500611042747167E-4</v>
      </c>
      <c r="D21" s="87">
        <f>STDEV('Q1 (and raw data)'!$F$8:$F$59)</f>
        <v>2.6478072593863745E-2</v>
      </c>
    </row>
    <row r="22" spans="2:18" x14ac:dyDescent="0.25">
      <c r="B22" s="10" t="s">
        <v>12</v>
      </c>
      <c r="C22" s="93">
        <f>AVERAGE('Q1 (and raw data)'!$I$8:$I$59)</f>
        <v>9.9060432394404447E-3</v>
      </c>
      <c r="D22" s="87">
        <f>STDEV('Q1 (and raw data)'!$I$8:$I$59)</f>
        <v>3.6138946273361339E-2</v>
      </c>
    </row>
    <row r="23" spans="2:18" x14ac:dyDescent="0.25">
      <c r="B23" s="10" t="s">
        <v>4</v>
      </c>
      <c r="C23" s="93">
        <f>AVERAGE('Q1 (and raw data)'!$L$8:$L$59)</f>
        <v>-2.8059024639107572E-4</v>
      </c>
      <c r="D23" s="87">
        <f>STDEV('Q1 (and raw data)'!$L$8:$L$59)</f>
        <v>7.7832682527277063E-3</v>
      </c>
    </row>
    <row r="24" spans="2:18" ht="16.5" thickBot="1" x14ac:dyDescent="0.3">
      <c r="B24" s="12" t="s">
        <v>16</v>
      </c>
      <c r="C24" s="94">
        <f>AVERAGE('Q1 (and raw data)'!$O$8:$O$59)</f>
        <v>-3.5239848793662862E-4</v>
      </c>
      <c r="D24" s="88">
        <f>STDEV('Q1 (and raw data)'!$O$8:$O$59)</f>
        <v>2.0486975152049135E-2</v>
      </c>
    </row>
    <row r="25" spans="2:18" x14ac:dyDescent="0.25">
      <c r="B25" s="9"/>
      <c r="C25" s="3"/>
      <c r="D25" s="3"/>
    </row>
    <row r="26" spans="2:18" ht="16.5" thickBot="1" x14ac:dyDescent="0.3">
      <c r="B26" s="9"/>
      <c r="C26" s="3"/>
      <c r="D26" s="3"/>
    </row>
    <row r="27" spans="2:18" ht="18.75" x14ac:dyDescent="0.3">
      <c r="B27" s="108" t="s">
        <v>22</v>
      </c>
      <c r="C27" s="109"/>
      <c r="D27" s="109"/>
      <c r="E27" s="109"/>
      <c r="F27" s="109"/>
      <c r="G27" s="110"/>
      <c r="K27" s="108" t="s">
        <v>55</v>
      </c>
      <c r="L27" s="109"/>
      <c r="M27" s="109"/>
      <c r="N27" s="109"/>
      <c r="O27" s="109"/>
      <c r="P27" s="109"/>
      <c r="Q27" s="109"/>
      <c r="R27" s="110"/>
    </row>
    <row r="28" spans="2:18" x14ac:dyDescent="0.25">
      <c r="B28" s="8"/>
      <c r="C28" s="76" t="s">
        <v>2</v>
      </c>
      <c r="D28" s="76" t="s">
        <v>40</v>
      </c>
      <c r="E28" s="76" t="s">
        <v>43</v>
      </c>
      <c r="F28" s="76" t="s">
        <v>42</v>
      </c>
      <c r="G28" s="5" t="s">
        <v>14</v>
      </c>
      <c r="K28" s="10" t="s">
        <v>39</v>
      </c>
      <c r="L28" s="9" t="s">
        <v>40</v>
      </c>
      <c r="M28" s="9" t="s">
        <v>41</v>
      </c>
      <c r="N28" s="9" t="s">
        <v>42</v>
      </c>
      <c r="O28" s="14" t="s">
        <v>14</v>
      </c>
      <c r="P28" s="3"/>
      <c r="Q28" s="27" t="s">
        <v>44</v>
      </c>
      <c r="R28" s="30" t="s">
        <v>45</v>
      </c>
    </row>
    <row r="29" spans="2:18" x14ac:dyDescent="0.25">
      <c r="B29" s="10" t="s">
        <v>2</v>
      </c>
      <c r="C29" s="3">
        <f>CORREL('Q1 (and raw data)'!$C$8:$C$59, 'Q1 (and raw data)'!$C$8:$C$59 )</f>
        <v>1</v>
      </c>
      <c r="D29" s="3">
        <f>C30</f>
        <v>0.24294668406723968</v>
      </c>
      <c r="E29" s="3">
        <f>C31</f>
        <v>0.39712280180086407</v>
      </c>
      <c r="F29" s="3">
        <f>C32</f>
        <v>-0.14132218717246184</v>
      </c>
      <c r="G29" s="11">
        <f>C33</f>
        <v>-0.28865861143188271</v>
      </c>
      <c r="J29" t="s">
        <v>38</v>
      </c>
      <c r="K29" s="8"/>
      <c r="L29" s="3"/>
      <c r="M29" s="3"/>
      <c r="N29" s="3"/>
      <c r="O29" s="11"/>
      <c r="P29" s="3"/>
      <c r="Q29" s="8"/>
      <c r="R29" s="11"/>
    </row>
    <row r="30" spans="2:18" x14ac:dyDescent="0.25">
      <c r="B30" s="10" t="s">
        <v>9</v>
      </c>
      <c r="C30" s="3">
        <f>CORREL('Q1 (and raw data)'!$C$8:$C$59, 'Q1 (and raw data)'!$F$8:$F$59 )</f>
        <v>0.24294668406723968</v>
      </c>
      <c r="D30" s="3">
        <v>1</v>
      </c>
      <c r="E30" s="3">
        <f>D31</f>
        <v>0.20859070952312989</v>
      </c>
      <c r="F30" s="3">
        <f>D32</f>
        <v>9.4708732559736997E-2</v>
      </c>
      <c r="G30" s="11">
        <f>D33</f>
        <v>0.12287476650368979</v>
      </c>
      <c r="K30" s="31">
        <v>0</v>
      </c>
      <c r="L30" s="32">
        <v>1</v>
      </c>
      <c r="M30" s="32">
        <v>0</v>
      </c>
      <c r="N30" s="32">
        <v>-9.9999999669808659E-9</v>
      </c>
      <c r="O30" s="29">
        <v>9.9999999392252903E-9</v>
      </c>
      <c r="P30" s="3"/>
      <c r="Q30" s="28">
        <f>portfolioreturn(K30:O30,$C$20:$C$24)</f>
        <v>-5.5500611114555406E-4</v>
      </c>
      <c r="R30" s="33">
        <f t="shared" ref="R30:R54" si="0">SQRT(PortfolioVariance(K30:O30,$C$38:$G$42))</f>
        <v>2.647807261166563E-2</v>
      </c>
    </row>
    <row r="31" spans="2:18" x14ac:dyDescent="0.25">
      <c r="B31" s="10" t="s">
        <v>12</v>
      </c>
      <c r="C31" s="3">
        <f>CORREL('Q1 (and raw data)'!$C$8:$C$59, 'Q1 (and raw data)'!$I$8:$I$59 )</f>
        <v>0.39712280180086407</v>
      </c>
      <c r="D31" s="3">
        <f>CORREL('Q1 (and raw data)'!$F$8:$F$59, 'Q1 (and raw data)'!$I$8:$I$59)</f>
        <v>0.20859070952312989</v>
      </c>
      <c r="E31" s="3">
        <v>1</v>
      </c>
      <c r="F31" s="3">
        <f>E32</f>
        <v>9.6379080998970523E-2</v>
      </c>
      <c r="G31" s="11">
        <f>E33</f>
        <v>2.5992974861614688E-2</v>
      </c>
      <c r="K31" s="31">
        <v>8.7561927893542779E-2</v>
      </c>
      <c r="L31" s="32">
        <v>6.4054810086811298E-2</v>
      </c>
      <c r="M31" s="32">
        <v>0</v>
      </c>
      <c r="N31" s="32">
        <v>1</v>
      </c>
      <c r="O31" s="29">
        <v>-0.15161673798035413</v>
      </c>
      <c r="P31" s="3"/>
      <c r="Q31" s="28">
        <f t="shared" ref="Q31:Q54" si="1">portfolioreturn(K31:O31,$C$20:$C$24)</f>
        <v>3.9238049221739389E-5</v>
      </c>
      <c r="R31" s="33">
        <f t="shared" si="0"/>
        <v>6.1198658156588117E-3</v>
      </c>
    </row>
    <row r="32" spans="2:18" x14ac:dyDescent="0.25">
      <c r="B32" s="10" t="s">
        <v>4</v>
      </c>
      <c r="C32" s="3">
        <f>CORREL('Q1 (and raw data)'!$C$8:$C$59, 'Q1 (and raw data)'!$L$8:$L$59)</f>
        <v>-0.14132218717246184</v>
      </c>
      <c r="D32" s="3">
        <f>CORREL('Q1 (and raw data)'!$F$8:$F$59, 'Q1 (and raw data)'!$L$8:$L$59)</f>
        <v>9.4708732559736997E-2</v>
      </c>
      <c r="E32" s="3">
        <f>CORREL('Q1 (and raw data)'!$I$8:$I$59, 'Q1 (and raw data)'!$L$8:$L$59)</f>
        <v>9.6379080998970523E-2</v>
      </c>
      <c r="F32" s="3">
        <v>1</v>
      </c>
      <c r="G32" s="11">
        <f>F33</f>
        <v>0.8719657806273553</v>
      </c>
      <c r="K32" s="31">
        <v>0.10547641011097436</v>
      </c>
      <c r="L32" s="32">
        <v>2.2793460555847501E-2</v>
      </c>
      <c r="M32" s="32">
        <v>5.0474989653115018E-2</v>
      </c>
      <c r="N32" s="32">
        <v>1</v>
      </c>
      <c r="O32" s="29">
        <v>-0.17874486031993686</v>
      </c>
      <c r="P32" s="3"/>
      <c r="Q32" s="28">
        <f t="shared" si="1"/>
        <v>6.3348220397255422E-4</v>
      </c>
      <c r="R32" s="33">
        <f t="shared" si="0"/>
        <v>6.4645674177331155E-3</v>
      </c>
    </row>
    <row r="33" spans="2:18" ht="16.5" thickBot="1" x14ac:dyDescent="0.3">
      <c r="B33" s="12" t="s">
        <v>16</v>
      </c>
      <c r="C33" s="7">
        <f>CORREL('Q1 (and raw data)'!$C$8:$C$59, 'Q1 (and raw data)'!$O$8:$O$59)</f>
        <v>-0.28865861143188271</v>
      </c>
      <c r="D33" s="7">
        <f>CORREL('Q1 (and raw data)'!$F$8:$F$59, 'Q1 (and raw data)'!$O$8:$O$59)</f>
        <v>0.12287476650368979</v>
      </c>
      <c r="E33" s="7">
        <f>CORREL('Q1 (and raw data)'!$I$8:$I$59, 'Q1 (and raw data)'!$O$8:$O$59)</f>
        <v>2.5992974861614688E-2</v>
      </c>
      <c r="F33" s="7">
        <f>CORREL('Q1 (and raw data)'!$L$8:$L$59, 'Q1 (and raw data)'!$O$8:$O$59)</f>
        <v>0.8719657806273553</v>
      </c>
      <c r="G33" s="13">
        <v>1</v>
      </c>
      <c r="K33" s="31">
        <v>9.9900024962112879E-2</v>
      </c>
      <c r="L33" s="32">
        <v>0</v>
      </c>
      <c r="M33" s="32">
        <v>0.11001919961872382</v>
      </c>
      <c r="N33" s="32">
        <v>1</v>
      </c>
      <c r="O33" s="29">
        <v>-0.20991922458083678</v>
      </c>
      <c r="P33" s="3"/>
      <c r="Q33" s="28">
        <f t="shared" si="1"/>
        <v>1.227736358149961E-3</v>
      </c>
      <c r="R33" s="33">
        <f t="shared" si="0"/>
        <v>7.456885233963006E-3</v>
      </c>
    </row>
    <row r="34" spans="2:18" x14ac:dyDescent="0.25">
      <c r="B34" s="9"/>
      <c r="C34" s="3"/>
      <c r="D34" s="3"/>
      <c r="K34" s="31">
        <v>9.0958575375042414E-2</v>
      </c>
      <c r="L34" s="32">
        <v>0</v>
      </c>
      <c r="M34" s="32">
        <v>0.17144203153414608</v>
      </c>
      <c r="N34" s="32">
        <v>0.9737686074017573</v>
      </c>
      <c r="O34" s="29">
        <v>-0.23616921431094573</v>
      </c>
      <c r="P34" s="3"/>
      <c r="Q34" s="28">
        <f t="shared" si="1"/>
        <v>1.8219705151015556E-3</v>
      </c>
      <c r="R34" s="33">
        <f t="shared" si="0"/>
        <v>8.9294755566638566E-3</v>
      </c>
    </row>
    <row r="35" spans="2:18" ht="16.5" thickBot="1" x14ac:dyDescent="0.3">
      <c r="K35" s="31">
        <v>0.10936293592924241</v>
      </c>
      <c r="L35" s="32">
        <v>0</v>
      </c>
      <c r="M35" s="32">
        <v>0.2233033091596851</v>
      </c>
      <c r="N35" s="32">
        <v>0.86621522854838684</v>
      </c>
      <c r="O35" s="29">
        <v>-0.19888147363731434</v>
      </c>
      <c r="P35" s="3"/>
      <c r="Q35" s="28">
        <f t="shared" si="1"/>
        <v>2.4162146759873688E-3</v>
      </c>
      <c r="R35" s="33">
        <f t="shared" si="0"/>
        <v>1.0628837286370792E-2</v>
      </c>
    </row>
    <row r="36" spans="2:18" ht="18.75" x14ac:dyDescent="0.3">
      <c r="B36" s="108" t="s">
        <v>15</v>
      </c>
      <c r="C36" s="109"/>
      <c r="D36" s="109"/>
      <c r="E36" s="109"/>
      <c r="F36" s="109"/>
      <c r="G36" s="110"/>
      <c r="K36" s="31">
        <v>0.12776758248975284</v>
      </c>
      <c r="L36" s="32">
        <v>0</v>
      </c>
      <c r="M36" s="32">
        <v>0.27516447786522324</v>
      </c>
      <c r="N36" s="32">
        <v>0.75866222337136291</v>
      </c>
      <c r="O36" s="29">
        <v>-0.16159428372633888</v>
      </c>
      <c r="P36" s="3"/>
      <c r="Q36" s="28">
        <f t="shared" si="1"/>
        <v>3.0104588334125076E-3</v>
      </c>
      <c r="R36" s="33">
        <f t="shared" si="0"/>
        <v>1.2435561874810788E-2</v>
      </c>
    </row>
    <row r="37" spans="2:18" x14ac:dyDescent="0.25">
      <c r="B37" s="8"/>
      <c r="C37" s="76" t="s">
        <v>2</v>
      </c>
      <c r="D37" s="76" t="s">
        <v>40</v>
      </c>
      <c r="E37" s="76" t="s">
        <v>43</v>
      </c>
      <c r="F37" s="76" t="s">
        <v>42</v>
      </c>
      <c r="G37" s="5" t="s">
        <v>14</v>
      </c>
      <c r="K37" s="31">
        <v>0.14617222812163636</v>
      </c>
      <c r="L37" s="32">
        <v>0</v>
      </c>
      <c r="M37" s="32">
        <v>0.3270256467845632</v>
      </c>
      <c r="N37" s="32">
        <v>0.65110923640272989</v>
      </c>
      <c r="O37" s="29">
        <v>-0.12430711130892957</v>
      </c>
      <c r="P37" s="3"/>
      <c r="Q37" s="28">
        <f t="shared" si="1"/>
        <v>3.6047029908088976E-3</v>
      </c>
      <c r="R37" s="33">
        <f t="shared" si="0"/>
        <v>1.4309038581607265E-2</v>
      </c>
    </row>
    <row r="38" spans="2:18" x14ac:dyDescent="0.25">
      <c r="B38" s="10" t="s">
        <v>2</v>
      </c>
      <c r="C38" s="3">
        <v>5.7728927551714906E-4</v>
      </c>
      <c r="D38" s="3">
        <v>1.5455892524496027E-4</v>
      </c>
      <c r="E38" s="3">
        <v>3.4482365751404241E-4</v>
      </c>
      <c r="F38" s="3">
        <v>-2.6428291827518017E-5</v>
      </c>
      <c r="G38" s="11">
        <v>-1.4208855696236494E-4</v>
      </c>
      <c r="K38" s="31">
        <v>0.16457687110180383</v>
      </c>
      <c r="L38" s="32">
        <v>0</v>
      </c>
      <c r="M38" s="32">
        <v>0.3788868169842059</v>
      </c>
      <c r="N38" s="32">
        <v>0.54355620648574754</v>
      </c>
      <c r="O38" s="29">
        <v>-8.7019894571757295E-2</v>
      </c>
      <c r="P38" s="3"/>
      <c r="Q38" s="28">
        <f t="shared" si="1"/>
        <v>4.198947148176483E-3</v>
      </c>
      <c r="R38" s="33">
        <f t="shared" si="0"/>
        <v>1.6226162208667051E-2</v>
      </c>
    </row>
    <row r="39" spans="2:18" x14ac:dyDescent="0.25">
      <c r="B39" s="10" t="s">
        <v>9</v>
      </c>
      <c r="C39" s="3">
        <v>1.5455892524496027E-4</v>
      </c>
      <c r="D39" s="3">
        <v>7.010883282859183E-4</v>
      </c>
      <c r="E39" s="3">
        <v>1.995982895461356E-4</v>
      </c>
      <c r="F39" s="3">
        <v>1.9518138347511593E-5</v>
      </c>
      <c r="G39" s="11">
        <v>6.6654107069172975E-5</v>
      </c>
      <c r="K39" s="31">
        <v>0.18298158607052578</v>
      </c>
      <c r="L39" s="32">
        <v>0</v>
      </c>
      <c r="M39" s="32">
        <v>0.43074796062973342</v>
      </c>
      <c r="N39" s="32">
        <v>0.4360031587212464</v>
      </c>
      <c r="O39" s="29">
        <v>-4.9732705421505763E-2</v>
      </c>
      <c r="P39" s="3"/>
      <c r="Q39" s="28">
        <f t="shared" si="1"/>
        <v>4.7931913054734751E-3</v>
      </c>
      <c r="R39" s="33">
        <f t="shared" si="0"/>
        <v>1.8173124767416726E-2</v>
      </c>
    </row>
    <row r="40" spans="2:18" x14ac:dyDescent="0.25">
      <c r="B40" s="10" t="s">
        <v>12</v>
      </c>
      <c r="C40" s="3">
        <v>3.4482365751404247E-4</v>
      </c>
      <c r="D40" s="3">
        <v>1.9959828954613563E-4</v>
      </c>
      <c r="E40" s="3">
        <v>1.3060234377488974E-3</v>
      </c>
      <c r="F40" s="3">
        <v>2.7109422436010262E-5</v>
      </c>
      <c r="G40" s="11">
        <v>1.924461879665338E-5</v>
      </c>
      <c r="K40" s="31">
        <v>0.20138636848333491</v>
      </c>
      <c r="L40" s="32">
        <v>0</v>
      </c>
      <c r="M40" s="32">
        <v>0.48260907954894255</v>
      </c>
      <c r="N40" s="32">
        <v>0.32845007351398936</v>
      </c>
      <c r="O40" s="29">
        <v>-1.2445521546266658E-2</v>
      </c>
      <c r="P40" s="3"/>
      <c r="Q40" s="28">
        <f t="shared" si="1"/>
        <v>5.387435462770462E-3</v>
      </c>
      <c r="R40" s="33">
        <f t="shared" si="0"/>
        <v>2.0141274947399986E-2</v>
      </c>
    </row>
    <row r="41" spans="2:18" x14ac:dyDescent="0.25">
      <c r="B41" s="10" t="s">
        <v>4</v>
      </c>
      <c r="C41" s="3">
        <v>-2.6428291827518017E-5</v>
      </c>
      <c r="D41" s="3">
        <v>1.9518138347511597E-5</v>
      </c>
      <c r="E41" s="3">
        <v>2.7109422436010262E-5</v>
      </c>
      <c r="F41" s="3">
        <v>6.0579264693919002E-5</v>
      </c>
      <c r="G41" s="11">
        <v>1.390398470421648E-4</v>
      </c>
      <c r="K41" s="31">
        <v>0.21979048230451445</v>
      </c>
      <c r="L41" s="32">
        <v>0</v>
      </c>
      <c r="M41" s="32">
        <v>0.53447043476543588</v>
      </c>
      <c r="N41" s="32">
        <v>0.22089861148954681</v>
      </c>
      <c r="O41" s="29">
        <v>2.4840471440502832E-2</v>
      </c>
      <c r="P41" s="3"/>
      <c r="Q41" s="28">
        <f t="shared" si="1"/>
        <v>5.981679619477237E-3</v>
      </c>
      <c r="R41" s="33">
        <f t="shared" si="0"/>
        <v>2.212495916422566E-2</v>
      </c>
    </row>
    <row r="42" spans="2:18" ht="16.5" thickBot="1" x14ac:dyDescent="0.3">
      <c r="B42" s="12" t="s">
        <v>16</v>
      </c>
      <c r="C42" s="7">
        <v>-1.4208855696236494E-4</v>
      </c>
      <c r="D42" s="7">
        <v>6.6654107069172988E-5</v>
      </c>
      <c r="E42" s="7">
        <v>1.924461879665338E-5</v>
      </c>
      <c r="F42" s="7">
        <v>1.390398470421648E-4</v>
      </c>
      <c r="G42" s="13">
        <v>4.1971615088067866E-4</v>
      </c>
      <c r="K42" s="31">
        <v>0.2381950307342717</v>
      </c>
      <c r="L42" s="32">
        <v>0</v>
      </c>
      <c r="M42" s="32">
        <v>0.58633163671743493</v>
      </c>
      <c r="N42" s="32">
        <v>0.11334604932266698</v>
      </c>
      <c r="O42" s="29">
        <v>6.2127283225626329E-2</v>
      </c>
      <c r="P42" s="3"/>
      <c r="Q42" s="28">
        <f t="shared" si="1"/>
        <v>6.5759237767946468E-3</v>
      </c>
      <c r="R42" s="33">
        <f t="shared" si="0"/>
        <v>2.4120345116054147E-2</v>
      </c>
    </row>
    <row r="43" spans="2:18" x14ac:dyDescent="0.25">
      <c r="K43" s="31">
        <v>0.25660034948392768</v>
      </c>
      <c r="L43" s="32">
        <v>0</v>
      </c>
      <c r="M43" s="32">
        <v>0.63819257044713695</v>
      </c>
      <c r="N43" s="32">
        <v>5.7910239950283394E-3</v>
      </c>
      <c r="O43" s="29">
        <v>9.9416056073907022E-2</v>
      </c>
      <c r="P43" s="3"/>
      <c r="Q43" s="28">
        <f t="shared" si="1"/>
        <v>7.1701679335339124E-3</v>
      </c>
      <c r="R43" s="33">
        <f t="shared" si="0"/>
        <v>2.6124751631724081E-2</v>
      </c>
    </row>
    <row r="44" spans="2:18" x14ac:dyDescent="0.25">
      <c r="K44" s="31">
        <v>0.24078503982109881</v>
      </c>
      <c r="L44" s="32">
        <v>0</v>
      </c>
      <c r="M44" s="32">
        <v>0.70202107462523144</v>
      </c>
      <c r="N44" s="32">
        <v>0</v>
      </c>
      <c r="O44" s="29">
        <v>5.7193885553669777E-2</v>
      </c>
      <c r="P44" s="3"/>
      <c r="Q44" s="28">
        <f t="shared" si="1"/>
        <v>7.76442208709552E-3</v>
      </c>
      <c r="R44" s="33">
        <f t="shared" si="0"/>
        <v>2.8154966359295742E-2</v>
      </c>
    </row>
    <row r="45" spans="2:18" x14ac:dyDescent="0.25">
      <c r="K45" s="31">
        <v>0.22302263823230023</v>
      </c>
      <c r="L45" s="32">
        <v>0</v>
      </c>
      <c r="M45" s="32">
        <v>0.76652850136136541</v>
      </c>
      <c r="N45" s="32">
        <v>0</v>
      </c>
      <c r="O45" s="29">
        <v>1.0448860406334415E-2</v>
      </c>
      <c r="P45" s="3"/>
      <c r="Q45" s="28">
        <f t="shared" si="1"/>
        <v>8.3586562441148402E-3</v>
      </c>
      <c r="R45" s="33">
        <f t="shared" si="0"/>
        <v>3.0227107580419542E-2</v>
      </c>
    </row>
    <row r="46" spans="2:18" x14ac:dyDescent="0.25">
      <c r="K46" s="31">
        <v>0.2052599378236408</v>
      </c>
      <c r="L46" s="32">
        <v>0</v>
      </c>
      <c r="M46" s="32">
        <v>0.8310370136459202</v>
      </c>
      <c r="N46" s="32">
        <v>0</v>
      </c>
      <c r="O46" s="29">
        <v>-3.6296951469561023E-2</v>
      </c>
      <c r="P46" s="3"/>
      <c r="Q46" s="28">
        <f t="shared" si="1"/>
        <v>8.9529004014117387E-3</v>
      </c>
      <c r="R46" s="33">
        <f t="shared" si="0"/>
        <v>3.2333258336798204E-2</v>
      </c>
    </row>
    <row r="47" spans="2:18" x14ac:dyDescent="0.25">
      <c r="K47" s="31">
        <v>0.18749693869589398</v>
      </c>
      <c r="L47" s="32">
        <v>0</v>
      </c>
      <c r="M47" s="32">
        <v>0.89554661141449865</v>
      </c>
      <c r="N47" s="32">
        <v>0</v>
      </c>
      <c r="O47" s="29">
        <v>-8.304355011039255E-2</v>
      </c>
      <c r="P47" s="3"/>
      <c r="Q47" s="28">
        <f t="shared" si="1"/>
        <v>9.547154558708618E-3</v>
      </c>
      <c r="R47" s="33">
        <f t="shared" si="0"/>
        <v>3.4467192531956993E-2</v>
      </c>
    </row>
    <row r="48" spans="2:18" x14ac:dyDescent="0.25">
      <c r="K48" s="31">
        <v>0.16973423826789819</v>
      </c>
      <c r="L48" s="32">
        <v>0</v>
      </c>
      <c r="M48" s="32">
        <v>0.9600551237062338</v>
      </c>
      <c r="N48" s="32">
        <v>0</v>
      </c>
      <c r="O48" s="29">
        <v>-0.12978936197413193</v>
      </c>
      <c r="P48" s="3"/>
      <c r="Q48" s="28">
        <f t="shared" si="1"/>
        <v>1.0141398716005681E-2</v>
      </c>
      <c r="R48" s="33">
        <f t="shared" si="0"/>
        <v>3.6623988507882954E-2</v>
      </c>
    </row>
    <row r="49" spans="11:18" x14ac:dyDescent="0.25">
      <c r="K49" s="31">
        <v>0.21826911720639725</v>
      </c>
      <c r="L49" s="32">
        <v>0</v>
      </c>
      <c r="M49" s="32">
        <v>1.0000000099999999</v>
      </c>
      <c r="N49" s="32">
        <v>0</v>
      </c>
      <c r="O49" s="29">
        <v>-0.21826912720639724</v>
      </c>
      <c r="P49" s="3"/>
      <c r="Q49" s="28">
        <f t="shared" si="1"/>
        <v>1.0735642878215145E-2</v>
      </c>
      <c r="R49" s="33">
        <f t="shared" si="0"/>
        <v>3.8848275452078009E-2</v>
      </c>
    </row>
    <row r="50" spans="11:18" x14ac:dyDescent="0.25">
      <c r="K50" s="31">
        <v>0.37461581457065574</v>
      </c>
      <c r="L50" s="32">
        <v>0</v>
      </c>
      <c r="M50" s="32">
        <v>1.0000000099999999</v>
      </c>
      <c r="N50" s="32">
        <v>0</v>
      </c>
      <c r="O50" s="29">
        <v>-0.37461582457065568</v>
      </c>
      <c r="P50" s="3"/>
      <c r="Q50" s="28">
        <f t="shared" si="1"/>
        <v>1.1329887035512125E-2</v>
      </c>
      <c r="R50" s="33">
        <f t="shared" si="0"/>
        <v>4.1590322297509218E-2</v>
      </c>
    </row>
    <row r="51" spans="11:18" x14ac:dyDescent="0.25">
      <c r="K51" s="31">
        <v>0.53096251193491395</v>
      </c>
      <c r="L51" s="32">
        <v>0</v>
      </c>
      <c r="M51" s="32">
        <v>1.0000000099999999</v>
      </c>
      <c r="N51" s="32">
        <v>0</v>
      </c>
      <c r="O51" s="29">
        <v>-0.53096252193491389</v>
      </c>
      <c r="P51" s="3"/>
      <c r="Q51" s="28">
        <f t="shared" si="1"/>
        <v>1.1924131192809103E-2</v>
      </c>
      <c r="R51" s="33">
        <f t="shared" si="0"/>
        <v>4.4865983847073639E-2</v>
      </c>
    </row>
    <row r="52" spans="11:18" x14ac:dyDescent="0.25">
      <c r="K52" s="31">
        <v>0.68730920929917239</v>
      </c>
      <c r="L52" s="32">
        <v>0</v>
      </c>
      <c r="M52" s="32">
        <v>1.0000000099999999</v>
      </c>
      <c r="N52" s="32">
        <v>0</v>
      </c>
      <c r="O52" s="29">
        <v>-0.68730921929917232</v>
      </c>
      <c r="P52" s="3"/>
      <c r="Q52" s="28">
        <f t="shared" si="1"/>
        <v>1.2518375350106085E-2</v>
      </c>
      <c r="R52" s="33">
        <f t="shared" si="0"/>
        <v>4.8567409843083748E-2</v>
      </c>
    </row>
    <row r="53" spans="11:18" x14ac:dyDescent="0.25">
      <c r="K53" s="31">
        <v>0.8436559066634306</v>
      </c>
      <c r="L53" s="32">
        <v>0</v>
      </c>
      <c r="M53" s="32">
        <v>1.0000000099999999</v>
      </c>
      <c r="N53" s="32">
        <v>0</v>
      </c>
      <c r="O53" s="29">
        <v>-0.84365591666343054</v>
      </c>
      <c r="P53" s="11"/>
      <c r="Q53" s="28">
        <f t="shared" si="1"/>
        <v>1.3112619507403065E-2</v>
      </c>
      <c r="R53" s="33">
        <f t="shared" si="0"/>
        <v>5.2604802876840787E-2</v>
      </c>
    </row>
    <row r="54" spans="11:18" ht="16.5" thickBot="1" x14ac:dyDescent="0.3">
      <c r="K54" s="34">
        <v>0.99999999999999989</v>
      </c>
      <c r="L54" s="35">
        <v>0</v>
      </c>
      <c r="M54" s="35">
        <v>1.0000000099999999</v>
      </c>
      <c r="N54" s="35">
        <v>0</v>
      </c>
      <c r="O54" s="36">
        <v>-1.0000000099999999</v>
      </c>
      <c r="P54" s="99"/>
      <c r="Q54" s="37">
        <f t="shared" si="1"/>
        <v>1.3706853767284456E-2</v>
      </c>
      <c r="R54" s="26">
        <f t="shared" si="0"/>
        <v>5.6906626143090611E-2</v>
      </c>
    </row>
  </sheetData>
  <mergeCells count="6">
    <mergeCell ref="K27:R27"/>
    <mergeCell ref="B36:G36"/>
    <mergeCell ref="B4:G4"/>
    <mergeCell ref="B11:C11"/>
    <mergeCell ref="B18:D18"/>
    <mergeCell ref="B27:G27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 macro="[0]!EffFrontier2">
                <anchor moveWithCells="1" sizeWithCells="1">
                  <from>
                    <xdr:col>7</xdr:col>
                    <xdr:colOff>819150</xdr:colOff>
                    <xdr:row>3</xdr:row>
                    <xdr:rowOff>19050</xdr:rowOff>
                  </from>
                  <to>
                    <xdr:col>10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54"/>
  <sheetViews>
    <sheetView topLeftCell="A2" zoomScale="70" zoomScaleNormal="70" workbookViewId="0">
      <selection activeCell="G17" sqref="G17"/>
    </sheetView>
  </sheetViews>
  <sheetFormatPr defaultColWidth="11" defaultRowHeight="15.75" x14ac:dyDescent="0.25"/>
  <cols>
    <col min="1" max="1" width="12" bestFit="1" customWidth="1"/>
    <col min="2" max="2" width="36.375" bestFit="1" customWidth="1"/>
    <col min="3" max="3" width="21.125" bestFit="1" customWidth="1"/>
    <col min="4" max="4" width="19.5" customWidth="1"/>
    <col min="5" max="5" width="15.125" bestFit="1" customWidth="1"/>
    <col min="6" max="6" width="18.25" bestFit="1" customWidth="1"/>
    <col min="7" max="7" width="16.125" bestFit="1" customWidth="1"/>
    <col min="12" max="12" width="16.125" bestFit="1" customWidth="1"/>
    <col min="13" max="13" width="14.25" bestFit="1" customWidth="1"/>
    <col min="14" max="14" width="18.25" bestFit="1" customWidth="1"/>
    <col min="15" max="15" width="14.75" bestFit="1" customWidth="1"/>
    <col min="16" max="16" width="2.25" customWidth="1"/>
    <col min="17" max="17" width="15.125" bestFit="1" customWidth="1"/>
    <col min="18" max="18" width="19.75" bestFit="1" customWidth="1"/>
    <col min="20" max="20" width="13.75" bestFit="1" customWidth="1"/>
  </cols>
  <sheetData>
    <row r="1" spans="1:7" ht="16.5" thickBot="1" x14ac:dyDescent="0.3"/>
    <row r="2" spans="1:7" ht="19.5" thickBot="1" x14ac:dyDescent="0.35">
      <c r="B2" s="98" t="s">
        <v>56</v>
      </c>
    </row>
    <row r="3" spans="1:7" ht="16.5" thickBot="1" x14ac:dyDescent="0.3"/>
    <row r="4" spans="1:7" ht="18.75" x14ac:dyDescent="0.3">
      <c r="B4" s="108" t="s">
        <v>53</v>
      </c>
      <c r="C4" s="109"/>
      <c r="D4" s="109"/>
      <c r="E4" s="109"/>
      <c r="F4" s="109"/>
      <c r="G4" s="110"/>
    </row>
    <row r="5" spans="1:7" x14ac:dyDescent="0.25">
      <c r="B5" s="8"/>
      <c r="C5" s="9" t="s">
        <v>39</v>
      </c>
      <c r="D5" s="9" t="s">
        <v>40</v>
      </c>
      <c r="E5" s="9" t="s">
        <v>41</v>
      </c>
      <c r="F5" s="9" t="s">
        <v>42</v>
      </c>
      <c r="G5" s="14" t="s">
        <v>14</v>
      </c>
    </row>
    <row r="6" spans="1:7" x14ac:dyDescent="0.25">
      <c r="A6" t="s">
        <v>31</v>
      </c>
      <c r="B6" s="10" t="s">
        <v>50</v>
      </c>
      <c r="C6" s="39">
        <v>0.05</v>
      </c>
      <c r="D6" s="39">
        <v>0.05</v>
      </c>
      <c r="E6" s="39">
        <v>0.05</v>
      </c>
      <c r="F6" s="39">
        <v>0.05</v>
      </c>
      <c r="G6" s="40">
        <v>0.05</v>
      </c>
    </row>
    <row r="7" spans="1:7" x14ac:dyDescent="0.25">
      <c r="A7" t="s">
        <v>32</v>
      </c>
      <c r="B7" s="10" t="s">
        <v>51</v>
      </c>
      <c r="C7" s="107">
        <v>0.35000000000000009</v>
      </c>
      <c r="D7" s="107">
        <v>0.05</v>
      </c>
      <c r="E7" s="107">
        <v>0.5</v>
      </c>
      <c r="F7" s="107">
        <v>0.05</v>
      </c>
      <c r="G7" s="102">
        <f>1-SUM(C7:F7)</f>
        <v>4.9999999999999822E-2</v>
      </c>
    </row>
    <row r="8" spans="1:7" ht="16.5" thickBot="1" x14ac:dyDescent="0.3">
      <c r="A8" t="s">
        <v>33</v>
      </c>
      <c r="B8" s="12" t="s">
        <v>52</v>
      </c>
      <c r="C8" s="41">
        <v>0.5</v>
      </c>
      <c r="D8" s="41">
        <v>0.5</v>
      </c>
      <c r="E8" s="41">
        <v>0.5</v>
      </c>
      <c r="F8" s="41">
        <v>0.5</v>
      </c>
      <c r="G8" s="42">
        <v>0.5</v>
      </c>
    </row>
    <row r="9" spans="1:7" x14ac:dyDescent="0.25">
      <c r="A9" s="44" t="s">
        <v>57</v>
      </c>
      <c r="B9" s="9"/>
      <c r="D9" s="24"/>
      <c r="E9" s="24"/>
      <c r="F9" s="24"/>
      <c r="G9" s="24"/>
    </row>
    <row r="10" spans="1:7" ht="16.5" thickBot="1" x14ac:dyDescent="0.3">
      <c r="D10" s="16"/>
      <c r="E10" s="16"/>
      <c r="F10" s="16"/>
      <c r="G10" s="16"/>
    </row>
    <row r="11" spans="1:7" ht="18.75" x14ac:dyDescent="0.3">
      <c r="B11" s="108" t="s">
        <v>54</v>
      </c>
      <c r="C11" s="110"/>
    </row>
    <row r="12" spans="1:7" x14ac:dyDescent="0.25">
      <c r="A12" t="s">
        <v>35</v>
      </c>
      <c r="B12" s="10" t="s">
        <v>48</v>
      </c>
      <c r="C12" s="25">
        <f>portfolioreturn(portwts1, C20:C24)</f>
        <v>6.1005660555455022E-3</v>
      </c>
    </row>
    <row r="13" spans="1:7" x14ac:dyDescent="0.25">
      <c r="A13" t="s">
        <v>34</v>
      </c>
      <c r="B13" s="10" t="s">
        <v>49</v>
      </c>
      <c r="C13" s="25">
        <f>SQRT(PortfolioVariance(portwts1,C38:G42))</f>
        <v>2.3048449047872167E-2</v>
      </c>
    </row>
    <row r="14" spans="1:7" x14ac:dyDescent="0.25">
      <c r="A14" t="s">
        <v>36</v>
      </c>
      <c r="B14" s="10" t="s">
        <v>46</v>
      </c>
      <c r="C14" s="43">
        <v>25</v>
      </c>
    </row>
    <row r="15" spans="1:7" ht="16.5" thickBot="1" x14ac:dyDescent="0.3">
      <c r="A15" t="s">
        <v>37</v>
      </c>
      <c r="B15" s="12" t="s">
        <v>47</v>
      </c>
      <c r="C15" s="95">
        <v>6.3442208611712717E-3</v>
      </c>
    </row>
    <row r="17" spans="2:18" ht="16.5" thickBot="1" x14ac:dyDescent="0.3"/>
    <row r="18" spans="2:18" ht="18.75" x14ac:dyDescent="0.3">
      <c r="B18" s="108" t="s">
        <v>21</v>
      </c>
      <c r="C18" s="109"/>
      <c r="D18" s="110"/>
    </row>
    <row r="19" spans="2:18" x14ac:dyDescent="0.25">
      <c r="B19" s="60"/>
      <c r="C19" s="76" t="s">
        <v>10</v>
      </c>
      <c r="D19" s="5" t="s">
        <v>11</v>
      </c>
    </row>
    <row r="20" spans="2:18" x14ac:dyDescent="0.25">
      <c r="B20" s="10" t="s">
        <v>2</v>
      </c>
      <c r="C20" s="93">
        <f>AVERAGE('Q1 (and raw data)'!$C$8:$C$59)</f>
        <v>3.4484119373229668E-3</v>
      </c>
      <c r="D20" s="87">
        <f>STDEV('Q1 (and raw data)'!$C$8:$C$59)</f>
        <v>2.4026844893101321E-2</v>
      </c>
    </row>
    <row r="21" spans="2:18" x14ac:dyDescent="0.25">
      <c r="B21" s="10" t="s">
        <v>9</v>
      </c>
      <c r="C21" s="93">
        <f>AVERAGE('Q1 (and raw data)'!$F$8:$F$59)</f>
        <v>-5.5500611042747167E-4</v>
      </c>
      <c r="D21" s="87">
        <f>STDEV('Q1 (and raw data)'!$F$8:$F$59)</f>
        <v>2.6478072593863745E-2</v>
      </c>
    </row>
    <row r="22" spans="2:18" x14ac:dyDescent="0.25">
      <c r="B22" s="10" t="s">
        <v>12</v>
      </c>
      <c r="C22" s="93">
        <f>AVERAGE('Q1 (and raw data)'!$I$8:$I$59)</f>
        <v>9.9060432394404447E-3</v>
      </c>
      <c r="D22" s="87">
        <f>STDEV('Q1 (and raw data)'!$I$8:$I$59)</f>
        <v>3.6138946273361339E-2</v>
      </c>
    </row>
    <row r="23" spans="2:18" x14ac:dyDescent="0.25">
      <c r="B23" s="10" t="s">
        <v>4</v>
      </c>
      <c r="C23" s="93">
        <f>AVERAGE('Q1 (and raw data)'!$L$8:$L$59)</f>
        <v>-2.8059024639107572E-4</v>
      </c>
      <c r="D23" s="87">
        <f>STDEV('Q1 (and raw data)'!$L$8:$L$59)</f>
        <v>7.7832682527277063E-3</v>
      </c>
    </row>
    <row r="24" spans="2:18" ht="16.5" thickBot="1" x14ac:dyDescent="0.3">
      <c r="B24" s="12" t="s">
        <v>16</v>
      </c>
      <c r="C24" s="94">
        <f>AVERAGE('Q1 (and raw data)'!$O$8:$O$59)</f>
        <v>-3.5239848793662862E-4</v>
      </c>
      <c r="D24" s="88">
        <f>STDEV('Q1 (and raw data)'!$O$8:$O$59)</f>
        <v>2.0486975152049135E-2</v>
      </c>
    </row>
    <row r="25" spans="2:18" x14ac:dyDescent="0.25">
      <c r="B25" s="9"/>
      <c r="C25" s="3"/>
      <c r="D25" s="3"/>
    </row>
    <row r="26" spans="2:18" ht="16.5" thickBot="1" x14ac:dyDescent="0.3">
      <c r="B26" s="9"/>
      <c r="C26" s="3"/>
      <c r="D26" s="3"/>
    </row>
    <row r="27" spans="2:18" ht="18.75" x14ac:dyDescent="0.3">
      <c r="B27" s="108" t="s">
        <v>22</v>
      </c>
      <c r="C27" s="109"/>
      <c r="D27" s="109"/>
      <c r="E27" s="109"/>
      <c r="F27" s="109"/>
      <c r="G27" s="110"/>
      <c r="K27" s="108" t="s">
        <v>55</v>
      </c>
      <c r="L27" s="109"/>
      <c r="M27" s="109"/>
      <c r="N27" s="109"/>
      <c r="O27" s="109"/>
      <c r="P27" s="109"/>
      <c r="Q27" s="109"/>
      <c r="R27" s="110"/>
    </row>
    <row r="28" spans="2:18" x14ac:dyDescent="0.25">
      <c r="B28" s="8"/>
      <c r="C28" s="76" t="s">
        <v>2</v>
      </c>
      <c r="D28" s="76" t="s">
        <v>40</v>
      </c>
      <c r="E28" s="76" t="s">
        <v>43</v>
      </c>
      <c r="F28" s="76" t="s">
        <v>42</v>
      </c>
      <c r="G28" s="5" t="s">
        <v>14</v>
      </c>
      <c r="K28" s="10" t="s">
        <v>39</v>
      </c>
      <c r="L28" s="9" t="s">
        <v>40</v>
      </c>
      <c r="M28" s="9" t="s">
        <v>41</v>
      </c>
      <c r="N28" s="9" t="s">
        <v>42</v>
      </c>
      <c r="O28" s="14" t="s">
        <v>14</v>
      </c>
      <c r="P28" s="3"/>
      <c r="Q28" s="27" t="s">
        <v>44</v>
      </c>
      <c r="R28" s="30" t="s">
        <v>45</v>
      </c>
    </row>
    <row r="29" spans="2:18" x14ac:dyDescent="0.25">
      <c r="B29" s="10" t="s">
        <v>2</v>
      </c>
      <c r="C29" s="3">
        <f>CORREL('Q1 (and raw data)'!$C$8:$C$59, 'Q1 (and raw data)'!$C$8:$C$59 )</f>
        <v>1</v>
      </c>
      <c r="D29" s="3">
        <f>C30</f>
        <v>0.24294668406723968</v>
      </c>
      <c r="E29" s="3">
        <f>C31</f>
        <v>0.39712280180086407</v>
      </c>
      <c r="F29" s="3">
        <f>C32</f>
        <v>-0.14132218717246184</v>
      </c>
      <c r="G29" s="11">
        <f>C33</f>
        <v>-0.28865861143188271</v>
      </c>
      <c r="J29" t="s">
        <v>38</v>
      </c>
      <c r="K29" s="8"/>
      <c r="L29" s="3"/>
      <c r="M29" s="3"/>
      <c r="N29" s="3"/>
      <c r="O29" s="11"/>
      <c r="P29" s="3"/>
      <c r="Q29" s="8"/>
      <c r="R29" s="11"/>
    </row>
    <row r="30" spans="2:18" x14ac:dyDescent="0.25">
      <c r="B30" s="10" t="s">
        <v>9</v>
      </c>
      <c r="C30" s="3">
        <f>CORREL('Q1 (and raw data)'!$C$8:$C$59, 'Q1 (and raw data)'!$F$8:$F$59 )</f>
        <v>0.24294668406723968</v>
      </c>
      <c r="D30" s="3">
        <v>1</v>
      </c>
      <c r="E30" s="3">
        <f>D31</f>
        <v>0.20859070952312989</v>
      </c>
      <c r="F30" s="3">
        <f>D32</f>
        <v>9.4708732559736997E-2</v>
      </c>
      <c r="G30" s="11">
        <f>D33</f>
        <v>0.12287476650368979</v>
      </c>
      <c r="K30" s="31">
        <v>0.05</v>
      </c>
      <c r="L30" s="32">
        <v>0.5</v>
      </c>
      <c r="M30" s="32">
        <v>0.05</v>
      </c>
      <c r="N30" s="32">
        <v>4.9999999999999989E-2</v>
      </c>
      <c r="O30" s="29">
        <v>0.34999999999999987</v>
      </c>
      <c r="P30" s="3"/>
      <c r="Q30" s="28">
        <f>portfolioreturn(K30:O30,$C$20:$C$24)</f>
        <v>2.5285072052706102E-4</v>
      </c>
      <c r="R30" s="33">
        <f t="shared" ref="R30:R54" si="0">SQRT(PortfolioVariance(K30:O30,$C$38:$G$42))</f>
        <v>1.6583186275194499E-2</v>
      </c>
    </row>
    <row r="31" spans="2:18" x14ac:dyDescent="0.25">
      <c r="B31" s="10" t="s">
        <v>12</v>
      </c>
      <c r="C31" s="3">
        <f>CORREL('Q1 (and raw data)'!$C$8:$C$59, 'Q1 (and raw data)'!$I$8:$I$59 )</f>
        <v>0.39712280180086407</v>
      </c>
      <c r="D31" s="3">
        <f>CORREL('Q1 (and raw data)'!$F$8:$F$59, 'Q1 (and raw data)'!$I$8:$I$59)</f>
        <v>0.20859070952312989</v>
      </c>
      <c r="E31" s="3">
        <v>1</v>
      </c>
      <c r="F31" s="3">
        <f>E32</f>
        <v>9.6379080998970523E-2</v>
      </c>
      <c r="G31" s="11">
        <f>E33</f>
        <v>2.5992974861614688E-2</v>
      </c>
      <c r="K31" s="31">
        <v>8.7494522449676121E-2</v>
      </c>
      <c r="L31" s="32">
        <v>0.16027179178855872</v>
      </c>
      <c r="M31" s="32">
        <v>0.05</v>
      </c>
      <c r="N31" s="32">
        <v>0.5</v>
      </c>
      <c r="O31" s="29">
        <v>0.20223368576176515</v>
      </c>
      <c r="P31" s="3"/>
      <c r="Q31" s="28">
        <f t="shared" ref="Q31:Q54" si="1">portfolioreturn(K31:O31,$C$20:$C$24)</f>
        <v>4.9650552559821291E-4</v>
      </c>
      <c r="R31" s="33">
        <f t="shared" si="0"/>
        <v>9.8867023341939579E-3</v>
      </c>
    </row>
    <row r="32" spans="2:18" x14ac:dyDescent="0.25">
      <c r="B32" s="10" t="s">
        <v>4</v>
      </c>
      <c r="C32" s="3">
        <f>CORREL('Q1 (and raw data)'!$C$8:$C$59, 'Q1 (and raw data)'!$L$8:$L$59)</f>
        <v>-0.14132218717246184</v>
      </c>
      <c r="D32" s="3">
        <f>CORREL('Q1 (and raw data)'!$F$8:$F$59, 'Q1 (and raw data)'!$L$8:$L$59)</f>
        <v>9.4708732559736997E-2</v>
      </c>
      <c r="E32" s="3">
        <f>CORREL('Q1 (and raw data)'!$I$8:$I$59, 'Q1 (and raw data)'!$L$8:$L$59)</f>
        <v>9.6379080998970523E-2</v>
      </c>
      <c r="F32" s="3">
        <v>1</v>
      </c>
      <c r="G32" s="11">
        <f>F33</f>
        <v>0.8719657806273553</v>
      </c>
      <c r="K32" s="31">
        <v>0.14928669147338205</v>
      </c>
      <c r="L32" s="32">
        <v>0.11686530246042504</v>
      </c>
      <c r="M32" s="32">
        <v>0.05</v>
      </c>
      <c r="N32" s="32">
        <v>0.5</v>
      </c>
      <c r="O32" s="29">
        <v>0.18384800606619289</v>
      </c>
      <c r="P32" s="3"/>
      <c r="Q32" s="28">
        <f t="shared" si="1"/>
        <v>7.4016033142636477E-4</v>
      </c>
      <c r="R32" s="33">
        <f t="shared" si="0"/>
        <v>9.3774835783665255E-3</v>
      </c>
    </row>
    <row r="33" spans="2:18" ht="16.5" thickBot="1" x14ac:dyDescent="0.3">
      <c r="B33" s="12" t="s">
        <v>16</v>
      </c>
      <c r="C33" s="7">
        <f>CORREL('Q1 (and raw data)'!$C$8:$C$59, 'Q1 (and raw data)'!$O$8:$O$59)</f>
        <v>-0.28865861143188271</v>
      </c>
      <c r="D33" s="7">
        <f>CORREL('Q1 (and raw data)'!$F$8:$F$59, 'Q1 (and raw data)'!$O$8:$O$59)</f>
        <v>0.12287476650368979</v>
      </c>
      <c r="E33" s="7">
        <f>CORREL('Q1 (and raw data)'!$I$8:$I$59, 'Q1 (and raw data)'!$O$8:$O$59)</f>
        <v>2.5992974861614688E-2</v>
      </c>
      <c r="F33" s="7">
        <f>CORREL('Q1 (and raw data)'!$L$8:$L$59, 'Q1 (and raw data)'!$O$8:$O$59)</f>
        <v>0.8719657806273553</v>
      </c>
      <c r="G33" s="13">
        <v>1</v>
      </c>
      <c r="K33" s="31">
        <v>0.21108139648491361</v>
      </c>
      <c r="L33" s="32">
        <v>7.3457031417855784E-2</v>
      </c>
      <c r="M33" s="32">
        <v>0.05</v>
      </c>
      <c r="N33" s="32">
        <v>0.5</v>
      </c>
      <c r="O33" s="29">
        <v>0.16546157209723056</v>
      </c>
      <c r="P33" s="3"/>
      <c r="Q33" s="28">
        <f t="shared" si="1"/>
        <v>9.8382513705240829E-4</v>
      </c>
      <c r="R33" s="33">
        <f t="shared" si="0"/>
        <v>9.2020256445344822E-3</v>
      </c>
    </row>
    <row r="34" spans="2:18" x14ac:dyDescent="0.25">
      <c r="B34" s="9"/>
      <c r="C34" s="3"/>
      <c r="D34" s="3"/>
      <c r="K34" s="31">
        <v>0.2413123876723666</v>
      </c>
      <c r="L34" s="32">
        <v>0.05</v>
      </c>
      <c r="M34" s="32">
        <v>6.208760208269673E-2</v>
      </c>
      <c r="N34" s="32">
        <v>0.5</v>
      </c>
      <c r="O34" s="29">
        <v>0.14660001024493663</v>
      </c>
      <c r="P34" s="3"/>
      <c r="Q34" s="28">
        <f t="shared" si="1"/>
        <v>1.2274799384789415E-3</v>
      </c>
      <c r="R34" s="33">
        <f t="shared" si="0"/>
        <v>9.346805787073361E-3</v>
      </c>
    </row>
    <row r="35" spans="2:18" ht="16.5" thickBot="1" x14ac:dyDescent="0.3">
      <c r="K35" s="31">
        <v>0.234029241021394</v>
      </c>
      <c r="L35" s="32">
        <v>0.05</v>
      </c>
      <c r="M35" s="32">
        <v>8.853768827447249E-2</v>
      </c>
      <c r="N35" s="32">
        <v>0.5</v>
      </c>
      <c r="O35" s="29">
        <v>0.12743307070413357</v>
      </c>
      <c r="P35" s="3"/>
      <c r="Q35" s="28">
        <f t="shared" si="1"/>
        <v>1.4711347466416628E-3</v>
      </c>
      <c r="R35" s="33">
        <f t="shared" si="0"/>
        <v>9.614286241411309E-3</v>
      </c>
    </row>
    <row r="36" spans="2:18" ht="18.75" x14ac:dyDescent="0.3">
      <c r="B36" s="108" t="s">
        <v>15</v>
      </c>
      <c r="C36" s="109"/>
      <c r="D36" s="109"/>
      <c r="E36" s="109"/>
      <c r="F36" s="109"/>
      <c r="G36" s="110"/>
      <c r="K36" s="31">
        <v>0.2267460944485436</v>
      </c>
      <c r="L36" s="32">
        <v>0.05</v>
      </c>
      <c r="M36" s="32">
        <v>0.11498777418999961</v>
      </c>
      <c r="N36" s="32">
        <v>0.5</v>
      </c>
      <c r="O36" s="29">
        <v>0.1082661313614568</v>
      </c>
      <c r="P36" s="3"/>
      <c r="Q36" s="28">
        <f t="shared" si="1"/>
        <v>1.7147895522674316E-3</v>
      </c>
      <c r="R36" s="33">
        <f t="shared" si="0"/>
        <v>9.9662715517191379E-3</v>
      </c>
    </row>
    <row r="37" spans="2:18" x14ac:dyDescent="0.25">
      <c r="B37" s="8"/>
      <c r="C37" s="76" t="s">
        <v>2</v>
      </c>
      <c r="D37" s="76" t="s">
        <v>40</v>
      </c>
      <c r="E37" s="76" t="s">
        <v>43</v>
      </c>
      <c r="F37" s="76" t="s">
        <v>42</v>
      </c>
      <c r="G37" s="5" t="s">
        <v>14</v>
      </c>
      <c r="K37" s="31">
        <v>0.21946294787496276</v>
      </c>
      <c r="L37" s="32">
        <v>0.05</v>
      </c>
      <c r="M37" s="32">
        <v>0.14143786010579734</v>
      </c>
      <c r="N37" s="32">
        <v>0.5</v>
      </c>
      <c r="O37" s="29">
        <v>8.9099192019239881E-2</v>
      </c>
      <c r="P37" s="3"/>
      <c r="Q37" s="28">
        <f t="shared" si="1"/>
        <v>1.9584443578932E-3</v>
      </c>
      <c r="R37" s="33">
        <f t="shared" si="0"/>
        <v>1.0394180323480891E-2</v>
      </c>
    </row>
    <row r="38" spans="2:18" x14ac:dyDescent="0.25">
      <c r="B38" s="10" t="s">
        <v>2</v>
      </c>
      <c r="C38" s="3">
        <v>5.7728927551714906E-4</v>
      </c>
      <c r="D38" s="3">
        <v>1.5158663822101875E-4</v>
      </c>
      <c r="E38" s="3">
        <v>3.3819243333108002E-4</v>
      </c>
      <c r="F38" s="3">
        <v>-2.5920055446219592E-5</v>
      </c>
      <c r="G38" s="11">
        <v>-1.3935608471308869E-4</v>
      </c>
      <c r="K38" s="31">
        <v>0.21217980130339689</v>
      </c>
      <c r="L38" s="32">
        <v>0.05</v>
      </c>
      <c r="M38" s="32">
        <v>0.16788794602084844</v>
      </c>
      <c r="N38" s="32">
        <v>0.5</v>
      </c>
      <c r="O38" s="29">
        <v>6.9932252675754647E-2</v>
      </c>
      <c r="P38" s="3"/>
      <c r="Q38" s="28">
        <f t="shared" si="1"/>
        <v>2.2020991635189674E-3</v>
      </c>
      <c r="R38" s="33">
        <f t="shared" si="0"/>
        <v>1.0889065515235351E-2</v>
      </c>
    </row>
    <row r="39" spans="2:18" x14ac:dyDescent="0.25">
      <c r="B39" s="10" t="s">
        <v>9</v>
      </c>
      <c r="C39" s="3">
        <v>1.5158663822101875E-4</v>
      </c>
      <c r="D39" s="3">
        <v>7.010883282859183E-4</v>
      </c>
      <c r="E39" s="3">
        <v>1.9575986090101765E-4</v>
      </c>
      <c r="F39" s="3">
        <v>1.914278953313638E-5</v>
      </c>
      <c r="G39" s="11">
        <v>6.5372297317842746E-5</v>
      </c>
      <c r="K39" s="31">
        <v>0.20489659137825089</v>
      </c>
      <c r="L39" s="32">
        <v>0.05</v>
      </c>
      <c r="M39" s="32">
        <v>0.19433805558921458</v>
      </c>
      <c r="N39" s="32">
        <v>0.5</v>
      </c>
      <c r="O39" s="29">
        <v>5.0765353032534488E-2</v>
      </c>
      <c r="P39" s="3"/>
      <c r="Q39" s="28">
        <f t="shared" si="1"/>
        <v>2.4457539709959409E-3</v>
      </c>
      <c r="R39" s="33">
        <f t="shared" si="0"/>
        <v>1.1442240091483475E-2</v>
      </c>
    </row>
    <row r="40" spans="2:18" x14ac:dyDescent="0.25">
      <c r="B40" s="10" t="s">
        <v>12</v>
      </c>
      <c r="C40" s="3">
        <v>3.3819243333108002E-4</v>
      </c>
      <c r="D40" s="3">
        <v>1.9575986090101765E-4</v>
      </c>
      <c r="E40" s="3">
        <v>1.3060234377488974E-3</v>
      </c>
      <c r="F40" s="3">
        <v>2.6588087389163916E-5</v>
      </c>
      <c r="G40" s="11">
        <v>1.8874529973640815E-5</v>
      </c>
      <c r="K40" s="31">
        <v>0.17164732016373563</v>
      </c>
      <c r="L40" s="32">
        <v>0.05</v>
      </c>
      <c r="M40" s="32">
        <v>0.23042224894776769</v>
      </c>
      <c r="N40" s="32">
        <v>0.4979304308884967</v>
      </c>
      <c r="O40" s="29">
        <v>5.0000000000000044E-2</v>
      </c>
      <c r="P40" s="3"/>
      <c r="Q40" s="28">
        <f t="shared" si="1"/>
        <v>2.6893987770609975E-3</v>
      </c>
      <c r="R40" s="33">
        <f t="shared" si="0"/>
        <v>1.2075632707038639E-2</v>
      </c>
    </row>
    <row r="41" spans="2:18" x14ac:dyDescent="0.25">
      <c r="B41" s="10" t="s">
        <v>4</v>
      </c>
      <c r="C41" s="3">
        <v>-2.5920055446219592E-5</v>
      </c>
      <c r="D41" s="3">
        <v>1.914278953313638E-5</v>
      </c>
      <c r="E41" s="3">
        <v>2.6588087389163916E-5</v>
      </c>
      <c r="F41" s="3">
        <v>6.0579264693919002E-5</v>
      </c>
      <c r="G41" s="11">
        <v>1.3636600382981549E-4</v>
      </c>
      <c r="K41" s="31">
        <v>0.17482238230612324</v>
      </c>
      <c r="L41" s="32">
        <v>0.05</v>
      </c>
      <c r="M41" s="32">
        <v>0.25317903057385999</v>
      </c>
      <c r="N41" s="32">
        <v>0.47199858712001674</v>
      </c>
      <c r="O41" s="29">
        <v>5.0000000000000044E-2</v>
      </c>
      <c r="P41" s="3"/>
      <c r="Q41" s="28">
        <f t="shared" si="1"/>
        <v>2.9330535844654961E-3</v>
      </c>
      <c r="R41" s="33">
        <f t="shared" si="0"/>
        <v>1.2766622485646294E-2</v>
      </c>
    </row>
    <row r="42" spans="2:18" ht="16.5" thickBot="1" x14ac:dyDescent="0.3">
      <c r="B42" s="12" t="s">
        <v>16</v>
      </c>
      <c r="C42" s="7">
        <v>-1.3935608471308869E-4</v>
      </c>
      <c r="D42" s="7">
        <v>6.5372297317842746E-5</v>
      </c>
      <c r="E42" s="7">
        <v>1.8874529973640815E-5</v>
      </c>
      <c r="F42" s="7">
        <v>1.3636600382981549E-4</v>
      </c>
      <c r="G42" s="13">
        <v>4.1971615088067866E-4</v>
      </c>
      <c r="K42" s="31">
        <v>0.17799744441028276</v>
      </c>
      <c r="L42" s="32">
        <v>0.05</v>
      </c>
      <c r="M42" s="32">
        <v>0.27593581190789684</v>
      </c>
      <c r="N42" s="32">
        <v>0.44606674368182042</v>
      </c>
      <c r="O42" s="29">
        <v>5.0000000000000044E-2</v>
      </c>
      <c r="P42" s="3"/>
      <c r="Q42" s="28">
        <f t="shared" si="1"/>
        <v>3.17670838875238E-3</v>
      </c>
      <c r="R42" s="33">
        <f t="shared" si="0"/>
        <v>1.3477452642835034E-2</v>
      </c>
    </row>
    <row r="43" spans="2:18" x14ac:dyDescent="0.25">
      <c r="K43" s="31">
        <v>0.18117250652905556</v>
      </c>
      <c r="L43" s="32">
        <v>0.05</v>
      </c>
      <c r="M43" s="32">
        <v>0.29869259336801957</v>
      </c>
      <c r="N43" s="32">
        <v>0.42013490010292492</v>
      </c>
      <c r="O43" s="29">
        <v>5.0000000000000044E-2</v>
      </c>
      <c r="P43" s="3"/>
      <c r="Q43" s="28">
        <f t="shared" si="1"/>
        <v>3.4203631943781477E-3</v>
      </c>
      <c r="R43" s="33">
        <f t="shared" si="0"/>
        <v>1.4205145044904015E-2</v>
      </c>
    </row>
    <row r="44" spans="2:18" x14ac:dyDescent="0.25">
      <c r="K44" s="31">
        <v>0.18434756865991472</v>
      </c>
      <c r="L44" s="32">
        <v>0.05</v>
      </c>
      <c r="M44" s="32">
        <v>0.32144937495515336</v>
      </c>
      <c r="N44" s="32">
        <v>0.39420305638493203</v>
      </c>
      <c r="O44" s="29">
        <v>4.9999999999999933E-2</v>
      </c>
      <c r="P44" s="3"/>
      <c r="Q44" s="28">
        <f t="shared" si="1"/>
        <v>3.6640180013428002E-3</v>
      </c>
      <c r="R44" s="33">
        <f t="shared" si="0"/>
        <v>1.4947237127184083E-2</v>
      </c>
    </row>
    <row r="45" spans="2:18" x14ac:dyDescent="0.25">
      <c r="K45" s="31">
        <v>0.18752263077112269</v>
      </c>
      <c r="L45" s="32">
        <v>0.05</v>
      </c>
      <c r="M45" s="32">
        <v>0.34420615628661005</v>
      </c>
      <c r="N45" s="32">
        <v>0.36827121294226728</v>
      </c>
      <c r="O45" s="29">
        <v>4.9999999999999933E-2</v>
      </c>
      <c r="P45" s="3"/>
      <c r="Q45" s="28">
        <f t="shared" si="1"/>
        <v>3.9076728056296854E-3</v>
      </c>
      <c r="R45" s="33">
        <f t="shared" si="0"/>
        <v>1.5701687340519462E-2</v>
      </c>
    </row>
    <row r="46" spans="2:18" x14ac:dyDescent="0.25">
      <c r="K46" s="31">
        <v>0.19069769296525835</v>
      </c>
      <c r="L46" s="32">
        <v>0.05</v>
      </c>
      <c r="M46" s="32">
        <v>0.36696293785058026</v>
      </c>
      <c r="N46" s="32">
        <v>0.34233936918416141</v>
      </c>
      <c r="O46" s="29">
        <v>5.0000000000000044E-2</v>
      </c>
      <c r="P46" s="3"/>
      <c r="Q46" s="28">
        <f t="shared" si="1"/>
        <v>4.151327612594337E-3</v>
      </c>
      <c r="R46" s="33">
        <f t="shared" si="0"/>
        <v>1.6466797170803141E-2</v>
      </c>
    </row>
    <row r="47" spans="2:18" x14ac:dyDescent="0.25">
      <c r="K47" s="31">
        <v>0.19387275500782283</v>
      </c>
      <c r="L47" s="32">
        <v>0.05</v>
      </c>
      <c r="M47" s="32">
        <v>0.38971971920716514</v>
      </c>
      <c r="N47" s="32">
        <v>0.31640752578501208</v>
      </c>
      <c r="O47" s="29">
        <v>4.9999999999999933E-2</v>
      </c>
      <c r="P47" s="3"/>
      <c r="Q47" s="28">
        <f t="shared" si="1"/>
        <v>4.3949824168812218E-3</v>
      </c>
      <c r="R47" s="33">
        <f t="shared" si="0"/>
        <v>1.7241147536362425E-2</v>
      </c>
    </row>
    <row r="48" spans="2:18" x14ac:dyDescent="0.25">
      <c r="K48" s="31">
        <v>0.197047817129513</v>
      </c>
      <c r="L48" s="32">
        <v>0.05</v>
      </c>
      <c r="M48" s="32">
        <v>0.4124765006662201</v>
      </c>
      <c r="N48" s="32">
        <v>0.29047568220426695</v>
      </c>
      <c r="O48" s="29">
        <v>5.0000000000000044E-2</v>
      </c>
      <c r="P48" s="3"/>
      <c r="Q48" s="28">
        <f t="shared" si="1"/>
        <v>4.6386372225069904E-3</v>
      </c>
      <c r="R48" s="33">
        <f t="shared" si="0"/>
        <v>1.8023547477553858E-2</v>
      </c>
    </row>
    <row r="49" spans="11:18" x14ac:dyDescent="0.25">
      <c r="K49" s="31">
        <v>0.20022287924793858</v>
      </c>
      <c r="L49" s="32">
        <v>0.05</v>
      </c>
      <c r="M49" s="32">
        <v>0.43523328212647</v>
      </c>
      <c r="N49" s="32">
        <v>0.26454383862559133</v>
      </c>
      <c r="O49" s="29">
        <v>5.0000000000000044E-2</v>
      </c>
      <c r="P49" s="3"/>
      <c r="Q49" s="28">
        <f t="shared" si="1"/>
        <v>4.882292028132759E-3</v>
      </c>
      <c r="R49" s="33">
        <f t="shared" si="0"/>
        <v>1.8812992713555635E-2</v>
      </c>
    </row>
    <row r="50" spans="11:18" x14ac:dyDescent="0.25">
      <c r="K50" s="31">
        <v>0.20339794136757564</v>
      </c>
      <c r="L50" s="32">
        <v>0.05</v>
      </c>
      <c r="M50" s="32">
        <v>0.45799006358627642</v>
      </c>
      <c r="N50" s="32">
        <v>0.23861199504614788</v>
      </c>
      <c r="O50" s="29">
        <v>5.0000000000000044E-2</v>
      </c>
      <c r="P50" s="3"/>
      <c r="Q50" s="28">
        <f t="shared" si="1"/>
        <v>5.1259468337585276E-3</v>
      </c>
      <c r="R50" s="33">
        <f t="shared" si="0"/>
        <v>1.9608632330292152E-2</v>
      </c>
    </row>
    <row r="51" spans="11:18" x14ac:dyDescent="0.25">
      <c r="K51" s="31">
        <v>0.20657300371128967</v>
      </c>
      <c r="L51" s="32">
        <v>0.05</v>
      </c>
      <c r="M51" s="32">
        <v>0.48074684509549082</v>
      </c>
      <c r="N51" s="32">
        <v>0.21268015119321948</v>
      </c>
      <c r="O51" s="29">
        <v>5.0000000000000044E-2</v>
      </c>
      <c r="P51" s="3"/>
      <c r="Q51" s="28">
        <f t="shared" si="1"/>
        <v>5.3696016407231801E-3</v>
      </c>
      <c r="R51" s="33">
        <f t="shared" si="0"/>
        <v>2.0409741912327046E-2</v>
      </c>
    </row>
    <row r="52" spans="11:18" x14ac:dyDescent="0.25">
      <c r="K52" s="31">
        <v>0.21932171469897313</v>
      </c>
      <c r="L52" s="32">
        <v>0.05</v>
      </c>
      <c r="M52" s="32">
        <v>0.5</v>
      </c>
      <c r="N52" s="32">
        <v>0.18067828530102681</v>
      </c>
      <c r="O52" s="29">
        <v>5.0000000000000044E-2</v>
      </c>
      <c r="P52" s="3"/>
      <c r="Q52" s="28">
        <f t="shared" si="1"/>
        <v>5.6132664442939658E-3</v>
      </c>
      <c r="R52" s="33">
        <f t="shared" si="0"/>
        <v>2.1215874939155006E-2</v>
      </c>
    </row>
    <row r="53" spans="11:18" x14ac:dyDescent="0.25">
      <c r="K53" s="31">
        <v>0.28519368703454057</v>
      </c>
      <c r="L53" s="32">
        <v>0.05</v>
      </c>
      <c r="M53" s="32">
        <v>0.5</v>
      </c>
      <c r="N53" s="32">
        <v>8.7206095022447777E-2</v>
      </c>
      <c r="O53" s="29">
        <v>7.760021794301164E-2</v>
      </c>
      <c r="P53" s="11"/>
      <c r="Q53" s="28">
        <f t="shared" si="1"/>
        <v>5.8569212498620861E-3</v>
      </c>
      <c r="R53" s="33">
        <f t="shared" si="0"/>
        <v>2.2081847033939641E-2</v>
      </c>
    </row>
    <row r="54" spans="11:18" ht="16.5" thickBot="1" x14ac:dyDescent="0.3">
      <c r="K54" s="34">
        <v>0.35000000000000009</v>
      </c>
      <c r="L54" s="35">
        <v>0.05</v>
      </c>
      <c r="M54" s="35">
        <v>0.5</v>
      </c>
      <c r="N54" s="35">
        <v>0.05</v>
      </c>
      <c r="O54" s="36">
        <v>4.9999999999999822E-2</v>
      </c>
      <c r="P54" s="99"/>
      <c r="Q54" s="37">
        <f t="shared" si="1"/>
        <v>6.1005660555455022E-3</v>
      </c>
      <c r="R54" s="26">
        <f t="shared" si="0"/>
        <v>2.3048449047872167E-2</v>
      </c>
    </row>
  </sheetData>
  <mergeCells count="6">
    <mergeCell ref="K27:R27"/>
    <mergeCell ref="B18:D18"/>
    <mergeCell ref="B27:G27"/>
    <mergeCell ref="B36:G36"/>
    <mergeCell ref="B4:G4"/>
    <mergeCell ref="B11:C11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EffFrontier2">
                <anchor moveWithCells="1" sizeWithCells="1">
                  <from>
                    <xdr:col>7</xdr:col>
                    <xdr:colOff>819150</xdr:colOff>
                    <xdr:row>3</xdr:row>
                    <xdr:rowOff>19050</xdr:rowOff>
                  </from>
                  <to>
                    <xdr:col>10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P59"/>
  <sheetViews>
    <sheetView zoomScale="50" zoomScaleNormal="50" workbookViewId="0">
      <selection activeCell="AD1" sqref="AD1:AP59"/>
    </sheetView>
  </sheetViews>
  <sheetFormatPr defaultRowHeight="15.75" x14ac:dyDescent="0.25"/>
  <sheetData>
    <row r="1" spans="1:42" x14ac:dyDescent="0.25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</row>
    <row r="2" spans="1:42" x14ac:dyDescent="0.25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</row>
    <row r="3" spans="1:42" x14ac:dyDescent="0.25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</row>
    <row r="4" spans="1:42" x14ac:dyDescent="0.2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</row>
    <row r="5" spans="1:42" x14ac:dyDescent="0.2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</row>
    <row r="6" spans="1:42" x14ac:dyDescent="0.2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</row>
    <row r="7" spans="1:42" x14ac:dyDescent="0.2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</row>
    <row r="8" spans="1:42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</row>
    <row r="9" spans="1:42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</row>
    <row r="10" spans="1:42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</row>
    <row r="11" spans="1:42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</row>
    <row r="12" spans="1:42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</row>
    <row r="13" spans="1:42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</row>
    <row r="14" spans="1:42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</row>
    <row r="15" spans="1:42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</row>
    <row r="16" spans="1:42" x14ac:dyDescent="0.2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</row>
    <row r="17" spans="1:42" x14ac:dyDescent="0.2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38"/>
    </row>
    <row r="18" spans="1:42" x14ac:dyDescent="0.2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</row>
    <row r="19" spans="1:42" x14ac:dyDescent="0.2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</row>
    <row r="20" spans="1:42" x14ac:dyDescent="0.2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</row>
    <row r="21" spans="1:42" x14ac:dyDescent="0.25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</row>
    <row r="22" spans="1:42" x14ac:dyDescent="0.25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</row>
    <row r="23" spans="1:42" x14ac:dyDescent="0.25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</row>
    <row r="24" spans="1:42" x14ac:dyDescent="0.25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</row>
    <row r="25" spans="1:42" x14ac:dyDescent="0.25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</row>
    <row r="26" spans="1:42" x14ac:dyDescent="0.25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38"/>
      <c r="AG26" s="38"/>
      <c r="AH26" s="38"/>
      <c r="AI26" s="38"/>
      <c r="AJ26" s="38"/>
      <c r="AK26" s="38"/>
      <c r="AL26" s="38"/>
      <c r="AM26" s="38"/>
      <c r="AN26" s="38"/>
      <c r="AO26" s="38"/>
      <c r="AP26" s="38"/>
    </row>
    <row r="27" spans="1:42" x14ac:dyDescent="0.25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38"/>
      <c r="AG27" s="38"/>
      <c r="AH27" s="38"/>
      <c r="AI27" s="38"/>
      <c r="AJ27" s="38"/>
      <c r="AK27" s="38"/>
      <c r="AL27" s="38"/>
      <c r="AM27" s="38"/>
      <c r="AN27" s="38"/>
      <c r="AO27" s="38"/>
      <c r="AP27" s="38"/>
    </row>
    <row r="28" spans="1:42" x14ac:dyDescent="0.25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</row>
    <row r="29" spans="1:42" x14ac:dyDescent="0.25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  <c r="AF29" s="38"/>
      <c r="AG29" s="38"/>
      <c r="AH29" s="38"/>
      <c r="AI29" s="38"/>
      <c r="AJ29" s="38"/>
      <c r="AK29" s="38"/>
      <c r="AL29" s="38"/>
      <c r="AM29" s="38"/>
      <c r="AN29" s="38"/>
      <c r="AO29" s="38"/>
      <c r="AP29" s="38"/>
    </row>
    <row r="30" spans="1:42" x14ac:dyDescent="0.25">
      <c r="A30" s="38"/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</row>
    <row r="31" spans="1:42" x14ac:dyDescent="0.25">
      <c r="A31" s="38"/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</row>
    <row r="32" spans="1:42" x14ac:dyDescent="0.25">
      <c r="A32" s="38"/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  <c r="AF32" s="38"/>
      <c r="AG32" s="38"/>
      <c r="AH32" s="38"/>
      <c r="AI32" s="38"/>
      <c r="AJ32" s="38"/>
      <c r="AK32" s="38"/>
      <c r="AL32" s="38"/>
      <c r="AM32" s="38"/>
      <c r="AN32" s="38"/>
      <c r="AO32" s="38"/>
      <c r="AP32" s="38"/>
    </row>
    <row r="33" spans="1:42" x14ac:dyDescent="0.25">
      <c r="A33" s="38"/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  <c r="AF33" s="38"/>
      <c r="AG33" s="38"/>
      <c r="AH33" s="38"/>
      <c r="AI33" s="38"/>
      <c r="AJ33" s="38"/>
      <c r="AK33" s="38"/>
      <c r="AL33" s="38"/>
      <c r="AM33" s="38"/>
      <c r="AN33" s="38"/>
      <c r="AO33" s="38"/>
      <c r="AP33" s="38"/>
    </row>
    <row r="34" spans="1:42" x14ac:dyDescent="0.25">
      <c r="A34" s="38"/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8"/>
      <c r="AJ34" s="38"/>
      <c r="AK34" s="38"/>
      <c r="AL34" s="38"/>
      <c r="AM34" s="38"/>
      <c r="AN34" s="38"/>
      <c r="AO34" s="38"/>
      <c r="AP34" s="38"/>
    </row>
    <row r="35" spans="1:42" x14ac:dyDescent="0.25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I35" s="38"/>
      <c r="AJ35" s="38"/>
      <c r="AK35" s="38"/>
      <c r="AL35" s="38"/>
      <c r="AM35" s="38"/>
      <c r="AN35" s="38"/>
      <c r="AO35" s="38"/>
      <c r="AP35" s="38"/>
    </row>
    <row r="36" spans="1:42" x14ac:dyDescent="0.25">
      <c r="A36" s="38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38"/>
      <c r="AP36" s="38"/>
    </row>
    <row r="37" spans="1:42" x14ac:dyDescent="0.25">
      <c r="A37" s="38"/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38"/>
      <c r="AP37" s="38"/>
    </row>
    <row r="38" spans="1:42" x14ac:dyDescent="0.25">
      <c r="A38" s="38"/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</row>
    <row r="39" spans="1:42" x14ac:dyDescent="0.25">
      <c r="A39" s="38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38"/>
      <c r="AP39" s="38"/>
    </row>
    <row r="40" spans="1:42" x14ac:dyDescent="0.25">
      <c r="A40" s="38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/>
    </row>
    <row r="41" spans="1:42" x14ac:dyDescent="0.25">
      <c r="A41" s="38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8"/>
      <c r="AJ41" s="38"/>
      <c r="AK41" s="38"/>
      <c r="AL41" s="38"/>
      <c r="AM41" s="38"/>
      <c r="AN41" s="38"/>
      <c r="AO41" s="38"/>
      <c r="AP41" s="38"/>
    </row>
    <row r="42" spans="1:42" x14ac:dyDescent="0.25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AL42" s="38"/>
      <c r="AM42" s="38"/>
      <c r="AN42" s="38"/>
      <c r="AO42" s="38"/>
      <c r="AP42" s="38"/>
    </row>
    <row r="43" spans="1:42" x14ac:dyDescent="0.25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</row>
    <row r="44" spans="1:42" x14ac:dyDescent="0.25">
      <c r="A44" s="38"/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  <c r="AF44" s="38"/>
      <c r="AG44" s="38"/>
      <c r="AH44" s="38"/>
      <c r="AI44" s="38"/>
      <c r="AJ44" s="38"/>
      <c r="AK44" s="38"/>
      <c r="AL44" s="38"/>
      <c r="AM44" s="38"/>
      <c r="AN44" s="38"/>
      <c r="AO44" s="38"/>
      <c r="AP44" s="38"/>
    </row>
    <row r="45" spans="1:42" x14ac:dyDescent="0.25">
      <c r="A45" s="38"/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  <c r="AF45" s="38"/>
      <c r="AG45" s="38"/>
      <c r="AH45" s="38"/>
      <c r="AI45" s="38"/>
      <c r="AJ45" s="38"/>
      <c r="AK45" s="38"/>
      <c r="AL45" s="38"/>
      <c r="AM45" s="38"/>
      <c r="AN45" s="38"/>
      <c r="AO45" s="38"/>
      <c r="AP45" s="38"/>
    </row>
    <row r="46" spans="1:42" x14ac:dyDescent="0.25">
      <c r="A46" s="38"/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8"/>
      <c r="AG46" s="38"/>
      <c r="AH46" s="38"/>
      <c r="AI46" s="38"/>
      <c r="AJ46" s="38"/>
      <c r="AK46" s="38"/>
      <c r="AL46" s="38"/>
      <c r="AM46" s="38"/>
      <c r="AN46" s="38"/>
      <c r="AO46" s="38"/>
      <c r="AP46" s="38"/>
    </row>
    <row r="47" spans="1:42" x14ac:dyDescent="0.25">
      <c r="A47" s="38"/>
      <c r="B47" s="38"/>
      <c r="C47" s="38"/>
      <c r="D47" s="38"/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  <c r="AF47" s="38"/>
      <c r="AG47" s="38"/>
      <c r="AH47" s="38"/>
      <c r="AI47" s="38"/>
      <c r="AJ47" s="38"/>
      <c r="AK47" s="38"/>
      <c r="AL47" s="38"/>
      <c r="AM47" s="38"/>
      <c r="AN47" s="38"/>
      <c r="AO47" s="38"/>
      <c r="AP47" s="38"/>
    </row>
    <row r="48" spans="1:42" x14ac:dyDescent="0.25">
      <c r="A48" s="38"/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  <c r="AF48" s="38"/>
      <c r="AG48" s="38"/>
      <c r="AH48" s="38"/>
      <c r="AI48" s="38"/>
      <c r="AJ48" s="38"/>
      <c r="AK48" s="38"/>
      <c r="AL48" s="38"/>
      <c r="AM48" s="38"/>
      <c r="AN48" s="38"/>
      <c r="AO48" s="38"/>
      <c r="AP48" s="38"/>
    </row>
    <row r="49" spans="1:42" x14ac:dyDescent="0.25">
      <c r="A49" s="38"/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8"/>
      <c r="AG49" s="38"/>
      <c r="AH49" s="38"/>
      <c r="AI49" s="38"/>
      <c r="AJ49" s="38"/>
      <c r="AK49" s="38"/>
      <c r="AL49" s="38"/>
      <c r="AM49" s="38"/>
      <c r="AN49" s="38"/>
      <c r="AO49" s="38"/>
      <c r="AP49" s="38"/>
    </row>
    <row r="50" spans="1:42" x14ac:dyDescent="0.25">
      <c r="A50" s="38"/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  <c r="AF50" s="38"/>
      <c r="AG50" s="38"/>
      <c r="AH50" s="38"/>
      <c r="AI50" s="38"/>
      <c r="AJ50" s="38"/>
      <c r="AK50" s="38"/>
      <c r="AL50" s="38"/>
      <c r="AM50" s="38"/>
      <c r="AN50" s="38"/>
      <c r="AO50" s="38"/>
      <c r="AP50" s="38"/>
    </row>
    <row r="51" spans="1:42" x14ac:dyDescent="0.25">
      <c r="A51" s="38"/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  <c r="AF51" s="38"/>
      <c r="AG51" s="38"/>
      <c r="AH51" s="38"/>
      <c r="AI51" s="38"/>
      <c r="AJ51" s="38"/>
      <c r="AK51" s="38"/>
      <c r="AL51" s="38"/>
      <c r="AM51" s="38"/>
      <c r="AN51" s="38"/>
      <c r="AO51" s="38"/>
      <c r="AP51" s="38"/>
    </row>
    <row r="52" spans="1:42" x14ac:dyDescent="0.25">
      <c r="A52" s="38"/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8"/>
      <c r="AG52" s="38"/>
      <c r="AH52" s="38"/>
      <c r="AI52" s="38"/>
      <c r="AJ52" s="38"/>
      <c r="AK52" s="38"/>
      <c r="AL52" s="38"/>
      <c r="AM52" s="38"/>
      <c r="AN52" s="38"/>
      <c r="AO52" s="38"/>
      <c r="AP52" s="38"/>
    </row>
    <row r="53" spans="1:42" x14ac:dyDescent="0.25">
      <c r="A53" s="38"/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  <c r="AF53" s="38"/>
      <c r="AG53" s="38"/>
      <c r="AH53" s="38"/>
      <c r="AI53" s="38"/>
      <c r="AJ53" s="38"/>
      <c r="AK53" s="38"/>
      <c r="AL53" s="38"/>
      <c r="AM53" s="38"/>
      <c r="AN53" s="38"/>
      <c r="AO53" s="38"/>
      <c r="AP53" s="38"/>
    </row>
    <row r="54" spans="1:42" x14ac:dyDescent="0.25">
      <c r="A54" s="38"/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  <c r="AF54" s="38"/>
      <c r="AG54" s="38"/>
      <c r="AH54" s="38"/>
      <c r="AI54" s="38"/>
      <c r="AJ54" s="38"/>
      <c r="AK54" s="38"/>
      <c r="AL54" s="38"/>
      <c r="AM54" s="38"/>
      <c r="AN54" s="38"/>
      <c r="AO54" s="38"/>
      <c r="AP54" s="38"/>
    </row>
    <row r="55" spans="1:42" x14ac:dyDescent="0.25">
      <c r="A55" s="38"/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8"/>
      <c r="AG55" s="38"/>
      <c r="AH55" s="38"/>
      <c r="AI55" s="38"/>
      <c r="AJ55" s="38"/>
      <c r="AK55" s="38"/>
      <c r="AL55" s="38"/>
      <c r="AM55" s="38"/>
      <c r="AN55" s="38"/>
      <c r="AO55" s="38"/>
      <c r="AP55" s="38"/>
    </row>
    <row r="56" spans="1:42" x14ac:dyDescent="0.25">
      <c r="A56" s="38"/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  <c r="AF56" s="38"/>
      <c r="AG56" s="38"/>
      <c r="AH56" s="38"/>
      <c r="AI56" s="38"/>
      <c r="AJ56" s="38"/>
      <c r="AK56" s="38"/>
      <c r="AL56" s="38"/>
      <c r="AM56" s="38"/>
      <c r="AN56" s="38"/>
      <c r="AO56" s="38"/>
      <c r="AP56" s="38"/>
    </row>
    <row r="57" spans="1:42" x14ac:dyDescent="0.25">
      <c r="A57" s="38"/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  <c r="AF57" s="38"/>
      <c r="AG57" s="38"/>
      <c r="AH57" s="38"/>
      <c r="AI57" s="38"/>
      <c r="AJ57" s="38"/>
      <c r="AK57" s="38"/>
      <c r="AL57" s="38"/>
      <c r="AM57" s="38"/>
      <c r="AN57" s="38"/>
      <c r="AO57" s="38"/>
      <c r="AP57" s="38"/>
    </row>
    <row r="58" spans="1:42" x14ac:dyDescent="0.25">
      <c r="A58" s="38"/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8"/>
      <c r="AG58" s="38"/>
      <c r="AH58" s="38"/>
      <c r="AI58" s="38"/>
      <c r="AJ58" s="38"/>
      <c r="AK58" s="38"/>
      <c r="AL58" s="38"/>
      <c r="AM58" s="38"/>
      <c r="AN58" s="38"/>
      <c r="AO58" s="38"/>
      <c r="AP58" s="38"/>
    </row>
    <row r="59" spans="1:42" x14ac:dyDescent="0.25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  <c r="AG59" s="38"/>
      <c r="AH59" s="38"/>
      <c r="AI59" s="38"/>
      <c r="AJ59" s="38"/>
      <c r="AK59" s="38"/>
      <c r="AL59" s="38"/>
      <c r="AM59" s="38"/>
      <c r="AN59" s="38"/>
      <c r="AO59" s="38"/>
      <c r="AP59" s="38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O21"/>
  <sheetViews>
    <sheetView workbookViewId="0">
      <selection sqref="A1:O21"/>
    </sheetView>
  </sheetViews>
  <sheetFormatPr defaultRowHeight="15.75" x14ac:dyDescent="0.25"/>
  <sheetData>
    <row r="1" spans="1:15" ht="15.75" customHeight="1" x14ac:dyDescent="0.25">
      <c r="A1" s="127" t="s">
        <v>93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</row>
    <row r="2" spans="1:15" ht="15.75" customHeight="1" x14ac:dyDescent="0.25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</row>
    <row r="3" spans="1:15" ht="15.75" customHeight="1" x14ac:dyDescent="0.25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</row>
    <row r="4" spans="1:15" ht="15.75" customHeight="1" x14ac:dyDescent="0.25">
      <c r="A4" s="127"/>
      <c r="B4" s="127"/>
      <c r="C4" s="127"/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</row>
    <row r="5" spans="1:15" ht="15.75" customHeight="1" x14ac:dyDescent="0.25">
      <c r="A5" s="127"/>
      <c r="B5" s="127"/>
      <c r="C5" s="127"/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</row>
    <row r="6" spans="1:15" ht="15.75" customHeight="1" x14ac:dyDescent="0.25">
      <c r="A6" s="127"/>
      <c r="B6" s="127"/>
      <c r="C6" s="127"/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</row>
    <row r="7" spans="1:15" ht="15.75" customHeight="1" x14ac:dyDescent="0.25">
      <c r="A7" s="127"/>
      <c r="B7" s="127"/>
      <c r="C7" s="127"/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</row>
    <row r="8" spans="1:15" ht="15.75" customHeight="1" x14ac:dyDescent="0.25">
      <c r="A8" s="127"/>
      <c r="B8" s="127"/>
      <c r="C8" s="127"/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</row>
    <row r="9" spans="1:15" ht="15.75" customHeight="1" x14ac:dyDescent="0.25">
      <c r="A9" s="127"/>
      <c r="B9" s="127"/>
      <c r="C9" s="127"/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</row>
    <row r="10" spans="1:15" ht="15.75" customHeight="1" x14ac:dyDescent="0.25">
      <c r="A10" s="127"/>
      <c r="B10" s="127"/>
      <c r="C10" s="127"/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</row>
    <row r="11" spans="1:15" ht="15.75" customHeight="1" x14ac:dyDescent="0.25">
      <c r="A11" s="127"/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</row>
    <row r="12" spans="1:15" ht="15.75" customHeight="1" x14ac:dyDescent="0.25">
      <c r="A12" s="127"/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</row>
    <row r="13" spans="1:15" ht="15.75" customHeight="1" x14ac:dyDescent="0.25">
      <c r="A13" s="127"/>
      <c r="B13" s="127"/>
      <c r="C13" s="127"/>
      <c r="D13" s="127"/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</row>
    <row r="14" spans="1:15" ht="15.75" customHeight="1" x14ac:dyDescent="0.25">
      <c r="A14" s="127"/>
      <c r="B14" s="127"/>
      <c r="C14" s="127"/>
      <c r="D14" s="127"/>
      <c r="E14" s="127"/>
      <c r="F14" s="127"/>
      <c r="G14" s="127"/>
      <c r="H14" s="127"/>
      <c r="I14" s="127"/>
      <c r="J14" s="127"/>
      <c r="K14" s="127"/>
      <c r="L14" s="127"/>
      <c r="M14" s="127"/>
      <c r="N14" s="127"/>
      <c r="O14" s="127"/>
    </row>
    <row r="15" spans="1:15" ht="15.75" customHeight="1" x14ac:dyDescent="0.25">
      <c r="A15" s="127"/>
      <c r="B15" s="127"/>
      <c r="C15" s="127"/>
      <c r="D15" s="127"/>
      <c r="E15" s="127"/>
      <c r="F15" s="127"/>
      <c r="G15" s="127"/>
      <c r="H15" s="127"/>
      <c r="I15" s="127"/>
      <c r="J15" s="127"/>
      <c r="K15" s="127"/>
      <c r="L15" s="127"/>
      <c r="M15" s="127"/>
      <c r="N15" s="127"/>
      <c r="O15" s="127"/>
    </row>
    <row r="16" spans="1:15" ht="15.75" customHeight="1" x14ac:dyDescent="0.25">
      <c r="A16" s="127"/>
      <c r="B16" s="127"/>
      <c r="C16" s="127"/>
      <c r="D16" s="127"/>
      <c r="E16" s="127"/>
      <c r="F16" s="127"/>
      <c r="G16" s="127"/>
      <c r="H16" s="127"/>
      <c r="I16" s="127"/>
      <c r="J16" s="127"/>
      <c r="K16" s="127"/>
      <c r="L16" s="127"/>
      <c r="M16" s="127"/>
      <c r="N16" s="127"/>
      <c r="O16" s="127"/>
    </row>
    <row r="17" spans="1:15" ht="15.75" customHeight="1" x14ac:dyDescent="0.25">
      <c r="A17" s="127"/>
      <c r="B17" s="127"/>
      <c r="C17" s="127"/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</row>
    <row r="18" spans="1:15" ht="15.75" customHeight="1" x14ac:dyDescent="0.25">
      <c r="A18" s="127"/>
      <c r="B18" s="127"/>
      <c r="C18" s="127"/>
      <c r="D18" s="127"/>
      <c r="E18" s="127"/>
      <c r="F18" s="127"/>
      <c r="G18" s="127"/>
      <c r="H18" s="127"/>
      <c r="I18" s="127"/>
      <c r="J18" s="127"/>
      <c r="K18" s="127"/>
      <c r="L18" s="127"/>
      <c r="M18" s="127"/>
      <c r="N18" s="127"/>
      <c r="O18" s="127"/>
    </row>
    <row r="19" spans="1:15" ht="15.75" customHeight="1" x14ac:dyDescent="0.25">
      <c r="A19" s="127"/>
      <c r="B19" s="127"/>
      <c r="C19" s="127"/>
      <c r="D19" s="127"/>
      <c r="E19" s="127"/>
      <c r="F19" s="127"/>
      <c r="G19" s="127"/>
      <c r="H19" s="127"/>
      <c r="I19" s="127"/>
      <c r="J19" s="127"/>
      <c r="K19" s="127"/>
      <c r="L19" s="127"/>
      <c r="M19" s="127"/>
      <c r="N19" s="127"/>
      <c r="O19" s="127"/>
    </row>
    <row r="20" spans="1:15" x14ac:dyDescent="0.25">
      <c r="A20" s="127"/>
      <c r="B20" s="127"/>
      <c r="C20" s="127"/>
      <c r="D20" s="127"/>
      <c r="E20" s="127"/>
      <c r="F20" s="127"/>
      <c r="G20" s="127"/>
      <c r="H20" s="127"/>
      <c r="I20" s="127"/>
      <c r="J20" s="127"/>
      <c r="K20" s="127"/>
      <c r="L20" s="127"/>
      <c r="M20" s="127"/>
      <c r="N20" s="127"/>
      <c r="O20" s="127"/>
    </row>
    <row r="21" spans="1:15" x14ac:dyDescent="0.25">
      <c r="A21" s="127"/>
      <c r="B21" s="127"/>
      <c r="C21" s="127"/>
      <c r="D21" s="127"/>
      <c r="E21" s="127"/>
      <c r="F21" s="127"/>
      <c r="G21" s="127"/>
      <c r="H21" s="127"/>
      <c r="I21" s="127"/>
      <c r="J21" s="127"/>
      <c r="K21" s="127"/>
      <c r="L21" s="127"/>
      <c r="M21" s="127"/>
      <c r="N21" s="127"/>
      <c r="O21" s="127"/>
    </row>
  </sheetData>
  <mergeCells count="1">
    <mergeCell ref="A1:O2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S366"/>
  <sheetViews>
    <sheetView workbookViewId="0">
      <pane ySplit="5" topLeftCell="A6" activePane="bottomLeft" state="frozen"/>
      <selection pane="bottomLeft" activeCell="H16" sqref="H16"/>
    </sheetView>
  </sheetViews>
  <sheetFormatPr defaultRowHeight="15.75" x14ac:dyDescent="0.25"/>
  <cols>
    <col min="1" max="1" width="10.625" bestFit="1" customWidth="1"/>
    <col min="2" max="2" width="9.875" bestFit="1" customWidth="1"/>
    <col min="3" max="3" width="16.75" bestFit="1" customWidth="1"/>
    <col min="4" max="4" width="0.75" customWidth="1"/>
    <col min="5" max="5" width="9.875" bestFit="1" customWidth="1"/>
    <col min="6" max="6" width="16.75" bestFit="1" customWidth="1"/>
    <col min="7" max="7" width="1" customWidth="1"/>
    <col min="8" max="8" width="27.875" bestFit="1" customWidth="1"/>
    <col min="9" max="9" width="1.375" customWidth="1"/>
    <col min="10" max="10" width="16.375" customWidth="1"/>
  </cols>
  <sheetData>
    <row r="1" spans="1:19" x14ac:dyDescent="0.25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</row>
    <row r="2" spans="1:19" ht="16.5" thickBot="1" x14ac:dyDescent="0.3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</row>
    <row r="3" spans="1:19" ht="18.75" x14ac:dyDescent="0.3">
      <c r="A3" s="38"/>
      <c r="B3" s="108" t="s">
        <v>63</v>
      </c>
      <c r="C3" s="110"/>
      <c r="D3" s="38"/>
      <c r="E3" s="108" t="s">
        <v>66</v>
      </c>
      <c r="F3" s="110"/>
      <c r="G3" s="38"/>
      <c r="H3" s="108" t="s">
        <v>59</v>
      </c>
      <c r="I3" s="109"/>
      <c r="J3" s="110"/>
      <c r="K3" s="38"/>
      <c r="L3" s="38"/>
      <c r="M3" s="38"/>
      <c r="N3" s="38"/>
      <c r="O3" s="38"/>
      <c r="P3" s="38"/>
      <c r="Q3" s="38"/>
      <c r="R3" s="38"/>
      <c r="S3" s="38"/>
    </row>
    <row r="4" spans="1:19" ht="16.5" thickBot="1" x14ac:dyDescent="0.3">
      <c r="A4" s="38"/>
      <c r="B4" s="112" t="s">
        <v>64</v>
      </c>
      <c r="C4" s="113"/>
      <c r="D4" s="38"/>
      <c r="E4" s="114" t="s">
        <v>65</v>
      </c>
      <c r="F4" s="115"/>
      <c r="G4" s="38"/>
      <c r="H4" s="58" t="s">
        <v>60</v>
      </c>
      <c r="I4" s="68"/>
      <c r="J4" s="59" t="s">
        <v>67</v>
      </c>
      <c r="K4" s="38"/>
      <c r="L4" s="38"/>
      <c r="M4" s="38"/>
      <c r="N4" s="38"/>
      <c r="O4" s="38"/>
      <c r="P4" s="38"/>
      <c r="Q4" s="38"/>
      <c r="R4" s="38"/>
      <c r="S4" s="38"/>
    </row>
    <row r="5" spans="1:19" x14ac:dyDescent="0.25">
      <c r="A5" s="97" t="s">
        <v>0</v>
      </c>
      <c r="B5" s="4" t="s">
        <v>61</v>
      </c>
      <c r="C5" s="5" t="s">
        <v>62</v>
      </c>
      <c r="D5" s="64"/>
      <c r="E5" s="4" t="s">
        <v>61</v>
      </c>
      <c r="F5" s="5" t="s">
        <v>62</v>
      </c>
      <c r="G5" s="64"/>
      <c r="H5" s="65" t="s">
        <v>62</v>
      </c>
      <c r="I5" s="69"/>
      <c r="J5" s="66" t="s">
        <v>62</v>
      </c>
      <c r="K5" s="38"/>
      <c r="L5" s="38"/>
      <c r="M5" s="38"/>
      <c r="N5" s="38"/>
      <c r="O5" s="38"/>
      <c r="P5" s="38"/>
      <c r="Q5" s="38"/>
      <c r="R5" s="38"/>
      <c r="S5" s="38"/>
    </row>
    <row r="6" spans="1:19" x14ac:dyDescent="0.25">
      <c r="A6" s="67">
        <v>41274</v>
      </c>
      <c r="B6" s="8">
        <v>3570.3652999999999</v>
      </c>
      <c r="C6" s="75" t="s">
        <v>5</v>
      </c>
      <c r="D6" s="38"/>
      <c r="E6" s="8">
        <v>1078.9536000000001</v>
      </c>
      <c r="F6" s="75" t="s">
        <v>5</v>
      </c>
      <c r="G6" s="38"/>
      <c r="H6" s="70">
        <v>-6.3786621004115001E-4</v>
      </c>
      <c r="I6" s="72"/>
      <c r="J6" s="53">
        <v>-4.3534181807699697E-3</v>
      </c>
      <c r="K6" s="38"/>
      <c r="L6" s="38"/>
      <c r="M6" s="38"/>
      <c r="N6" s="38"/>
      <c r="O6" s="38"/>
      <c r="P6" s="38"/>
      <c r="Q6" s="38"/>
      <c r="R6" s="38"/>
      <c r="S6" s="38"/>
    </row>
    <row r="7" spans="1:19" x14ac:dyDescent="0.25">
      <c r="A7" s="67">
        <v>41305</v>
      </c>
      <c r="B7" s="8">
        <v>3755.2073</v>
      </c>
      <c r="C7" s="53">
        <f t="shared" ref="C7:C42" si="0">B7/B6-1</f>
        <v>5.1771173106572643E-2</v>
      </c>
      <c r="D7" s="38"/>
      <c r="E7" s="8">
        <v>1146.4820999999999</v>
      </c>
      <c r="F7" s="53">
        <f t="shared" ref="F7:F42" si="1">E7/E6-1</f>
        <v>6.2587028765648478E-2</v>
      </c>
      <c r="G7" s="38"/>
      <c r="H7" s="70">
        <v>-8.8959383230117796E-3</v>
      </c>
      <c r="I7" s="72"/>
      <c r="J7" s="53">
        <v>-8.0725604816361592E-3</v>
      </c>
      <c r="K7" s="38"/>
      <c r="L7" s="38"/>
      <c r="M7" s="38"/>
      <c r="N7" s="38"/>
      <c r="O7" s="38"/>
      <c r="P7" s="38"/>
      <c r="Q7" s="38"/>
      <c r="R7" s="38"/>
      <c r="S7" s="38"/>
    </row>
    <row r="8" spans="1:19" x14ac:dyDescent="0.25">
      <c r="A8" s="67">
        <v>41333</v>
      </c>
      <c r="B8" s="8">
        <v>3806.1453000000001</v>
      </c>
      <c r="C8" s="53">
        <f t="shared" si="0"/>
        <v>1.3564630639698594E-2</v>
      </c>
      <c r="D8" s="38"/>
      <c r="E8" s="8">
        <v>1159.1298999999999</v>
      </c>
      <c r="F8" s="53">
        <f t="shared" si="1"/>
        <v>1.10318338158093E-2</v>
      </c>
      <c r="G8" s="38"/>
      <c r="H8" s="70">
        <v>7.6992294271155705E-3</v>
      </c>
      <c r="I8" s="72"/>
      <c r="J8" s="53">
        <v>5.2852306598196001E-3</v>
      </c>
      <c r="K8" s="38"/>
      <c r="L8" s="38"/>
      <c r="M8" s="38"/>
      <c r="N8" s="38"/>
      <c r="O8" s="38"/>
      <c r="P8" s="38"/>
      <c r="Q8" s="38"/>
      <c r="R8" s="38"/>
      <c r="S8" s="38"/>
    </row>
    <row r="9" spans="1:19" x14ac:dyDescent="0.25">
      <c r="A9" s="67">
        <v>41362</v>
      </c>
      <c r="B9" s="8">
        <v>3948.8292000000001</v>
      </c>
      <c r="C9" s="53">
        <f t="shared" si="0"/>
        <v>3.7487770106937379E-2</v>
      </c>
      <c r="D9" s="38"/>
      <c r="E9" s="8">
        <v>1212.6419000000001</v>
      </c>
      <c r="F9" s="53">
        <f t="shared" si="1"/>
        <v>4.6165662709589439E-2</v>
      </c>
      <c r="G9" s="38"/>
      <c r="H9" s="70">
        <v>1.93690092929E-4</v>
      </c>
      <c r="I9" s="72"/>
      <c r="J9" s="53">
        <v>9.7918869540134E-4</v>
      </c>
      <c r="K9" s="38"/>
      <c r="L9" s="38"/>
      <c r="M9" s="38"/>
      <c r="N9" s="38"/>
      <c r="O9" s="38"/>
      <c r="P9" s="38"/>
      <c r="Q9" s="38"/>
      <c r="R9" s="38"/>
      <c r="S9" s="38"/>
    </row>
    <row r="10" spans="1:19" x14ac:dyDescent="0.25">
      <c r="A10" s="67">
        <v>41394</v>
      </c>
      <c r="B10" s="8">
        <v>4024.8155000000002</v>
      </c>
      <c r="C10" s="53">
        <f t="shared" si="0"/>
        <v>1.9242741620731474E-2</v>
      </c>
      <c r="D10" s="38"/>
      <c r="E10" s="8">
        <v>1208.1733999999999</v>
      </c>
      <c r="F10" s="53">
        <f t="shared" si="1"/>
        <v>-3.6849295740153387E-3</v>
      </c>
      <c r="G10" s="38"/>
      <c r="H10" s="70">
        <v>1.8257750353902199E-2</v>
      </c>
      <c r="I10" s="72"/>
      <c r="J10" s="53">
        <v>8.8917251505595887E-3</v>
      </c>
      <c r="K10" s="38"/>
      <c r="L10" s="38"/>
      <c r="M10" s="38"/>
      <c r="N10" s="38"/>
      <c r="O10" s="38"/>
      <c r="P10" s="38"/>
      <c r="Q10" s="38"/>
      <c r="R10" s="38"/>
      <c r="S10" s="38"/>
    </row>
    <row r="11" spans="1:19" x14ac:dyDescent="0.25">
      <c r="A11" s="67">
        <v>41425</v>
      </c>
      <c r="B11" s="8">
        <v>4118.9597999999996</v>
      </c>
      <c r="C11" s="53">
        <f t="shared" si="0"/>
        <v>2.3390960405514027E-2</v>
      </c>
      <c r="D11" s="38"/>
      <c r="E11" s="8">
        <v>1256.4468999999999</v>
      </c>
      <c r="F11" s="53">
        <f t="shared" si="1"/>
        <v>3.9955771249391869E-2</v>
      </c>
      <c r="G11" s="38"/>
      <c r="H11" s="70">
        <v>-2.34369231395728E-2</v>
      </c>
      <c r="I11" s="72"/>
      <c r="J11" s="53">
        <v>-1.70746991635446E-2</v>
      </c>
      <c r="K11" s="38"/>
      <c r="L11" s="38"/>
      <c r="M11" s="38"/>
      <c r="N11" s="38"/>
      <c r="O11" s="38"/>
      <c r="P11" s="38"/>
      <c r="Q11" s="38"/>
      <c r="R11" s="38"/>
      <c r="S11" s="38"/>
    </row>
    <row r="12" spans="1:19" x14ac:dyDescent="0.25">
      <c r="A12" s="67">
        <v>41453</v>
      </c>
      <c r="B12" s="8">
        <v>4063.6860000000001</v>
      </c>
      <c r="C12" s="53">
        <f t="shared" si="0"/>
        <v>-1.341935893620505E-2</v>
      </c>
      <c r="D12" s="38"/>
      <c r="E12" s="8">
        <v>1249.9958999999999</v>
      </c>
      <c r="F12" s="53">
        <f t="shared" si="1"/>
        <v>-5.1343196437509953E-3</v>
      </c>
      <c r="G12" s="38"/>
      <c r="H12" s="70">
        <v>-2.7603640871182403E-2</v>
      </c>
      <c r="I12" s="72"/>
      <c r="J12" s="53">
        <v>-1.1006516281491501E-2</v>
      </c>
      <c r="K12" s="38"/>
      <c r="L12" s="38"/>
      <c r="M12" s="38"/>
      <c r="N12" s="38"/>
      <c r="O12" s="38"/>
      <c r="P12" s="38"/>
      <c r="Q12" s="38"/>
      <c r="R12" s="38"/>
      <c r="S12" s="38"/>
    </row>
    <row r="13" spans="1:19" x14ac:dyDescent="0.25">
      <c r="A13" s="67">
        <v>41486</v>
      </c>
      <c r="B13" s="8">
        <v>4270.3549000000003</v>
      </c>
      <c r="C13" s="53">
        <f t="shared" si="0"/>
        <v>5.085749735584888E-2</v>
      </c>
      <c r="D13" s="38"/>
      <c r="E13" s="8">
        <v>1337.4546</v>
      </c>
      <c r="F13" s="53">
        <f t="shared" si="1"/>
        <v>6.9967189492381676E-2</v>
      </c>
      <c r="G13" s="38"/>
      <c r="H13" s="70">
        <v>8.335276440155321E-3</v>
      </c>
      <c r="I13" s="72"/>
      <c r="J13" s="53">
        <v>-1.0889829818511399E-3</v>
      </c>
      <c r="K13" s="38"/>
      <c r="L13" s="38"/>
      <c r="M13" s="38"/>
      <c r="N13" s="38"/>
      <c r="O13" s="38"/>
      <c r="P13" s="38"/>
      <c r="Q13" s="38"/>
      <c r="R13" s="38"/>
      <c r="S13" s="38"/>
    </row>
    <row r="14" spans="1:19" x14ac:dyDescent="0.25">
      <c r="A14" s="67">
        <v>41516</v>
      </c>
      <c r="B14" s="8">
        <v>4146.8806000000004</v>
      </c>
      <c r="C14" s="53">
        <f t="shared" si="0"/>
        <v>-2.891429468777873E-2</v>
      </c>
      <c r="D14" s="38"/>
      <c r="E14" s="8">
        <v>1294.9911</v>
      </c>
      <c r="F14" s="53">
        <f t="shared" si="1"/>
        <v>-3.1749488917231283E-2</v>
      </c>
      <c r="G14" s="38"/>
      <c r="H14" s="70">
        <v>-7.0248915924748098E-3</v>
      </c>
      <c r="I14" s="72"/>
      <c r="J14" s="53">
        <v>-4.8608274940603602E-3</v>
      </c>
      <c r="K14" s="38"/>
      <c r="L14" s="38"/>
      <c r="M14" s="38"/>
      <c r="N14" s="38"/>
      <c r="O14" s="38"/>
      <c r="P14" s="38"/>
      <c r="Q14" s="38"/>
      <c r="R14" s="38"/>
      <c r="S14" s="38"/>
    </row>
    <row r="15" spans="1:19" x14ac:dyDescent="0.25">
      <c r="A15" s="67">
        <v>41547</v>
      </c>
      <c r="B15" s="8">
        <v>4276.9353000000001</v>
      </c>
      <c r="C15" s="53">
        <f t="shared" si="0"/>
        <v>3.1362055613561646E-2</v>
      </c>
      <c r="D15" s="38"/>
      <c r="E15" s="8">
        <v>1377.5622000000001</v>
      </c>
      <c r="F15" s="53">
        <f t="shared" si="1"/>
        <v>6.3761905390701257E-2</v>
      </c>
      <c r="G15" s="38"/>
      <c r="H15" s="70">
        <v>6.9470496064188304E-3</v>
      </c>
      <c r="I15" s="72"/>
      <c r="J15" s="53">
        <v>6.9944907469097093E-3</v>
      </c>
      <c r="K15" s="38"/>
      <c r="L15" s="38"/>
      <c r="M15" s="38"/>
      <c r="N15" s="38"/>
      <c r="O15" s="38"/>
      <c r="P15" s="38"/>
      <c r="Q15" s="38"/>
      <c r="R15" s="38"/>
      <c r="S15" s="38"/>
    </row>
    <row r="16" spans="1:19" x14ac:dyDescent="0.25">
      <c r="A16" s="67">
        <v>41578</v>
      </c>
      <c r="B16" s="8">
        <v>4473.3233</v>
      </c>
      <c r="C16" s="53">
        <f t="shared" si="0"/>
        <v>4.5917926324487546E-2</v>
      </c>
      <c r="D16" s="38"/>
      <c r="E16" s="8">
        <v>1412.1949</v>
      </c>
      <c r="F16" s="53">
        <f t="shared" si="1"/>
        <v>2.5140570785115779E-2</v>
      </c>
      <c r="G16" s="38"/>
      <c r="H16" s="70">
        <v>1.47866381776082E-2</v>
      </c>
      <c r="I16" s="72"/>
      <c r="J16" s="53">
        <v>4.8262564122797599E-3</v>
      </c>
      <c r="K16" s="38"/>
      <c r="L16" s="38"/>
      <c r="M16" s="38"/>
      <c r="N16" s="38"/>
      <c r="O16" s="38"/>
      <c r="P16" s="38"/>
      <c r="Q16" s="38"/>
      <c r="R16" s="38"/>
      <c r="S16" s="38"/>
    </row>
    <row r="17" spans="1:19" x14ac:dyDescent="0.25">
      <c r="A17" s="67">
        <v>41607</v>
      </c>
      <c r="B17" s="8">
        <v>4609.4596000000001</v>
      </c>
      <c r="C17" s="53">
        <f t="shared" si="0"/>
        <v>3.0432922207970003E-2</v>
      </c>
      <c r="D17" s="38"/>
      <c r="E17" s="8">
        <v>1468.7372</v>
      </c>
      <c r="F17" s="53">
        <f t="shared" si="1"/>
        <v>4.0038595239226593E-2</v>
      </c>
      <c r="G17" s="38"/>
      <c r="H17" s="70">
        <v>-1.98379769606319E-3</v>
      </c>
      <c r="I17" s="72"/>
      <c r="J17" s="53">
        <v>-3.2726830834678001E-3</v>
      </c>
      <c r="K17" s="38"/>
      <c r="L17" s="38"/>
      <c r="M17" s="38"/>
      <c r="N17" s="38"/>
      <c r="O17" s="38"/>
      <c r="P17" s="38"/>
      <c r="Q17" s="38"/>
      <c r="R17" s="38"/>
      <c r="S17" s="38"/>
    </row>
    <row r="18" spans="1:19" x14ac:dyDescent="0.25">
      <c r="A18" s="67">
        <v>41639</v>
      </c>
      <c r="B18" s="8">
        <v>4725.6570000000002</v>
      </c>
      <c r="C18" s="53">
        <f t="shared" si="0"/>
        <v>2.5208464784028051E-2</v>
      </c>
      <c r="D18" s="38"/>
      <c r="E18" s="8">
        <v>1497.6494</v>
      </c>
      <c r="F18" s="53">
        <f t="shared" si="1"/>
        <v>1.9685073680982601E-2</v>
      </c>
      <c r="G18" s="38"/>
      <c r="H18" s="70">
        <v>-1.63319187324866E-3</v>
      </c>
      <c r="I18" s="72"/>
      <c r="J18" s="53">
        <v>-9.0714948192517995E-3</v>
      </c>
      <c r="K18" s="38"/>
      <c r="L18" s="38"/>
      <c r="M18" s="38"/>
      <c r="N18" s="38"/>
      <c r="O18" s="38"/>
      <c r="P18" s="38"/>
      <c r="Q18" s="38"/>
      <c r="R18" s="38"/>
      <c r="S18" s="38"/>
    </row>
    <row r="19" spans="1:19" x14ac:dyDescent="0.25">
      <c r="A19" s="67">
        <v>41670</v>
      </c>
      <c r="B19" s="8">
        <v>4562.3813</v>
      </c>
      <c r="C19" s="53">
        <f t="shared" si="0"/>
        <v>-3.4550899483394626E-2</v>
      </c>
      <c r="D19" s="38"/>
      <c r="E19" s="8">
        <v>1456.2070000000001</v>
      </c>
      <c r="F19" s="53">
        <f t="shared" si="1"/>
        <v>-2.7671629955582366E-2</v>
      </c>
      <c r="G19" s="38"/>
      <c r="H19" s="70">
        <v>1.8124262477127298E-2</v>
      </c>
      <c r="I19" s="72"/>
      <c r="J19" s="53">
        <v>1.3568818027513901E-2</v>
      </c>
      <c r="K19" s="38"/>
      <c r="L19" s="38"/>
      <c r="M19" s="38"/>
      <c r="N19" s="38"/>
      <c r="O19" s="38"/>
      <c r="P19" s="38"/>
      <c r="Q19" s="38"/>
      <c r="R19" s="38"/>
      <c r="S19" s="38"/>
    </row>
    <row r="20" spans="1:19" x14ac:dyDescent="0.25">
      <c r="A20" s="67">
        <v>41698</v>
      </c>
      <c r="B20" s="8">
        <v>4770.7098999999998</v>
      </c>
      <c r="C20" s="53">
        <f t="shared" si="0"/>
        <v>4.5662250982836383E-2</v>
      </c>
      <c r="D20" s="38"/>
      <c r="E20" s="8">
        <v>1524.7698</v>
      </c>
      <c r="F20" s="53">
        <f t="shared" si="1"/>
        <v>4.7083141339109069E-2</v>
      </c>
      <c r="G20" s="38"/>
      <c r="H20" s="70">
        <v>1.0398839999999999E-2</v>
      </c>
      <c r="I20" s="72"/>
      <c r="J20" s="53">
        <v>2.7192100000000001E-3</v>
      </c>
      <c r="K20" s="38"/>
      <c r="L20" s="38"/>
      <c r="M20" s="38"/>
      <c r="N20" s="38"/>
      <c r="O20" s="38"/>
      <c r="P20" s="38"/>
      <c r="Q20" s="38"/>
      <c r="R20" s="38"/>
      <c r="S20" s="38"/>
    </row>
    <row r="21" spans="1:19" x14ac:dyDescent="0.25">
      <c r="A21" s="67">
        <v>41729</v>
      </c>
      <c r="B21" s="8">
        <v>4810.7897999999996</v>
      </c>
      <c r="C21" s="53">
        <f t="shared" si="0"/>
        <v>8.4012444353407378E-3</v>
      </c>
      <c r="D21" s="38"/>
      <c r="E21" s="8">
        <v>1514.4001000000001</v>
      </c>
      <c r="F21" s="53">
        <f t="shared" si="1"/>
        <v>-6.8008298695317881E-3</v>
      </c>
      <c r="G21" s="38"/>
      <c r="H21" s="70">
        <v>6.6415000000000007E-4</v>
      </c>
      <c r="I21" s="72"/>
      <c r="J21" s="53">
        <v>-2.8543700000000002E-3</v>
      </c>
      <c r="K21" s="38"/>
      <c r="L21" s="38"/>
      <c r="M21" s="38"/>
      <c r="N21" s="38"/>
      <c r="O21" s="38"/>
      <c r="P21" s="38"/>
      <c r="Q21" s="38"/>
      <c r="R21" s="38"/>
      <c r="S21" s="38"/>
    </row>
    <row r="22" spans="1:19" x14ac:dyDescent="0.25">
      <c r="A22" s="67">
        <v>41759</v>
      </c>
      <c r="B22" s="8">
        <v>4846.2781000000004</v>
      </c>
      <c r="C22" s="53">
        <f t="shared" si="0"/>
        <v>7.3768136782863536E-3</v>
      </c>
      <c r="D22" s="38"/>
      <c r="E22" s="8">
        <v>1455.6792</v>
      </c>
      <c r="F22" s="53">
        <f t="shared" si="1"/>
        <v>-3.8775023852679391E-2</v>
      </c>
      <c r="G22" s="38"/>
      <c r="H22" s="70">
        <v>1.197876E-2</v>
      </c>
      <c r="I22" s="72"/>
      <c r="J22" s="53">
        <v>5.5166899999999994E-3</v>
      </c>
      <c r="K22" s="38"/>
      <c r="L22" s="38"/>
      <c r="M22" s="38"/>
      <c r="N22" s="38"/>
      <c r="O22" s="38"/>
      <c r="P22" s="38"/>
      <c r="Q22" s="38"/>
      <c r="R22" s="38"/>
      <c r="S22" s="38"/>
    </row>
    <row r="23" spans="1:19" x14ac:dyDescent="0.25">
      <c r="A23" s="67">
        <v>41789</v>
      </c>
      <c r="B23" s="8">
        <v>4959.7613000000001</v>
      </c>
      <c r="C23" s="53">
        <f t="shared" si="0"/>
        <v>2.3416567860601978E-2</v>
      </c>
      <c r="D23" s="38"/>
      <c r="E23" s="8">
        <v>1467.3185000000001</v>
      </c>
      <c r="F23" s="53">
        <f t="shared" si="1"/>
        <v>7.9957864342639073E-3</v>
      </c>
      <c r="G23" s="38"/>
      <c r="H23" s="70">
        <v>1.367086E-2</v>
      </c>
      <c r="I23" s="72"/>
      <c r="J23" s="53">
        <v>9.4210700000000001E-3</v>
      </c>
      <c r="K23" s="38"/>
      <c r="L23" s="38"/>
      <c r="M23" s="38"/>
      <c r="N23" s="38"/>
      <c r="O23" s="38"/>
      <c r="P23" s="38"/>
      <c r="Q23" s="38"/>
      <c r="R23" s="38"/>
      <c r="S23" s="38"/>
    </row>
    <row r="24" spans="1:19" x14ac:dyDescent="0.25">
      <c r="A24" s="67">
        <v>41820</v>
      </c>
      <c r="B24" s="8">
        <v>5062.1459000000004</v>
      </c>
      <c r="C24" s="53">
        <f t="shared" si="0"/>
        <v>2.0643049898389387E-2</v>
      </c>
      <c r="D24" s="38"/>
      <c r="E24" s="8">
        <v>1545.3420000000001</v>
      </c>
      <c r="F24" s="53">
        <f t="shared" si="1"/>
        <v>5.3174208598882888E-2</v>
      </c>
      <c r="G24" s="38"/>
      <c r="H24" s="70">
        <v>7.7846000000000002E-4</v>
      </c>
      <c r="I24" s="72"/>
      <c r="J24" s="53">
        <v>-1.42413E-3</v>
      </c>
      <c r="K24" s="38"/>
      <c r="L24" s="38"/>
      <c r="M24" s="38"/>
      <c r="N24" s="38"/>
      <c r="O24" s="38"/>
      <c r="P24" s="38"/>
      <c r="Q24" s="38"/>
      <c r="R24" s="38"/>
      <c r="S24" s="38"/>
    </row>
    <row r="25" spans="1:19" x14ac:dyDescent="0.25">
      <c r="A25" s="67">
        <v>41851</v>
      </c>
      <c r="B25" s="8">
        <v>4992.4507999999996</v>
      </c>
      <c r="C25" s="53">
        <f t="shared" si="0"/>
        <v>-1.3767896338191421E-2</v>
      </c>
      <c r="D25" s="38"/>
      <c r="E25" s="8">
        <v>1451.8362999999999</v>
      </c>
      <c r="F25" s="53">
        <f t="shared" si="1"/>
        <v>-6.0508094648304533E-2</v>
      </c>
      <c r="G25" s="38"/>
      <c r="H25" s="70">
        <v>-5.5816999999999998E-4</v>
      </c>
      <c r="I25" s="72"/>
      <c r="J25" s="53">
        <v>-1.6292300000000002E-3</v>
      </c>
      <c r="K25" s="38"/>
      <c r="L25" s="38"/>
      <c r="M25" s="38"/>
      <c r="N25" s="38"/>
      <c r="O25" s="38"/>
      <c r="P25" s="38"/>
      <c r="Q25" s="38"/>
      <c r="R25" s="38"/>
      <c r="S25" s="38"/>
    </row>
    <row r="26" spans="1:19" x14ac:dyDescent="0.25">
      <c r="A26" s="67">
        <v>41880</v>
      </c>
      <c r="B26" s="8">
        <v>5191.8648999999996</v>
      </c>
      <c r="C26" s="53">
        <f t="shared" si="0"/>
        <v>3.9943127731974837E-2</v>
      </c>
      <c r="D26" s="38"/>
      <c r="E26" s="8">
        <v>1523.7900999999999</v>
      </c>
      <c r="F26" s="53">
        <f t="shared" si="1"/>
        <v>4.9560546185544396E-2</v>
      </c>
      <c r="G26" s="38"/>
      <c r="H26" s="70">
        <v>1.4423689999999999E-2</v>
      </c>
      <c r="I26" s="72"/>
      <c r="J26" s="53">
        <v>1.054712E-2</v>
      </c>
      <c r="K26" s="38"/>
      <c r="L26" s="38"/>
      <c r="M26" s="38"/>
      <c r="N26" s="38"/>
      <c r="O26" s="38"/>
      <c r="P26" s="38"/>
      <c r="Q26" s="38"/>
      <c r="R26" s="38"/>
      <c r="S26" s="38"/>
    </row>
    <row r="27" spans="1:19" x14ac:dyDescent="0.25">
      <c r="A27" s="67">
        <v>41912</v>
      </c>
      <c r="B27" s="8">
        <v>5119.1532999999999</v>
      </c>
      <c r="C27" s="53">
        <f t="shared" si="0"/>
        <v>-1.4004909873521432E-2</v>
      </c>
      <c r="D27" s="38"/>
      <c r="E27" s="8">
        <v>1431.6867</v>
      </c>
      <c r="F27" s="53">
        <f t="shared" si="1"/>
        <v>-6.044362671735426E-2</v>
      </c>
      <c r="G27" s="38"/>
      <c r="H27" s="70">
        <v>-1.4424699999999999E-2</v>
      </c>
      <c r="I27" s="72"/>
      <c r="J27" s="53">
        <v>-5.4708599999999993E-3</v>
      </c>
      <c r="K27" s="38"/>
      <c r="L27" s="38"/>
      <c r="M27" s="38"/>
      <c r="N27" s="38"/>
      <c r="O27" s="38"/>
      <c r="P27" s="38"/>
      <c r="Q27" s="38"/>
      <c r="R27" s="38"/>
      <c r="S27" s="38"/>
    </row>
    <row r="28" spans="1:19" x14ac:dyDescent="0.25">
      <c r="A28" s="67">
        <v>41943</v>
      </c>
      <c r="B28" s="8">
        <v>5243.9317000000001</v>
      </c>
      <c r="C28" s="53">
        <f t="shared" si="0"/>
        <v>2.4374812139343449E-2</v>
      </c>
      <c r="D28" s="38"/>
      <c r="E28" s="8">
        <v>1525.9966999999999</v>
      </c>
      <c r="F28" s="53">
        <f t="shared" si="1"/>
        <v>6.5873350642986273E-2</v>
      </c>
      <c r="G28" s="38"/>
      <c r="H28" s="70">
        <v>1.0237389999999999E-2</v>
      </c>
      <c r="I28" s="72"/>
      <c r="J28" s="53">
        <v>9.7379099999999989E-3</v>
      </c>
      <c r="K28" s="38"/>
      <c r="L28" s="38"/>
      <c r="M28" s="38"/>
      <c r="N28" s="38"/>
      <c r="O28" s="38"/>
      <c r="P28" s="38"/>
      <c r="Q28" s="38"/>
      <c r="R28" s="38"/>
      <c r="S28" s="38"/>
    </row>
    <row r="29" spans="1:19" x14ac:dyDescent="0.25">
      <c r="A29" s="67">
        <v>41971</v>
      </c>
      <c r="B29" s="8">
        <v>5384.7443000000003</v>
      </c>
      <c r="C29" s="53">
        <f t="shared" si="0"/>
        <v>2.6852485511968061E-2</v>
      </c>
      <c r="D29" s="38"/>
      <c r="E29" s="8">
        <v>1527.3807999999999</v>
      </c>
      <c r="F29" s="53">
        <f t="shared" si="1"/>
        <v>9.0701375697599396E-4</v>
      </c>
      <c r="G29" s="38"/>
      <c r="H29" s="70">
        <v>6.7365400000000001E-3</v>
      </c>
      <c r="I29" s="72"/>
      <c r="J29" s="53">
        <v>8.0684099999999998E-3</v>
      </c>
      <c r="K29" s="38"/>
      <c r="L29" s="38"/>
      <c r="M29" s="38"/>
      <c r="N29" s="38"/>
      <c r="O29" s="38"/>
      <c r="P29" s="38"/>
      <c r="Q29" s="38"/>
      <c r="R29" s="38"/>
      <c r="S29" s="38"/>
    </row>
    <row r="30" spans="1:19" x14ac:dyDescent="0.25">
      <c r="A30" s="67">
        <v>42004</v>
      </c>
      <c r="B30" s="8">
        <v>5370.8888999999999</v>
      </c>
      <c r="C30" s="53">
        <f t="shared" si="0"/>
        <v>-2.5730841109763425E-3</v>
      </c>
      <c r="D30" s="38"/>
      <c r="E30" s="8">
        <v>1570.8797</v>
      </c>
      <c r="F30" s="53">
        <f t="shared" si="1"/>
        <v>2.8479407361936326E-2</v>
      </c>
      <c r="G30" s="38"/>
      <c r="H30" s="70">
        <v>6.0846000000000001E-4</v>
      </c>
      <c r="I30" s="72"/>
      <c r="J30" s="53">
        <v>1.42354E-3</v>
      </c>
      <c r="K30" s="38"/>
      <c r="L30" s="38"/>
      <c r="M30" s="38"/>
      <c r="N30" s="38"/>
      <c r="O30" s="38"/>
      <c r="P30" s="38"/>
      <c r="Q30" s="38"/>
      <c r="R30" s="38"/>
      <c r="S30" s="38"/>
    </row>
    <row r="31" spans="1:19" x14ac:dyDescent="0.25">
      <c r="A31" s="67">
        <v>42034</v>
      </c>
      <c r="B31" s="8">
        <v>5209.7503999999999</v>
      </c>
      <c r="C31" s="53">
        <f t="shared" si="0"/>
        <v>-3.0002203173482123E-2</v>
      </c>
      <c r="D31" s="38"/>
      <c r="E31" s="8">
        <v>1520.3685</v>
      </c>
      <c r="F31" s="53">
        <f t="shared" si="1"/>
        <v>-3.2154721968843281E-2</v>
      </c>
      <c r="G31" s="38"/>
      <c r="H31" s="70">
        <v>3.0337529999999998E-2</v>
      </c>
      <c r="I31" s="72"/>
      <c r="J31" s="53">
        <v>2.5865119999999998E-2</v>
      </c>
      <c r="K31" s="38"/>
      <c r="L31" s="38"/>
      <c r="M31" s="38"/>
      <c r="N31" s="38"/>
      <c r="O31" s="38"/>
      <c r="P31" s="38"/>
      <c r="Q31" s="38"/>
      <c r="R31" s="38"/>
      <c r="S31" s="38"/>
    </row>
    <row r="32" spans="1:19" x14ac:dyDescent="0.25">
      <c r="A32" s="67">
        <v>42062</v>
      </c>
      <c r="B32" s="8">
        <v>5508.9750999999997</v>
      </c>
      <c r="C32" s="53">
        <f t="shared" si="0"/>
        <v>5.7435515528728498E-2</v>
      </c>
      <c r="D32" s="38"/>
      <c r="E32" s="8">
        <v>1610.6072999999999</v>
      </c>
      <c r="F32" s="53">
        <f t="shared" si="1"/>
        <v>5.9353242322502719E-2</v>
      </c>
      <c r="G32" s="38"/>
      <c r="H32" s="70">
        <v>-1.013291E-2</v>
      </c>
      <c r="I32" s="72"/>
      <c r="J32" s="53">
        <v>-1.5443439999999999E-2</v>
      </c>
      <c r="K32" s="38"/>
      <c r="L32" s="38"/>
      <c r="M32" s="38"/>
      <c r="N32" s="38"/>
      <c r="O32" s="38"/>
      <c r="P32" s="38"/>
      <c r="Q32" s="38"/>
      <c r="R32" s="38"/>
      <c r="S32" s="38"/>
    </row>
    <row r="33" spans="1:19" x14ac:dyDescent="0.25">
      <c r="A33" s="67">
        <v>42094</v>
      </c>
      <c r="B33" s="8">
        <v>5421.8865999999998</v>
      </c>
      <c r="C33" s="53">
        <f t="shared" si="0"/>
        <v>-1.5808475881475603E-2</v>
      </c>
      <c r="D33" s="38"/>
      <c r="E33" s="8">
        <v>1638.6276</v>
      </c>
      <c r="F33" s="53">
        <f t="shared" si="1"/>
        <v>1.7397350676356726E-2</v>
      </c>
      <c r="G33" s="38"/>
      <c r="H33" s="70">
        <v>3.1904199999999998E-3</v>
      </c>
      <c r="I33" s="72"/>
      <c r="J33" s="53">
        <v>6.3069699999999994E-3</v>
      </c>
      <c r="K33" s="38"/>
      <c r="L33" s="38"/>
      <c r="M33" s="38"/>
      <c r="N33" s="38"/>
      <c r="O33" s="38"/>
      <c r="P33" s="38"/>
      <c r="Q33" s="38"/>
      <c r="R33" s="38"/>
      <c r="S33" s="38"/>
    </row>
    <row r="34" spans="1:19" x14ac:dyDescent="0.25">
      <c r="A34" s="67">
        <v>42124</v>
      </c>
      <c r="B34" s="8">
        <v>5473.8917000000001</v>
      </c>
      <c r="C34" s="53">
        <f t="shared" si="0"/>
        <v>9.5916982107298043E-3</v>
      </c>
      <c r="D34" s="38"/>
      <c r="E34" s="8">
        <v>1596.8662999999999</v>
      </c>
      <c r="F34" s="53">
        <f t="shared" si="1"/>
        <v>-2.548553435814227E-2</v>
      </c>
      <c r="G34" s="38"/>
      <c r="H34" s="70">
        <v>-7.0022300000000008E-3</v>
      </c>
      <c r="I34" s="72"/>
      <c r="J34" s="53">
        <v>-5.2599600000000002E-3</v>
      </c>
      <c r="K34" s="38"/>
      <c r="L34" s="38"/>
      <c r="M34" s="38"/>
      <c r="N34" s="38"/>
      <c r="O34" s="38"/>
      <c r="P34" s="38"/>
      <c r="Q34" s="38"/>
      <c r="R34" s="38"/>
      <c r="S34" s="38"/>
    </row>
    <row r="35" spans="1:19" x14ac:dyDescent="0.25">
      <c r="A35" s="67">
        <v>42153</v>
      </c>
      <c r="B35" s="8">
        <v>5544.2776999999996</v>
      </c>
      <c r="C35" s="53">
        <f t="shared" si="0"/>
        <v>1.2858493345785371E-2</v>
      </c>
      <c r="D35" s="38"/>
      <c r="E35" s="8">
        <v>1633.3155999999999</v>
      </c>
      <c r="F35" s="53">
        <f t="shared" si="1"/>
        <v>2.2825517703016107E-2</v>
      </c>
      <c r="G35" s="38"/>
      <c r="H35" s="70">
        <v>-6.52756E-3</v>
      </c>
      <c r="I35" s="72"/>
      <c r="J35" s="53">
        <v>-1.80258E-3</v>
      </c>
      <c r="K35" s="38"/>
      <c r="L35" s="38"/>
      <c r="M35" s="38"/>
      <c r="N35" s="38"/>
      <c r="O35" s="38"/>
      <c r="P35" s="38"/>
      <c r="Q35" s="38"/>
      <c r="R35" s="38"/>
      <c r="S35" s="38"/>
    </row>
    <row r="36" spans="1:19" x14ac:dyDescent="0.25">
      <c r="A36" s="67">
        <v>42185</v>
      </c>
      <c r="B36" s="8">
        <v>5437.1106</v>
      </c>
      <c r="C36" s="53">
        <f t="shared" si="0"/>
        <v>-1.9329316783681216E-2</v>
      </c>
      <c r="D36" s="38"/>
      <c r="E36" s="8">
        <v>1645.5786000000001</v>
      </c>
      <c r="F36" s="53">
        <f t="shared" si="1"/>
        <v>7.5080406995440274E-3</v>
      </c>
      <c r="G36" s="38"/>
      <c r="H36" s="70">
        <v>-1.837896E-2</v>
      </c>
      <c r="I36" s="72"/>
      <c r="J36" s="53">
        <v>-8.8263000000000005E-3</v>
      </c>
      <c r="K36" s="38"/>
      <c r="L36" s="38"/>
      <c r="M36" s="38"/>
      <c r="N36" s="38"/>
      <c r="O36" s="38"/>
      <c r="P36" s="38"/>
      <c r="Q36" s="38"/>
      <c r="R36" s="38"/>
      <c r="S36" s="38"/>
    </row>
    <row r="37" spans="1:19" x14ac:dyDescent="0.25">
      <c r="A37" s="67">
        <v>42216</v>
      </c>
      <c r="B37" s="8">
        <v>5550.9804999999997</v>
      </c>
      <c r="C37" s="53">
        <f t="shared" si="0"/>
        <v>2.094309061875621E-2</v>
      </c>
      <c r="D37" s="38"/>
      <c r="E37" s="8">
        <v>1626.4646</v>
      </c>
      <c r="F37" s="53">
        <f t="shared" si="1"/>
        <v>-1.1615367385064412E-2</v>
      </c>
      <c r="G37" s="38"/>
      <c r="H37" s="70">
        <v>6.7492100000000003E-3</v>
      </c>
      <c r="I37" s="72"/>
      <c r="J37" s="53">
        <v>8.3377099999999999E-3</v>
      </c>
      <c r="K37" s="38"/>
      <c r="L37" s="38"/>
      <c r="M37" s="38"/>
      <c r="N37" s="38"/>
      <c r="O37" s="38"/>
      <c r="P37" s="38"/>
      <c r="Q37" s="38"/>
      <c r="R37" s="38"/>
      <c r="S37" s="38"/>
    </row>
    <row r="38" spans="1:19" x14ac:dyDescent="0.25">
      <c r="A38" s="67">
        <v>42247</v>
      </c>
      <c r="B38" s="8">
        <v>5216.5784000000003</v>
      </c>
      <c r="C38" s="53">
        <f t="shared" si="0"/>
        <v>-6.0241987879438463E-2</v>
      </c>
      <c r="D38" s="38"/>
      <c r="E38" s="8">
        <v>1524.3067000000001</v>
      </c>
      <c r="F38" s="53">
        <f t="shared" si="1"/>
        <v>-6.2809790019407674E-2</v>
      </c>
      <c r="G38" s="38"/>
      <c r="H38" s="70">
        <v>-5.9183600000000001E-3</v>
      </c>
      <c r="I38" s="72"/>
      <c r="J38" s="53">
        <v>4.3669999999999999E-4</v>
      </c>
      <c r="K38" s="38"/>
      <c r="L38" s="38"/>
      <c r="M38" s="38"/>
      <c r="N38" s="38"/>
      <c r="O38" s="38"/>
      <c r="P38" s="38"/>
      <c r="Q38" s="38"/>
      <c r="R38" s="38"/>
      <c r="S38" s="38"/>
    </row>
    <row r="39" spans="1:19" x14ac:dyDescent="0.25">
      <c r="A39" s="67">
        <v>42277</v>
      </c>
      <c r="B39" s="8">
        <v>5087.6106</v>
      </c>
      <c r="C39" s="53">
        <f t="shared" si="0"/>
        <v>-2.472268029174074E-2</v>
      </c>
      <c r="D39" s="38"/>
      <c r="E39" s="8">
        <v>1449.5772999999999</v>
      </c>
      <c r="F39" s="53">
        <f t="shared" si="1"/>
        <v>-4.9025173214813145E-2</v>
      </c>
      <c r="G39" s="38"/>
      <c r="H39" s="70">
        <v>7.4533999999999998E-3</v>
      </c>
      <c r="I39" s="72"/>
      <c r="J39" s="53">
        <v>8.7779199999999998E-3</v>
      </c>
      <c r="K39" s="38"/>
      <c r="L39" s="38"/>
      <c r="M39" s="38"/>
      <c r="N39" s="38"/>
      <c r="O39" s="38"/>
      <c r="P39" s="38"/>
      <c r="Q39" s="38"/>
      <c r="R39" s="38"/>
      <c r="S39" s="38"/>
    </row>
    <row r="40" spans="1:19" x14ac:dyDescent="0.25">
      <c r="A40" s="67">
        <v>42307</v>
      </c>
      <c r="B40" s="8">
        <v>5516.5306</v>
      </c>
      <c r="C40" s="53">
        <f t="shared" si="0"/>
        <v>8.4306766716776727E-2</v>
      </c>
      <c r="D40" s="38"/>
      <c r="E40" s="8">
        <v>1531.2334000000001</v>
      </c>
      <c r="F40" s="53">
        <f t="shared" si="1"/>
        <v>5.6330973174042009E-2</v>
      </c>
      <c r="G40" s="38"/>
      <c r="H40" s="70">
        <v>4.1808599999999998E-3</v>
      </c>
      <c r="I40" s="72"/>
      <c r="J40" s="53">
        <v>-3.6627399999999998E-3</v>
      </c>
      <c r="K40" s="38"/>
      <c r="L40" s="38"/>
      <c r="M40" s="38"/>
      <c r="N40" s="38"/>
      <c r="O40" s="38"/>
      <c r="P40" s="38"/>
      <c r="Q40" s="38"/>
      <c r="R40" s="38"/>
      <c r="S40" s="38"/>
    </row>
    <row r="41" spans="1:19" x14ac:dyDescent="0.25">
      <c r="A41" s="67">
        <v>42338</v>
      </c>
      <c r="B41" s="8">
        <v>5532.9322000000002</v>
      </c>
      <c r="C41" s="53">
        <f t="shared" si="0"/>
        <v>2.9731730301649772E-3</v>
      </c>
      <c r="D41" s="38"/>
      <c r="E41" s="8">
        <v>1581.0127</v>
      </c>
      <c r="F41" s="53">
        <f t="shared" si="1"/>
        <v>3.2509283039411141E-2</v>
      </c>
      <c r="G41" s="38"/>
      <c r="H41" s="70">
        <v>-2.1880099999999998E-3</v>
      </c>
      <c r="I41" s="72"/>
      <c r="J41" s="53">
        <v>-4.09101E-3</v>
      </c>
      <c r="K41" s="38"/>
      <c r="L41" s="38"/>
      <c r="M41" s="38"/>
      <c r="N41" s="38"/>
      <c r="O41" s="38"/>
      <c r="P41" s="38"/>
      <c r="Q41" s="38"/>
      <c r="R41" s="38"/>
      <c r="S41" s="38"/>
    </row>
    <row r="42" spans="1:19" ht="16.5" thickBot="1" x14ac:dyDescent="0.3">
      <c r="A42" s="67">
        <v>42369</v>
      </c>
      <c r="B42" s="21">
        <v>5445.2114000000001</v>
      </c>
      <c r="C42" s="54">
        <f t="shared" si="0"/>
        <v>-1.5854305968180826E-2</v>
      </c>
      <c r="D42" s="38"/>
      <c r="E42" s="21">
        <v>1501.6605</v>
      </c>
      <c r="F42" s="54">
        <f t="shared" si="1"/>
        <v>-5.0190741668299066E-2</v>
      </c>
      <c r="G42" s="38"/>
      <c r="H42" s="73">
        <v>-7.7965999999999999E-3</v>
      </c>
      <c r="I42" s="74"/>
      <c r="J42" s="54">
        <v>-1.6377500000000001E-3</v>
      </c>
      <c r="K42" s="38"/>
      <c r="L42" s="38"/>
      <c r="M42" s="38"/>
      <c r="N42" s="38"/>
      <c r="O42" s="38"/>
      <c r="P42" s="38"/>
      <c r="Q42" s="38"/>
      <c r="R42" s="38"/>
      <c r="S42" s="38"/>
    </row>
    <row r="43" spans="1:19" x14ac:dyDescent="0.25">
      <c r="A43" s="50"/>
      <c r="H43" s="51"/>
      <c r="J43" s="51"/>
      <c r="K43" s="38"/>
      <c r="L43" s="38"/>
      <c r="M43" s="38"/>
      <c r="N43" s="38"/>
      <c r="O43" s="38"/>
      <c r="P43" s="38"/>
      <c r="Q43" s="38"/>
      <c r="R43" s="38"/>
      <c r="S43" s="38"/>
    </row>
    <row r="44" spans="1:19" x14ac:dyDescent="0.25">
      <c r="A44" s="50"/>
      <c r="H44" s="51"/>
      <c r="J44" s="51"/>
      <c r="K44" s="38"/>
      <c r="L44" s="38"/>
      <c r="M44" s="38"/>
      <c r="N44" s="38"/>
      <c r="O44" s="38"/>
      <c r="P44" s="38"/>
      <c r="Q44" s="38"/>
      <c r="R44" s="38"/>
      <c r="S44" s="38"/>
    </row>
    <row r="45" spans="1:19" x14ac:dyDescent="0.25">
      <c r="A45" s="50"/>
      <c r="H45" s="51"/>
      <c r="J45" s="51"/>
      <c r="K45" s="38"/>
      <c r="L45" s="38"/>
      <c r="M45" s="38"/>
      <c r="N45" s="38"/>
      <c r="O45" s="38"/>
      <c r="P45" s="38"/>
      <c r="Q45" s="38"/>
      <c r="R45" s="38"/>
      <c r="S45" s="38"/>
    </row>
    <row r="46" spans="1:19" x14ac:dyDescent="0.25">
      <c r="A46" s="50"/>
      <c r="H46" s="51"/>
      <c r="J46" s="51"/>
      <c r="K46" s="38"/>
      <c r="L46" s="38"/>
      <c r="M46" s="38"/>
      <c r="N46" s="38"/>
      <c r="O46" s="38"/>
      <c r="P46" s="38"/>
      <c r="Q46" s="38"/>
      <c r="R46" s="38"/>
      <c r="S46" s="38"/>
    </row>
    <row r="47" spans="1:19" x14ac:dyDescent="0.25">
      <c r="K47" s="38"/>
      <c r="L47" s="38"/>
      <c r="M47" s="38"/>
      <c r="N47" s="38"/>
      <c r="O47" s="38"/>
      <c r="P47" s="38"/>
      <c r="Q47" s="38"/>
      <c r="R47" s="38"/>
      <c r="S47" s="38"/>
    </row>
    <row r="48" spans="1:19" x14ac:dyDescent="0.25">
      <c r="K48" s="38"/>
      <c r="L48" s="38"/>
      <c r="M48" s="38"/>
      <c r="N48" s="38"/>
      <c r="O48" s="38"/>
      <c r="P48" s="38"/>
      <c r="Q48" s="38"/>
      <c r="R48" s="38"/>
      <c r="S48" s="38"/>
    </row>
    <row r="49" spans="11:19" x14ac:dyDescent="0.25">
      <c r="K49" s="38"/>
      <c r="L49" s="38"/>
      <c r="M49" s="38"/>
      <c r="N49" s="38"/>
      <c r="O49" s="38"/>
      <c r="P49" s="38"/>
      <c r="Q49" s="38"/>
      <c r="R49" s="38"/>
      <c r="S49" s="38"/>
    </row>
    <row r="50" spans="11:19" x14ac:dyDescent="0.25">
      <c r="K50" s="38"/>
      <c r="L50" s="38"/>
      <c r="M50" s="38"/>
      <c r="N50" s="38"/>
      <c r="O50" s="38"/>
      <c r="P50" s="38"/>
      <c r="Q50" s="38"/>
      <c r="R50" s="38"/>
      <c r="S50" s="38"/>
    </row>
    <row r="51" spans="11:19" x14ac:dyDescent="0.25">
      <c r="K51" s="38"/>
      <c r="L51" s="38"/>
      <c r="M51" s="38"/>
      <c r="N51" s="38"/>
      <c r="O51" s="38"/>
      <c r="P51" s="38"/>
      <c r="Q51" s="38"/>
      <c r="R51" s="38"/>
      <c r="S51" s="38"/>
    </row>
    <row r="52" spans="11:19" x14ac:dyDescent="0.25">
      <c r="K52" s="38"/>
      <c r="L52" s="38"/>
      <c r="M52" s="38"/>
      <c r="N52" s="38"/>
      <c r="O52" s="38"/>
      <c r="P52" s="38"/>
      <c r="Q52" s="38"/>
      <c r="R52" s="38"/>
      <c r="S52" s="38"/>
    </row>
    <row r="53" spans="11:19" x14ac:dyDescent="0.25">
      <c r="K53" s="38"/>
      <c r="L53" s="38"/>
      <c r="M53" s="38"/>
      <c r="N53" s="38"/>
      <c r="O53" s="38"/>
      <c r="P53" s="38"/>
      <c r="Q53" s="38"/>
      <c r="R53" s="38"/>
      <c r="S53" s="38"/>
    </row>
    <row r="54" spans="11:19" x14ac:dyDescent="0.25">
      <c r="K54" s="38"/>
      <c r="L54" s="38"/>
      <c r="M54" s="38"/>
      <c r="N54" s="38"/>
      <c r="O54" s="38"/>
      <c r="P54" s="38"/>
      <c r="Q54" s="38"/>
      <c r="R54" s="38"/>
      <c r="S54" s="38"/>
    </row>
    <row r="55" spans="11:19" x14ac:dyDescent="0.25">
      <c r="K55" s="38"/>
      <c r="L55" s="38"/>
      <c r="M55" s="38"/>
      <c r="N55" s="38"/>
      <c r="O55" s="38"/>
      <c r="P55" s="38"/>
      <c r="Q55" s="38"/>
      <c r="R55" s="38"/>
      <c r="S55" s="38"/>
    </row>
    <row r="56" spans="11:19" x14ac:dyDescent="0.25">
      <c r="K56" s="38"/>
      <c r="L56" s="38"/>
      <c r="M56" s="38"/>
      <c r="N56" s="38"/>
      <c r="O56" s="38"/>
      <c r="P56" s="38"/>
      <c r="Q56" s="38"/>
      <c r="R56" s="38"/>
      <c r="S56" s="38"/>
    </row>
    <row r="57" spans="11:19" x14ac:dyDescent="0.25">
      <c r="K57" s="38"/>
      <c r="L57" s="38"/>
      <c r="M57" s="38"/>
      <c r="N57" s="38"/>
      <c r="O57" s="38"/>
      <c r="P57" s="38"/>
      <c r="Q57" s="38"/>
      <c r="R57" s="38"/>
      <c r="S57" s="38"/>
    </row>
    <row r="58" spans="11:19" x14ac:dyDescent="0.25">
      <c r="K58" s="38"/>
      <c r="L58" s="38"/>
      <c r="M58" s="38"/>
      <c r="N58" s="38"/>
      <c r="O58" s="38"/>
      <c r="P58" s="38"/>
      <c r="Q58" s="38"/>
      <c r="R58" s="38"/>
      <c r="S58" s="38"/>
    </row>
    <row r="59" spans="11:19" x14ac:dyDescent="0.25">
      <c r="K59" s="38"/>
      <c r="L59" s="38"/>
      <c r="M59" s="38"/>
      <c r="N59" s="38"/>
      <c r="O59" s="38"/>
      <c r="P59" s="38"/>
      <c r="Q59" s="38"/>
      <c r="R59" s="38"/>
      <c r="S59" s="38"/>
    </row>
    <row r="60" spans="11:19" x14ac:dyDescent="0.25">
      <c r="K60" s="38"/>
      <c r="L60" s="38"/>
      <c r="M60" s="38"/>
      <c r="N60" s="38"/>
      <c r="O60" s="38"/>
      <c r="P60" s="38"/>
      <c r="Q60" s="38"/>
      <c r="R60" s="38"/>
      <c r="S60" s="38"/>
    </row>
    <row r="61" spans="11:19" x14ac:dyDescent="0.25">
      <c r="K61" s="38"/>
      <c r="L61" s="38"/>
      <c r="M61" s="38"/>
      <c r="N61" s="38"/>
      <c r="O61" s="38"/>
      <c r="P61" s="38"/>
      <c r="Q61" s="38"/>
      <c r="R61" s="38"/>
      <c r="S61" s="38"/>
    </row>
    <row r="62" spans="11:19" x14ac:dyDescent="0.25">
      <c r="K62" s="38"/>
      <c r="L62" s="38"/>
      <c r="M62" s="38"/>
      <c r="N62" s="38"/>
      <c r="O62" s="38"/>
      <c r="P62" s="38"/>
      <c r="Q62" s="38"/>
      <c r="R62" s="38"/>
      <c r="S62" s="38"/>
    </row>
    <row r="63" spans="11:19" x14ac:dyDescent="0.25">
      <c r="K63" s="38"/>
      <c r="L63" s="38"/>
      <c r="M63" s="38"/>
      <c r="N63" s="38"/>
      <c r="O63" s="38"/>
      <c r="P63" s="38"/>
      <c r="Q63" s="38"/>
      <c r="R63" s="38"/>
      <c r="S63" s="38"/>
    </row>
    <row r="64" spans="11:19" x14ac:dyDescent="0.25">
      <c r="K64" s="38"/>
      <c r="L64" s="38"/>
      <c r="M64" s="38"/>
      <c r="N64" s="38"/>
      <c r="O64" s="38"/>
      <c r="P64" s="38"/>
      <c r="Q64" s="38"/>
      <c r="R64" s="38"/>
      <c r="S64" s="38"/>
    </row>
    <row r="65" spans="11:19" x14ac:dyDescent="0.25">
      <c r="K65" s="38"/>
      <c r="L65" s="38"/>
      <c r="M65" s="38"/>
      <c r="N65" s="38"/>
      <c r="O65" s="38"/>
      <c r="P65" s="38"/>
      <c r="Q65" s="38"/>
      <c r="R65" s="38"/>
      <c r="S65" s="38"/>
    </row>
    <row r="66" spans="11:19" x14ac:dyDescent="0.25">
      <c r="K66" s="38"/>
      <c r="L66" s="38"/>
      <c r="M66" s="38"/>
      <c r="N66" s="38"/>
      <c r="O66" s="38"/>
      <c r="P66" s="38"/>
      <c r="Q66" s="38"/>
      <c r="R66" s="38"/>
      <c r="S66" s="38"/>
    </row>
    <row r="67" spans="11:19" x14ac:dyDescent="0.25">
      <c r="K67" s="38"/>
      <c r="L67" s="38"/>
      <c r="M67" s="38"/>
      <c r="N67" s="38"/>
      <c r="O67" s="38"/>
      <c r="P67" s="38"/>
      <c r="Q67" s="38"/>
      <c r="R67" s="38"/>
      <c r="S67" s="38"/>
    </row>
    <row r="68" spans="11:19" x14ac:dyDescent="0.25">
      <c r="K68" s="38"/>
      <c r="L68" s="38"/>
      <c r="M68" s="38"/>
      <c r="N68" s="38"/>
      <c r="O68" s="38"/>
      <c r="P68" s="38"/>
      <c r="Q68" s="38"/>
      <c r="R68" s="38"/>
      <c r="S68" s="38"/>
    </row>
    <row r="69" spans="11:19" x14ac:dyDescent="0.25">
      <c r="K69" s="38"/>
      <c r="L69" s="38"/>
      <c r="M69" s="38"/>
      <c r="N69" s="38"/>
      <c r="O69" s="38"/>
      <c r="P69" s="38"/>
      <c r="Q69" s="38"/>
      <c r="R69" s="38"/>
      <c r="S69" s="38"/>
    </row>
    <row r="70" spans="11:19" x14ac:dyDescent="0.25">
      <c r="K70" s="38"/>
      <c r="L70" s="38"/>
      <c r="M70" s="38"/>
      <c r="N70" s="38"/>
      <c r="O70" s="38"/>
      <c r="P70" s="38"/>
      <c r="Q70" s="38"/>
      <c r="R70" s="38"/>
      <c r="S70" s="38"/>
    </row>
    <row r="71" spans="11:19" x14ac:dyDescent="0.25">
      <c r="K71" s="38"/>
      <c r="L71" s="38"/>
      <c r="M71" s="38"/>
      <c r="N71" s="38"/>
      <c r="O71" s="38"/>
      <c r="P71" s="38"/>
      <c r="Q71" s="38"/>
      <c r="R71" s="38"/>
      <c r="S71" s="38"/>
    </row>
    <row r="72" spans="11:19" x14ac:dyDescent="0.25">
      <c r="K72" s="38"/>
      <c r="L72" s="38"/>
      <c r="M72" s="38"/>
      <c r="N72" s="38"/>
      <c r="O72" s="38"/>
      <c r="P72" s="38"/>
      <c r="Q72" s="38"/>
      <c r="R72" s="38"/>
      <c r="S72" s="38"/>
    </row>
    <row r="73" spans="11:19" x14ac:dyDescent="0.25">
      <c r="K73" s="38"/>
      <c r="L73" s="38"/>
      <c r="M73" s="38"/>
      <c r="N73" s="38"/>
      <c r="O73" s="38"/>
      <c r="P73" s="38"/>
      <c r="Q73" s="38"/>
      <c r="R73" s="38"/>
      <c r="S73" s="38"/>
    </row>
    <row r="74" spans="11:19" x14ac:dyDescent="0.25">
      <c r="K74" s="38"/>
      <c r="L74" s="38"/>
      <c r="M74" s="38"/>
      <c r="N74" s="38"/>
      <c r="O74" s="38"/>
      <c r="P74" s="38"/>
      <c r="Q74" s="38"/>
      <c r="R74" s="38"/>
      <c r="S74" s="38"/>
    </row>
    <row r="75" spans="11:19" x14ac:dyDescent="0.25">
      <c r="K75" s="38"/>
      <c r="L75" s="38"/>
      <c r="M75" s="38"/>
      <c r="N75" s="38"/>
      <c r="O75" s="38"/>
      <c r="P75" s="38"/>
      <c r="Q75" s="38"/>
      <c r="R75" s="38"/>
      <c r="S75" s="38"/>
    </row>
    <row r="76" spans="11:19" x14ac:dyDescent="0.25">
      <c r="K76" s="38"/>
      <c r="L76" s="38"/>
      <c r="M76" s="38"/>
      <c r="N76" s="38"/>
      <c r="O76" s="38"/>
      <c r="P76" s="38"/>
      <c r="Q76" s="38"/>
      <c r="R76" s="38"/>
      <c r="S76" s="38"/>
    </row>
    <row r="77" spans="11:19" x14ac:dyDescent="0.25">
      <c r="K77" s="38"/>
      <c r="L77" s="38"/>
      <c r="M77" s="38"/>
      <c r="N77" s="38"/>
      <c r="O77" s="38"/>
      <c r="P77" s="38"/>
      <c r="Q77" s="38"/>
      <c r="R77" s="38"/>
      <c r="S77" s="38"/>
    </row>
    <row r="78" spans="11:19" x14ac:dyDescent="0.25">
      <c r="K78" s="38"/>
      <c r="L78" s="38"/>
      <c r="M78" s="38"/>
      <c r="N78" s="38"/>
      <c r="O78" s="38"/>
      <c r="P78" s="38"/>
      <c r="Q78" s="38"/>
      <c r="R78" s="38"/>
      <c r="S78" s="38"/>
    </row>
    <row r="79" spans="11:19" x14ac:dyDescent="0.25">
      <c r="K79" s="38"/>
      <c r="L79" s="38"/>
      <c r="M79" s="38"/>
      <c r="N79" s="38"/>
      <c r="O79" s="38"/>
      <c r="P79" s="38"/>
      <c r="Q79" s="38"/>
      <c r="R79" s="38"/>
      <c r="S79" s="38"/>
    </row>
    <row r="80" spans="11:19" x14ac:dyDescent="0.25">
      <c r="K80" s="38"/>
      <c r="L80" s="38"/>
      <c r="M80" s="38"/>
      <c r="N80" s="38"/>
      <c r="O80" s="38"/>
      <c r="P80" s="38"/>
      <c r="Q80" s="38"/>
      <c r="R80" s="38"/>
      <c r="S80" s="38"/>
    </row>
    <row r="81" spans="11:19" x14ac:dyDescent="0.25">
      <c r="K81" s="38"/>
      <c r="L81" s="38"/>
      <c r="M81" s="38"/>
      <c r="N81" s="38"/>
      <c r="O81" s="38"/>
      <c r="P81" s="38"/>
      <c r="Q81" s="38"/>
      <c r="R81" s="38"/>
      <c r="S81" s="38"/>
    </row>
    <row r="82" spans="11:19" x14ac:dyDescent="0.25">
      <c r="K82" s="38"/>
      <c r="L82" s="38"/>
      <c r="M82" s="38"/>
      <c r="N82" s="38"/>
      <c r="O82" s="38"/>
      <c r="P82" s="38"/>
      <c r="Q82" s="38"/>
      <c r="R82" s="38"/>
      <c r="S82" s="38"/>
    </row>
    <row r="83" spans="11:19" x14ac:dyDescent="0.25">
      <c r="K83" s="38"/>
      <c r="L83" s="38"/>
      <c r="M83" s="38"/>
      <c r="N83" s="38"/>
      <c r="O83" s="38"/>
      <c r="P83" s="38"/>
      <c r="Q83" s="38"/>
      <c r="R83" s="38"/>
      <c r="S83" s="38"/>
    </row>
    <row r="84" spans="11:19" x14ac:dyDescent="0.25">
      <c r="K84" s="38"/>
      <c r="L84" s="38"/>
      <c r="M84" s="38"/>
      <c r="N84" s="38"/>
      <c r="O84" s="38"/>
      <c r="P84" s="38"/>
      <c r="Q84" s="38"/>
      <c r="R84" s="38"/>
      <c r="S84" s="38"/>
    </row>
    <row r="85" spans="11:19" x14ac:dyDescent="0.25">
      <c r="K85" s="38"/>
      <c r="L85" s="38"/>
      <c r="M85" s="38"/>
      <c r="N85" s="38"/>
      <c r="O85" s="38"/>
      <c r="P85" s="38"/>
      <c r="Q85" s="38"/>
      <c r="R85" s="38"/>
      <c r="S85" s="38"/>
    </row>
    <row r="86" spans="11:19" x14ac:dyDescent="0.25">
      <c r="K86" s="38"/>
      <c r="L86" s="38"/>
      <c r="M86" s="38"/>
      <c r="N86" s="38"/>
      <c r="O86" s="38"/>
      <c r="P86" s="38"/>
      <c r="Q86" s="38"/>
      <c r="R86" s="38"/>
      <c r="S86" s="38"/>
    </row>
    <row r="87" spans="11:19" x14ac:dyDescent="0.25">
      <c r="K87" s="38"/>
      <c r="L87" s="38"/>
      <c r="M87" s="38"/>
      <c r="N87" s="38"/>
      <c r="O87" s="38"/>
      <c r="P87" s="38"/>
      <c r="Q87" s="38"/>
      <c r="R87" s="38"/>
      <c r="S87" s="38"/>
    </row>
    <row r="88" spans="11:19" x14ac:dyDescent="0.25">
      <c r="K88" s="38"/>
      <c r="L88" s="38"/>
      <c r="M88" s="38"/>
      <c r="N88" s="38"/>
      <c r="O88" s="38"/>
      <c r="P88" s="38"/>
      <c r="Q88" s="38"/>
      <c r="R88" s="38"/>
      <c r="S88" s="38"/>
    </row>
    <row r="89" spans="11:19" x14ac:dyDescent="0.25">
      <c r="K89" s="38"/>
      <c r="L89" s="38"/>
      <c r="M89" s="38"/>
      <c r="N89" s="38"/>
      <c r="O89" s="38"/>
      <c r="P89" s="38"/>
      <c r="Q89" s="38"/>
      <c r="R89" s="38"/>
      <c r="S89" s="38"/>
    </row>
    <row r="90" spans="11:19" x14ac:dyDescent="0.25">
      <c r="K90" s="38"/>
      <c r="L90" s="38"/>
      <c r="M90" s="38"/>
      <c r="N90" s="38"/>
      <c r="O90" s="38"/>
      <c r="P90" s="38"/>
      <c r="Q90" s="38"/>
      <c r="R90" s="38"/>
      <c r="S90" s="38"/>
    </row>
    <row r="91" spans="11:19" x14ac:dyDescent="0.25">
      <c r="K91" s="38"/>
      <c r="L91" s="38"/>
      <c r="M91" s="38"/>
      <c r="N91" s="38"/>
      <c r="O91" s="38"/>
      <c r="P91" s="38"/>
      <c r="Q91" s="38"/>
      <c r="R91" s="38"/>
      <c r="S91" s="38"/>
    </row>
    <row r="92" spans="11:19" x14ac:dyDescent="0.25">
      <c r="K92" s="38"/>
      <c r="L92" s="38"/>
      <c r="M92" s="38"/>
      <c r="N92" s="38"/>
      <c r="O92" s="38"/>
      <c r="P92" s="38"/>
      <c r="Q92" s="38"/>
      <c r="R92" s="38"/>
      <c r="S92" s="38"/>
    </row>
    <row r="93" spans="11:19" x14ac:dyDescent="0.25">
      <c r="K93" s="38"/>
      <c r="L93" s="38"/>
      <c r="M93" s="38"/>
      <c r="N93" s="38"/>
      <c r="O93" s="38"/>
      <c r="P93" s="38"/>
      <c r="Q93" s="38"/>
      <c r="R93" s="38"/>
      <c r="S93" s="38"/>
    </row>
    <row r="94" spans="11:19" x14ac:dyDescent="0.25">
      <c r="K94" s="38"/>
      <c r="L94" s="38"/>
      <c r="M94" s="38"/>
      <c r="N94" s="38"/>
      <c r="O94" s="38"/>
      <c r="P94" s="38"/>
      <c r="Q94" s="38"/>
      <c r="R94" s="38"/>
      <c r="S94" s="38"/>
    </row>
    <row r="95" spans="11:19" x14ac:dyDescent="0.25">
      <c r="K95" s="38"/>
      <c r="L95" s="38"/>
      <c r="M95" s="38"/>
      <c r="N95" s="38"/>
      <c r="O95" s="38"/>
      <c r="P95" s="38"/>
      <c r="Q95" s="38"/>
      <c r="R95" s="38"/>
      <c r="S95" s="38"/>
    </row>
    <row r="96" spans="11:19" x14ac:dyDescent="0.25">
      <c r="K96" s="38"/>
      <c r="L96" s="38"/>
      <c r="M96" s="38"/>
      <c r="N96" s="38"/>
      <c r="O96" s="38"/>
      <c r="P96" s="38"/>
      <c r="Q96" s="38"/>
      <c r="R96" s="38"/>
      <c r="S96" s="38"/>
    </row>
    <row r="97" spans="11:19" x14ac:dyDescent="0.25">
      <c r="K97" s="38"/>
      <c r="L97" s="38"/>
      <c r="M97" s="38"/>
      <c r="N97" s="38"/>
      <c r="O97" s="38"/>
      <c r="P97" s="38"/>
      <c r="Q97" s="38"/>
      <c r="R97" s="38"/>
      <c r="S97" s="38"/>
    </row>
    <row r="98" spans="11:19" x14ac:dyDescent="0.25">
      <c r="K98" s="38"/>
      <c r="L98" s="38"/>
      <c r="M98" s="38"/>
      <c r="N98" s="38"/>
      <c r="O98" s="38"/>
      <c r="P98" s="38"/>
      <c r="Q98" s="38"/>
      <c r="R98" s="38"/>
      <c r="S98" s="38"/>
    </row>
    <row r="99" spans="11:19" x14ac:dyDescent="0.25">
      <c r="K99" s="38"/>
      <c r="L99" s="38"/>
      <c r="M99" s="38"/>
      <c r="N99" s="38"/>
      <c r="O99" s="38"/>
      <c r="P99" s="38"/>
      <c r="Q99" s="38"/>
      <c r="R99" s="38"/>
      <c r="S99" s="38"/>
    </row>
    <row r="100" spans="11:19" x14ac:dyDescent="0.25">
      <c r="K100" s="38"/>
      <c r="L100" s="38"/>
      <c r="M100" s="38"/>
      <c r="N100" s="38"/>
      <c r="O100" s="38"/>
      <c r="P100" s="38"/>
      <c r="Q100" s="38"/>
      <c r="R100" s="38"/>
      <c r="S100" s="38"/>
    </row>
    <row r="101" spans="11:19" x14ac:dyDescent="0.25">
      <c r="K101" s="38"/>
      <c r="L101" s="38"/>
      <c r="M101" s="38"/>
      <c r="N101" s="38"/>
      <c r="O101" s="38"/>
      <c r="P101" s="38"/>
      <c r="Q101" s="38"/>
      <c r="R101" s="38"/>
      <c r="S101" s="38"/>
    </row>
    <row r="102" spans="11:19" x14ac:dyDescent="0.25">
      <c r="K102" s="38"/>
      <c r="L102" s="38"/>
      <c r="M102" s="38"/>
      <c r="N102" s="38"/>
      <c r="O102" s="38"/>
      <c r="P102" s="38"/>
      <c r="Q102" s="38"/>
      <c r="R102" s="38"/>
      <c r="S102" s="38"/>
    </row>
    <row r="103" spans="11:19" x14ac:dyDescent="0.25">
      <c r="K103" s="38"/>
      <c r="L103" s="38"/>
      <c r="M103" s="38"/>
      <c r="N103" s="38"/>
      <c r="O103" s="38"/>
      <c r="P103" s="38"/>
      <c r="Q103" s="38"/>
      <c r="R103" s="38"/>
      <c r="S103" s="38"/>
    </row>
    <row r="104" spans="11:19" x14ac:dyDescent="0.25">
      <c r="K104" s="38"/>
      <c r="L104" s="38"/>
      <c r="M104" s="38"/>
      <c r="N104" s="38"/>
      <c r="O104" s="38"/>
      <c r="P104" s="38"/>
      <c r="Q104" s="38"/>
      <c r="R104" s="38"/>
      <c r="S104" s="38"/>
    </row>
    <row r="105" spans="11:19" x14ac:dyDescent="0.25">
      <c r="K105" s="38"/>
      <c r="L105" s="38"/>
      <c r="M105" s="38"/>
      <c r="N105" s="38"/>
      <c r="O105" s="38"/>
      <c r="P105" s="38"/>
      <c r="Q105" s="38"/>
      <c r="R105" s="38"/>
      <c r="S105" s="38"/>
    </row>
    <row r="106" spans="11:19" x14ac:dyDescent="0.25">
      <c r="K106" s="38"/>
      <c r="L106" s="38"/>
      <c r="M106" s="38"/>
      <c r="N106" s="38"/>
      <c r="O106" s="38"/>
      <c r="P106" s="38"/>
      <c r="Q106" s="38"/>
      <c r="R106" s="38"/>
      <c r="S106" s="38"/>
    </row>
    <row r="107" spans="11:19" x14ac:dyDescent="0.25">
      <c r="K107" s="38"/>
      <c r="L107" s="38"/>
      <c r="M107" s="38"/>
      <c r="N107" s="38"/>
      <c r="O107" s="38"/>
      <c r="P107" s="38"/>
      <c r="Q107" s="38"/>
      <c r="R107" s="38"/>
      <c r="S107" s="38"/>
    </row>
    <row r="108" spans="11:19" x14ac:dyDescent="0.25">
      <c r="K108" s="38"/>
      <c r="L108" s="38"/>
      <c r="M108" s="38"/>
      <c r="N108" s="38"/>
      <c r="O108" s="38"/>
      <c r="P108" s="38"/>
      <c r="Q108" s="38"/>
      <c r="R108" s="38"/>
      <c r="S108" s="38"/>
    </row>
    <row r="109" spans="11:19" x14ac:dyDescent="0.25">
      <c r="K109" s="38"/>
      <c r="L109" s="38"/>
      <c r="M109" s="38"/>
      <c r="N109" s="38"/>
      <c r="O109" s="38"/>
      <c r="P109" s="38"/>
      <c r="Q109" s="38"/>
      <c r="R109" s="38"/>
      <c r="S109" s="38"/>
    </row>
    <row r="110" spans="11:19" x14ac:dyDescent="0.25">
      <c r="K110" s="38"/>
      <c r="L110" s="38"/>
      <c r="M110" s="38"/>
      <c r="N110" s="38"/>
      <c r="O110" s="38"/>
      <c r="P110" s="38"/>
      <c r="Q110" s="38"/>
      <c r="R110" s="38"/>
      <c r="S110" s="38"/>
    </row>
    <row r="111" spans="11:19" x14ac:dyDescent="0.25">
      <c r="K111" s="38"/>
      <c r="L111" s="38"/>
      <c r="M111" s="38"/>
      <c r="N111" s="38"/>
      <c r="O111" s="38"/>
      <c r="P111" s="38"/>
      <c r="Q111" s="38"/>
      <c r="R111" s="38"/>
      <c r="S111" s="38"/>
    </row>
    <row r="112" spans="11:19" x14ac:dyDescent="0.25">
      <c r="K112" s="38"/>
      <c r="L112" s="38"/>
      <c r="M112" s="38"/>
      <c r="N112" s="38"/>
      <c r="O112" s="38"/>
      <c r="P112" s="38"/>
      <c r="Q112" s="38"/>
      <c r="R112" s="38"/>
      <c r="S112" s="38"/>
    </row>
    <row r="113" spans="11:19" x14ac:dyDescent="0.25">
      <c r="K113" s="38"/>
      <c r="L113" s="38"/>
      <c r="M113" s="38"/>
      <c r="N113" s="38"/>
      <c r="O113" s="38"/>
      <c r="P113" s="38"/>
      <c r="Q113" s="38"/>
      <c r="R113" s="38"/>
      <c r="S113" s="38"/>
    </row>
    <row r="114" spans="11:19" x14ac:dyDescent="0.25">
      <c r="K114" s="38"/>
      <c r="L114" s="38"/>
      <c r="M114" s="38"/>
      <c r="N114" s="38"/>
      <c r="O114" s="38"/>
      <c r="P114" s="38"/>
      <c r="Q114" s="38"/>
      <c r="R114" s="38"/>
      <c r="S114" s="38"/>
    </row>
    <row r="115" spans="11:19" x14ac:dyDescent="0.25">
      <c r="K115" s="38"/>
      <c r="L115" s="38"/>
      <c r="M115" s="38"/>
      <c r="N115" s="38"/>
      <c r="O115" s="38"/>
      <c r="P115" s="38"/>
      <c r="Q115" s="38"/>
      <c r="R115" s="38"/>
      <c r="S115" s="38"/>
    </row>
    <row r="116" spans="11:19" x14ac:dyDescent="0.25">
      <c r="K116" s="38"/>
      <c r="L116" s="38"/>
      <c r="M116" s="38"/>
      <c r="N116" s="38"/>
      <c r="O116" s="38"/>
      <c r="P116" s="38"/>
      <c r="Q116" s="38"/>
      <c r="R116" s="38"/>
      <c r="S116" s="38"/>
    </row>
    <row r="117" spans="11:19" x14ac:dyDescent="0.25">
      <c r="K117" s="38"/>
      <c r="L117" s="38"/>
      <c r="M117" s="38"/>
      <c r="N117" s="38"/>
      <c r="O117" s="38"/>
      <c r="P117" s="38"/>
      <c r="Q117" s="38"/>
      <c r="R117" s="38"/>
      <c r="S117" s="38"/>
    </row>
    <row r="118" spans="11:19" x14ac:dyDescent="0.25">
      <c r="K118" s="38"/>
      <c r="L118" s="38"/>
      <c r="M118" s="38"/>
      <c r="N118" s="38"/>
      <c r="O118" s="38"/>
      <c r="P118" s="38"/>
      <c r="Q118" s="38"/>
      <c r="R118" s="38"/>
      <c r="S118" s="38"/>
    </row>
    <row r="119" spans="11:19" x14ac:dyDescent="0.25">
      <c r="K119" s="38"/>
      <c r="L119" s="38"/>
      <c r="M119" s="38"/>
      <c r="N119" s="38"/>
      <c r="O119" s="38"/>
      <c r="P119" s="38"/>
      <c r="Q119" s="38"/>
      <c r="R119" s="38"/>
      <c r="S119" s="38"/>
    </row>
    <row r="120" spans="11:19" x14ac:dyDescent="0.25">
      <c r="K120" s="38"/>
      <c r="L120" s="38"/>
      <c r="M120" s="38"/>
      <c r="N120" s="38"/>
      <c r="O120" s="38"/>
      <c r="P120" s="38"/>
      <c r="Q120" s="38"/>
      <c r="R120" s="38"/>
      <c r="S120" s="38"/>
    </row>
    <row r="121" spans="11:19" x14ac:dyDescent="0.25">
      <c r="K121" s="38"/>
      <c r="L121" s="38"/>
      <c r="M121" s="38"/>
      <c r="N121" s="38"/>
      <c r="O121" s="38"/>
      <c r="P121" s="38"/>
      <c r="Q121" s="38"/>
      <c r="R121" s="38"/>
      <c r="S121" s="38"/>
    </row>
    <row r="122" spans="11:19" x14ac:dyDescent="0.25">
      <c r="K122" s="38"/>
      <c r="L122" s="38"/>
      <c r="M122" s="38"/>
      <c r="N122" s="38"/>
      <c r="O122" s="38"/>
      <c r="P122" s="38"/>
      <c r="Q122" s="38"/>
      <c r="R122" s="38"/>
      <c r="S122" s="38"/>
    </row>
    <row r="123" spans="11:19" x14ac:dyDescent="0.25">
      <c r="K123" s="38"/>
      <c r="L123" s="38"/>
      <c r="M123" s="38"/>
      <c r="N123" s="38"/>
      <c r="O123" s="38"/>
      <c r="P123" s="38"/>
      <c r="Q123" s="38"/>
      <c r="R123" s="38"/>
      <c r="S123" s="38"/>
    </row>
    <row r="124" spans="11:19" x14ac:dyDescent="0.25">
      <c r="K124" s="38"/>
      <c r="L124" s="38"/>
      <c r="M124" s="38"/>
      <c r="N124" s="38"/>
      <c r="O124" s="38"/>
      <c r="P124" s="38"/>
      <c r="Q124" s="38"/>
      <c r="R124" s="38"/>
      <c r="S124" s="38"/>
    </row>
    <row r="125" spans="11:19" x14ac:dyDescent="0.25">
      <c r="K125" s="38"/>
      <c r="L125" s="38"/>
      <c r="M125" s="38"/>
      <c r="N125" s="38"/>
      <c r="O125" s="38"/>
      <c r="P125" s="38"/>
      <c r="Q125" s="38"/>
      <c r="R125" s="38"/>
      <c r="S125" s="38"/>
    </row>
    <row r="126" spans="11:19" x14ac:dyDescent="0.25">
      <c r="K126" s="38"/>
      <c r="L126" s="38"/>
      <c r="M126" s="38"/>
      <c r="N126" s="38"/>
      <c r="O126" s="38"/>
      <c r="P126" s="38"/>
      <c r="Q126" s="38"/>
      <c r="R126" s="38"/>
      <c r="S126" s="38"/>
    </row>
    <row r="127" spans="11:19" x14ac:dyDescent="0.25">
      <c r="K127" s="38"/>
      <c r="L127" s="38"/>
      <c r="M127" s="38"/>
      <c r="N127" s="38"/>
      <c r="O127" s="38"/>
      <c r="P127" s="38"/>
      <c r="Q127" s="38"/>
      <c r="R127" s="38"/>
      <c r="S127" s="38"/>
    </row>
    <row r="128" spans="11:19" x14ac:dyDescent="0.25">
      <c r="K128" s="38"/>
      <c r="L128" s="38"/>
      <c r="M128" s="38"/>
      <c r="N128" s="38"/>
      <c r="O128" s="38"/>
      <c r="P128" s="38"/>
      <c r="Q128" s="38"/>
      <c r="R128" s="38"/>
      <c r="S128" s="38"/>
    </row>
    <row r="129" spans="11:19" x14ac:dyDescent="0.25">
      <c r="K129" s="38"/>
      <c r="L129" s="38"/>
      <c r="M129" s="38"/>
      <c r="N129" s="38"/>
      <c r="O129" s="38"/>
      <c r="P129" s="38"/>
      <c r="Q129" s="38"/>
      <c r="R129" s="38"/>
      <c r="S129" s="38"/>
    </row>
    <row r="130" spans="11:19" x14ac:dyDescent="0.25">
      <c r="K130" s="38"/>
      <c r="L130" s="38"/>
      <c r="M130" s="38"/>
      <c r="N130" s="38"/>
      <c r="O130" s="38"/>
      <c r="P130" s="38"/>
      <c r="Q130" s="38"/>
      <c r="R130" s="38"/>
      <c r="S130" s="38"/>
    </row>
    <row r="131" spans="11:19" x14ac:dyDescent="0.25">
      <c r="K131" s="38"/>
      <c r="L131" s="38"/>
      <c r="M131" s="38"/>
      <c r="N131" s="38"/>
      <c r="O131" s="38"/>
      <c r="P131" s="38"/>
      <c r="Q131" s="38"/>
      <c r="R131" s="38"/>
      <c r="S131" s="38"/>
    </row>
    <row r="132" spans="11:19" x14ac:dyDescent="0.25">
      <c r="K132" s="38"/>
      <c r="L132" s="38"/>
      <c r="M132" s="38"/>
      <c r="N132" s="38"/>
      <c r="O132" s="38"/>
      <c r="P132" s="38"/>
      <c r="Q132" s="38"/>
      <c r="R132" s="38"/>
      <c r="S132" s="38"/>
    </row>
    <row r="133" spans="11:19" x14ac:dyDescent="0.25">
      <c r="K133" s="38"/>
      <c r="L133" s="38"/>
      <c r="M133" s="38"/>
      <c r="N133" s="38"/>
      <c r="O133" s="38"/>
      <c r="P133" s="38"/>
      <c r="Q133" s="38"/>
      <c r="R133" s="38"/>
      <c r="S133" s="38"/>
    </row>
    <row r="134" spans="11:19" x14ac:dyDescent="0.25">
      <c r="K134" s="38"/>
      <c r="L134" s="38"/>
      <c r="M134" s="38"/>
      <c r="N134" s="38"/>
      <c r="O134" s="38"/>
      <c r="P134" s="38"/>
      <c r="Q134" s="38"/>
      <c r="R134" s="38"/>
      <c r="S134" s="38"/>
    </row>
    <row r="135" spans="11:19" x14ac:dyDescent="0.25">
      <c r="K135" s="38"/>
      <c r="L135" s="38"/>
      <c r="M135" s="38"/>
      <c r="N135" s="38"/>
      <c r="O135" s="38"/>
      <c r="P135" s="38"/>
      <c r="Q135" s="38"/>
      <c r="R135" s="38"/>
      <c r="S135" s="38"/>
    </row>
    <row r="136" spans="11:19" x14ac:dyDescent="0.25">
      <c r="K136" s="38"/>
      <c r="L136" s="38"/>
      <c r="M136" s="38"/>
      <c r="N136" s="38"/>
      <c r="O136" s="38"/>
      <c r="P136" s="38"/>
      <c r="Q136" s="38"/>
      <c r="R136" s="38"/>
      <c r="S136" s="38"/>
    </row>
    <row r="137" spans="11:19" x14ac:dyDescent="0.25">
      <c r="K137" s="38"/>
      <c r="L137" s="38"/>
      <c r="M137" s="38"/>
      <c r="N137" s="38"/>
      <c r="O137" s="38"/>
      <c r="P137" s="38"/>
      <c r="Q137" s="38"/>
      <c r="R137" s="38"/>
      <c r="S137" s="38"/>
    </row>
    <row r="138" spans="11:19" x14ac:dyDescent="0.25">
      <c r="K138" s="38"/>
      <c r="L138" s="38"/>
      <c r="M138" s="38"/>
      <c r="N138" s="38"/>
      <c r="O138" s="38"/>
      <c r="P138" s="38"/>
      <c r="Q138" s="38"/>
      <c r="R138" s="38"/>
      <c r="S138" s="38"/>
    </row>
    <row r="139" spans="11:19" x14ac:dyDescent="0.25">
      <c r="K139" s="38"/>
      <c r="L139" s="38"/>
      <c r="M139" s="38"/>
      <c r="N139" s="38"/>
      <c r="O139" s="38"/>
      <c r="P139" s="38"/>
      <c r="Q139" s="38"/>
      <c r="R139" s="38"/>
      <c r="S139" s="38"/>
    </row>
    <row r="140" spans="11:19" x14ac:dyDescent="0.25">
      <c r="K140" s="38"/>
      <c r="L140" s="38"/>
      <c r="M140" s="38"/>
      <c r="N140" s="38"/>
      <c r="O140" s="38"/>
      <c r="P140" s="38"/>
      <c r="Q140" s="38"/>
      <c r="R140" s="38"/>
      <c r="S140" s="38"/>
    </row>
    <row r="141" spans="11:19" x14ac:dyDescent="0.25">
      <c r="K141" s="38"/>
      <c r="L141" s="38"/>
      <c r="M141" s="38"/>
      <c r="N141" s="38"/>
      <c r="O141" s="38"/>
      <c r="P141" s="38"/>
      <c r="Q141" s="38"/>
      <c r="R141" s="38"/>
      <c r="S141" s="38"/>
    </row>
    <row r="142" spans="11:19" x14ac:dyDescent="0.25">
      <c r="K142" s="38"/>
      <c r="L142" s="38"/>
      <c r="M142" s="38"/>
      <c r="N142" s="38"/>
      <c r="O142" s="38"/>
      <c r="P142" s="38"/>
      <c r="Q142" s="38"/>
      <c r="R142" s="38"/>
      <c r="S142" s="38"/>
    </row>
    <row r="143" spans="11:19" x14ac:dyDescent="0.25">
      <c r="K143" s="38"/>
      <c r="L143" s="38"/>
      <c r="M143" s="38"/>
      <c r="N143" s="38"/>
      <c r="O143" s="38"/>
      <c r="P143" s="38"/>
      <c r="Q143" s="38"/>
      <c r="R143" s="38"/>
      <c r="S143" s="38"/>
    </row>
    <row r="144" spans="11:19" x14ac:dyDescent="0.25">
      <c r="K144" s="38"/>
      <c r="L144" s="38"/>
      <c r="M144" s="38"/>
      <c r="N144" s="38"/>
      <c r="O144" s="38"/>
      <c r="P144" s="38"/>
      <c r="Q144" s="38"/>
      <c r="R144" s="38"/>
      <c r="S144" s="38"/>
    </row>
    <row r="145" spans="11:19" x14ac:dyDescent="0.25">
      <c r="K145" s="38"/>
      <c r="L145" s="38"/>
      <c r="M145" s="38"/>
      <c r="N145" s="38"/>
      <c r="O145" s="38"/>
      <c r="P145" s="38"/>
      <c r="Q145" s="38"/>
      <c r="R145" s="38"/>
      <c r="S145" s="38"/>
    </row>
    <row r="146" spans="11:19" x14ac:dyDescent="0.25">
      <c r="K146" s="38"/>
      <c r="L146" s="38"/>
      <c r="M146" s="38"/>
      <c r="N146" s="38"/>
      <c r="O146" s="38"/>
      <c r="P146" s="38"/>
      <c r="Q146" s="38"/>
      <c r="R146" s="38"/>
      <c r="S146" s="38"/>
    </row>
    <row r="147" spans="11:19" x14ac:dyDescent="0.25">
      <c r="K147" s="38"/>
      <c r="L147" s="38"/>
      <c r="M147" s="38"/>
      <c r="N147" s="38"/>
      <c r="O147" s="38"/>
      <c r="P147" s="38"/>
      <c r="Q147" s="38"/>
      <c r="R147" s="38"/>
      <c r="S147" s="38"/>
    </row>
    <row r="148" spans="11:19" x14ac:dyDescent="0.25">
      <c r="K148" s="38"/>
      <c r="L148" s="38"/>
      <c r="M148" s="38"/>
      <c r="N148" s="38"/>
      <c r="O148" s="38"/>
      <c r="P148" s="38"/>
      <c r="Q148" s="38"/>
      <c r="R148" s="38"/>
      <c r="S148" s="38"/>
    </row>
    <row r="149" spans="11:19" x14ac:dyDescent="0.25">
      <c r="K149" s="38"/>
      <c r="L149" s="38"/>
      <c r="M149" s="38"/>
      <c r="N149" s="38"/>
      <c r="O149" s="38"/>
      <c r="P149" s="38"/>
      <c r="Q149" s="38"/>
      <c r="R149" s="38"/>
      <c r="S149" s="38"/>
    </row>
    <row r="150" spans="11:19" x14ac:dyDescent="0.25">
      <c r="K150" s="38"/>
      <c r="L150" s="38"/>
      <c r="M150" s="38"/>
      <c r="N150" s="38"/>
      <c r="O150" s="38"/>
      <c r="P150" s="38"/>
      <c r="Q150" s="38"/>
      <c r="R150" s="38"/>
      <c r="S150" s="38"/>
    </row>
    <row r="151" spans="11:19" x14ac:dyDescent="0.25">
      <c r="K151" s="38"/>
      <c r="L151" s="38"/>
      <c r="M151" s="38"/>
      <c r="N151" s="38"/>
      <c r="O151" s="38"/>
      <c r="P151" s="38"/>
      <c r="Q151" s="38"/>
      <c r="R151" s="38"/>
      <c r="S151" s="38"/>
    </row>
    <row r="152" spans="11:19" x14ac:dyDescent="0.25">
      <c r="K152" s="38"/>
      <c r="L152" s="38"/>
      <c r="M152" s="38"/>
      <c r="N152" s="38"/>
      <c r="O152" s="38"/>
      <c r="P152" s="38"/>
      <c r="Q152" s="38"/>
      <c r="R152" s="38"/>
      <c r="S152" s="38"/>
    </row>
    <row r="153" spans="11:19" x14ac:dyDescent="0.25">
      <c r="K153" s="38"/>
      <c r="L153" s="38"/>
      <c r="M153" s="38"/>
      <c r="N153" s="38"/>
      <c r="O153" s="38"/>
      <c r="P153" s="38"/>
      <c r="Q153" s="38"/>
      <c r="R153" s="38"/>
      <c r="S153" s="38"/>
    </row>
    <row r="154" spans="11:19" x14ac:dyDescent="0.25">
      <c r="K154" s="38"/>
      <c r="L154" s="38"/>
      <c r="M154" s="38"/>
      <c r="N154" s="38"/>
      <c r="O154" s="38"/>
      <c r="P154" s="38"/>
      <c r="Q154" s="38"/>
      <c r="R154" s="38"/>
      <c r="S154" s="38"/>
    </row>
    <row r="155" spans="11:19" x14ac:dyDescent="0.25">
      <c r="K155" s="38"/>
      <c r="L155" s="38"/>
      <c r="M155" s="38"/>
      <c r="N155" s="38"/>
      <c r="O155" s="38"/>
      <c r="P155" s="38"/>
      <c r="Q155" s="38"/>
      <c r="R155" s="38"/>
      <c r="S155" s="38"/>
    </row>
    <row r="156" spans="11:19" x14ac:dyDescent="0.25">
      <c r="K156" s="38"/>
      <c r="L156" s="38"/>
      <c r="M156" s="38"/>
      <c r="N156" s="38"/>
      <c r="O156" s="38"/>
      <c r="P156" s="38"/>
      <c r="Q156" s="38"/>
      <c r="R156" s="38"/>
      <c r="S156" s="38"/>
    </row>
    <row r="157" spans="11:19" x14ac:dyDescent="0.25">
      <c r="K157" s="38"/>
      <c r="L157" s="38"/>
      <c r="M157" s="38"/>
      <c r="N157" s="38"/>
      <c r="O157" s="38"/>
      <c r="P157" s="38"/>
      <c r="Q157" s="38"/>
      <c r="R157" s="38"/>
      <c r="S157" s="38"/>
    </row>
    <row r="158" spans="11:19" x14ac:dyDescent="0.25">
      <c r="K158" s="38"/>
      <c r="L158" s="38"/>
      <c r="M158" s="38"/>
      <c r="N158" s="38"/>
      <c r="O158" s="38"/>
      <c r="P158" s="38"/>
      <c r="Q158" s="38"/>
      <c r="R158" s="38"/>
      <c r="S158" s="38"/>
    </row>
    <row r="159" spans="11:19" x14ac:dyDescent="0.25">
      <c r="K159" s="38"/>
      <c r="L159" s="38"/>
      <c r="M159" s="38"/>
      <c r="N159" s="38"/>
      <c r="O159" s="38"/>
      <c r="P159" s="38"/>
      <c r="Q159" s="38"/>
      <c r="R159" s="38"/>
      <c r="S159" s="38"/>
    </row>
    <row r="160" spans="11:19" x14ac:dyDescent="0.25">
      <c r="K160" s="38"/>
      <c r="L160" s="38"/>
      <c r="M160" s="38"/>
      <c r="N160" s="38"/>
      <c r="O160" s="38"/>
      <c r="P160" s="38"/>
      <c r="Q160" s="38"/>
      <c r="R160" s="38"/>
      <c r="S160" s="38"/>
    </row>
    <row r="161" spans="11:19" x14ac:dyDescent="0.25">
      <c r="K161" s="38"/>
      <c r="L161" s="38"/>
      <c r="M161" s="38"/>
      <c r="N161" s="38"/>
      <c r="O161" s="38"/>
      <c r="P161" s="38"/>
      <c r="Q161" s="38"/>
      <c r="R161" s="38"/>
      <c r="S161" s="38"/>
    </row>
    <row r="162" spans="11:19" x14ac:dyDescent="0.25">
      <c r="K162" s="38"/>
      <c r="L162" s="38"/>
      <c r="M162" s="38"/>
      <c r="N162" s="38"/>
      <c r="O162" s="38"/>
      <c r="P162" s="38"/>
      <c r="Q162" s="38"/>
      <c r="R162" s="38"/>
      <c r="S162" s="38"/>
    </row>
    <row r="163" spans="11:19" x14ac:dyDescent="0.25">
      <c r="K163" s="38"/>
      <c r="L163" s="38"/>
      <c r="M163" s="38"/>
      <c r="N163" s="38"/>
      <c r="O163" s="38"/>
      <c r="P163" s="38"/>
      <c r="Q163" s="38"/>
      <c r="R163" s="38"/>
      <c r="S163" s="38"/>
    </row>
    <row r="164" spans="11:19" x14ac:dyDescent="0.25">
      <c r="K164" s="38"/>
      <c r="L164" s="38"/>
      <c r="M164" s="38"/>
      <c r="N164" s="38"/>
      <c r="O164" s="38"/>
      <c r="P164" s="38"/>
      <c r="Q164" s="38"/>
      <c r="R164" s="38"/>
      <c r="S164" s="38"/>
    </row>
    <row r="165" spans="11:19" x14ac:dyDescent="0.25">
      <c r="K165" s="38"/>
      <c r="L165" s="38"/>
      <c r="M165" s="38"/>
      <c r="N165" s="38"/>
      <c r="O165" s="38"/>
      <c r="P165" s="38"/>
      <c r="Q165" s="38"/>
      <c r="R165" s="38"/>
      <c r="S165" s="38"/>
    </row>
    <row r="166" spans="11:19" x14ac:dyDescent="0.25">
      <c r="K166" s="38"/>
      <c r="L166" s="38"/>
      <c r="M166" s="38"/>
      <c r="N166" s="38"/>
      <c r="O166" s="38"/>
      <c r="P166" s="38"/>
      <c r="Q166" s="38"/>
      <c r="R166" s="38"/>
      <c r="S166" s="38"/>
    </row>
    <row r="167" spans="11:19" x14ac:dyDescent="0.25">
      <c r="K167" s="38"/>
      <c r="L167" s="38"/>
      <c r="M167" s="38"/>
      <c r="N167" s="38"/>
      <c r="O167" s="38"/>
      <c r="P167" s="38"/>
      <c r="Q167" s="38"/>
      <c r="R167" s="38"/>
      <c r="S167" s="38"/>
    </row>
    <row r="168" spans="11:19" x14ac:dyDescent="0.25">
      <c r="K168" s="38"/>
      <c r="L168" s="38"/>
      <c r="M168" s="38"/>
      <c r="N168" s="38"/>
      <c r="O168" s="38"/>
      <c r="P168" s="38"/>
      <c r="Q168" s="38"/>
      <c r="R168" s="38"/>
      <c r="S168" s="38"/>
    </row>
    <row r="169" spans="11:19" x14ac:dyDescent="0.25">
      <c r="K169" s="38"/>
      <c r="L169" s="38"/>
      <c r="M169" s="38"/>
      <c r="N169" s="38"/>
      <c r="O169" s="38"/>
      <c r="P169" s="38"/>
      <c r="Q169" s="38"/>
      <c r="R169" s="38"/>
      <c r="S169" s="38"/>
    </row>
    <row r="170" spans="11:19" x14ac:dyDescent="0.25">
      <c r="K170" s="38"/>
      <c r="L170" s="38"/>
      <c r="M170" s="38"/>
      <c r="N170" s="38"/>
      <c r="O170" s="38"/>
      <c r="P170" s="38"/>
      <c r="Q170" s="38"/>
      <c r="R170" s="38"/>
      <c r="S170" s="38"/>
    </row>
    <row r="171" spans="11:19" x14ac:dyDescent="0.25">
      <c r="K171" s="38"/>
      <c r="L171" s="38"/>
      <c r="M171" s="38"/>
      <c r="N171" s="38"/>
      <c r="O171" s="38"/>
      <c r="P171" s="38"/>
      <c r="Q171" s="38"/>
      <c r="R171" s="38"/>
      <c r="S171" s="38"/>
    </row>
    <row r="172" spans="11:19" x14ac:dyDescent="0.25">
      <c r="K172" s="38"/>
      <c r="L172" s="38"/>
      <c r="M172" s="38"/>
      <c r="N172" s="38"/>
      <c r="O172" s="38"/>
      <c r="P172" s="38"/>
      <c r="Q172" s="38"/>
      <c r="R172" s="38"/>
      <c r="S172" s="38"/>
    </row>
    <row r="173" spans="11:19" x14ac:dyDescent="0.25">
      <c r="K173" s="38"/>
      <c r="L173" s="38"/>
      <c r="M173" s="38"/>
      <c r="N173" s="38"/>
      <c r="O173" s="38"/>
      <c r="P173" s="38"/>
      <c r="Q173" s="38"/>
      <c r="R173" s="38"/>
      <c r="S173" s="38"/>
    </row>
    <row r="174" spans="11:19" x14ac:dyDescent="0.25">
      <c r="K174" s="38"/>
      <c r="L174" s="38"/>
      <c r="M174" s="38"/>
      <c r="N174" s="38"/>
      <c r="O174" s="38"/>
      <c r="P174" s="38"/>
      <c r="Q174" s="38"/>
      <c r="R174" s="38"/>
      <c r="S174" s="38"/>
    </row>
    <row r="175" spans="11:19" x14ac:dyDescent="0.25">
      <c r="K175" s="38"/>
      <c r="L175" s="38"/>
      <c r="M175" s="38"/>
      <c r="N175" s="38"/>
      <c r="O175" s="38"/>
      <c r="P175" s="38"/>
      <c r="Q175" s="38"/>
      <c r="R175" s="38"/>
      <c r="S175" s="38"/>
    </row>
    <row r="176" spans="11:19" x14ac:dyDescent="0.25">
      <c r="K176" s="38"/>
      <c r="L176" s="38"/>
      <c r="M176" s="38"/>
      <c r="N176" s="38"/>
      <c r="O176" s="38"/>
      <c r="P176" s="38"/>
      <c r="Q176" s="38"/>
      <c r="R176" s="38"/>
      <c r="S176" s="38"/>
    </row>
    <row r="177" spans="11:19" x14ac:dyDescent="0.25">
      <c r="K177" s="38"/>
      <c r="L177" s="38"/>
      <c r="M177" s="38"/>
      <c r="N177" s="38"/>
      <c r="O177" s="38"/>
      <c r="P177" s="38"/>
      <c r="Q177" s="38"/>
      <c r="R177" s="38"/>
      <c r="S177" s="38"/>
    </row>
    <row r="178" spans="11:19" x14ac:dyDescent="0.25">
      <c r="K178" s="38"/>
      <c r="L178" s="38"/>
      <c r="M178" s="38"/>
      <c r="N178" s="38"/>
      <c r="O178" s="38"/>
      <c r="P178" s="38"/>
      <c r="Q178" s="38"/>
      <c r="R178" s="38"/>
      <c r="S178" s="38"/>
    </row>
    <row r="179" spans="11:19" x14ac:dyDescent="0.25">
      <c r="K179" s="38"/>
      <c r="L179" s="38"/>
      <c r="M179" s="38"/>
      <c r="N179" s="38"/>
      <c r="O179" s="38"/>
      <c r="P179" s="38"/>
      <c r="Q179" s="38"/>
      <c r="R179" s="38"/>
      <c r="S179" s="38"/>
    </row>
    <row r="180" spans="11:19" x14ac:dyDescent="0.25">
      <c r="K180" s="38"/>
      <c r="L180" s="38"/>
      <c r="M180" s="38"/>
      <c r="N180" s="38"/>
      <c r="O180" s="38"/>
      <c r="P180" s="38"/>
      <c r="Q180" s="38"/>
      <c r="R180" s="38"/>
      <c r="S180" s="38"/>
    </row>
    <row r="181" spans="11:19" x14ac:dyDescent="0.25">
      <c r="K181" s="38"/>
      <c r="L181" s="38"/>
      <c r="M181" s="38"/>
      <c r="N181" s="38"/>
      <c r="O181" s="38"/>
      <c r="P181" s="38"/>
      <c r="Q181" s="38"/>
      <c r="R181" s="38"/>
      <c r="S181" s="38"/>
    </row>
    <row r="182" spans="11:19" x14ac:dyDescent="0.25">
      <c r="K182" s="38"/>
      <c r="L182" s="38"/>
      <c r="M182" s="38"/>
      <c r="N182" s="38"/>
      <c r="O182" s="38"/>
      <c r="P182" s="38"/>
      <c r="Q182" s="38"/>
      <c r="R182" s="38"/>
      <c r="S182" s="38"/>
    </row>
    <row r="183" spans="11:19" x14ac:dyDescent="0.25">
      <c r="K183" s="38"/>
      <c r="L183" s="38"/>
      <c r="M183" s="38"/>
      <c r="N183" s="38"/>
      <c r="O183" s="38"/>
      <c r="P183" s="38"/>
      <c r="Q183" s="38"/>
      <c r="R183" s="38"/>
      <c r="S183" s="38"/>
    </row>
    <row r="184" spans="11:19" x14ac:dyDescent="0.25">
      <c r="K184" s="38"/>
      <c r="L184" s="38"/>
      <c r="M184" s="38"/>
      <c r="N184" s="38"/>
      <c r="O184" s="38"/>
      <c r="P184" s="38"/>
      <c r="Q184" s="38"/>
      <c r="R184" s="38"/>
      <c r="S184" s="38"/>
    </row>
    <row r="185" spans="11:19" x14ac:dyDescent="0.25">
      <c r="K185" s="38"/>
      <c r="L185" s="38"/>
      <c r="M185" s="38"/>
      <c r="N185" s="38"/>
      <c r="O185" s="38"/>
      <c r="P185" s="38"/>
      <c r="Q185" s="38"/>
      <c r="R185" s="38"/>
      <c r="S185" s="38"/>
    </row>
    <row r="186" spans="11:19" x14ac:dyDescent="0.25">
      <c r="K186" s="38"/>
      <c r="L186" s="38"/>
      <c r="M186" s="38"/>
      <c r="N186" s="38"/>
      <c r="O186" s="38"/>
      <c r="P186" s="38"/>
      <c r="Q186" s="38"/>
      <c r="R186" s="38"/>
      <c r="S186" s="38"/>
    </row>
    <row r="187" spans="11:19" x14ac:dyDescent="0.25">
      <c r="K187" s="38"/>
      <c r="L187" s="38"/>
      <c r="M187" s="38"/>
      <c r="N187" s="38"/>
      <c r="O187" s="38"/>
      <c r="P187" s="38"/>
      <c r="Q187" s="38"/>
      <c r="R187" s="38"/>
      <c r="S187" s="38"/>
    </row>
    <row r="188" spans="11:19" x14ac:dyDescent="0.25">
      <c r="K188" s="38"/>
      <c r="L188" s="38"/>
      <c r="M188" s="38"/>
      <c r="N188" s="38"/>
      <c r="O188" s="38"/>
      <c r="P188" s="38"/>
      <c r="Q188" s="38"/>
      <c r="R188" s="38"/>
      <c r="S188" s="38"/>
    </row>
    <row r="189" spans="11:19" x14ac:dyDescent="0.25">
      <c r="K189" s="38"/>
      <c r="L189" s="38"/>
      <c r="M189" s="38"/>
      <c r="N189" s="38"/>
      <c r="O189" s="38"/>
      <c r="P189" s="38"/>
      <c r="Q189" s="38"/>
      <c r="R189" s="38"/>
      <c r="S189" s="38"/>
    </row>
    <row r="190" spans="11:19" x14ac:dyDescent="0.25">
      <c r="K190" s="38"/>
      <c r="L190" s="38"/>
      <c r="M190" s="38"/>
      <c r="N190" s="38"/>
      <c r="O190" s="38"/>
      <c r="P190" s="38"/>
      <c r="Q190" s="38"/>
      <c r="R190" s="38"/>
      <c r="S190" s="38"/>
    </row>
    <row r="191" spans="11:19" x14ac:dyDescent="0.25">
      <c r="K191" s="38"/>
      <c r="L191" s="38"/>
      <c r="M191" s="38"/>
      <c r="N191" s="38"/>
      <c r="O191" s="38"/>
      <c r="P191" s="38"/>
      <c r="Q191" s="38"/>
      <c r="R191" s="38"/>
      <c r="S191" s="38"/>
    </row>
    <row r="192" spans="11:19" x14ac:dyDescent="0.25">
      <c r="K192" s="38"/>
      <c r="L192" s="38"/>
      <c r="M192" s="38"/>
      <c r="N192" s="38"/>
      <c r="O192" s="38"/>
      <c r="P192" s="38"/>
      <c r="Q192" s="38"/>
      <c r="R192" s="38"/>
      <c r="S192" s="38"/>
    </row>
    <row r="193" spans="11:19" x14ac:dyDescent="0.25">
      <c r="K193" s="38"/>
      <c r="L193" s="38"/>
      <c r="M193" s="38"/>
      <c r="N193" s="38"/>
      <c r="O193" s="38"/>
      <c r="P193" s="38"/>
      <c r="Q193" s="38"/>
      <c r="R193" s="38"/>
      <c r="S193" s="38"/>
    </row>
    <row r="194" spans="11:19" x14ac:dyDescent="0.25">
      <c r="K194" s="38"/>
      <c r="L194" s="38"/>
      <c r="M194" s="38"/>
      <c r="N194" s="38"/>
      <c r="O194" s="38"/>
      <c r="P194" s="38"/>
      <c r="Q194" s="38"/>
      <c r="R194" s="38"/>
      <c r="S194" s="38"/>
    </row>
    <row r="195" spans="11:19" x14ac:dyDescent="0.25">
      <c r="K195" s="38"/>
      <c r="L195" s="38"/>
      <c r="M195" s="38"/>
      <c r="N195" s="38"/>
      <c r="O195" s="38"/>
      <c r="P195" s="38"/>
      <c r="Q195" s="38"/>
      <c r="R195" s="38"/>
      <c r="S195" s="38"/>
    </row>
    <row r="196" spans="11:19" x14ac:dyDescent="0.25">
      <c r="K196" s="38"/>
      <c r="L196" s="38"/>
      <c r="M196" s="38"/>
      <c r="N196" s="38"/>
      <c r="O196" s="38"/>
      <c r="P196" s="38"/>
      <c r="Q196" s="38"/>
      <c r="R196" s="38"/>
      <c r="S196" s="38"/>
    </row>
    <row r="197" spans="11:19" x14ac:dyDescent="0.25">
      <c r="K197" s="38"/>
      <c r="L197" s="38"/>
      <c r="M197" s="38"/>
      <c r="N197" s="38"/>
      <c r="O197" s="38"/>
      <c r="P197" s="38"/>
      <c r="Q197" s="38"/>
      <c r="R197" s="38"/>
      <c r="S197" s="38"/>
    </row>
    <row r="198" spans="11:19" x14ac:dyDescent="0.25">
      <c r="K198" s="38"/>
      <c r="L198" s="38"/>
      <c r="M198" s="38"/>
      <c r="N198" s="38"/>
      <c r="O198" s="38"/>
      <c r="P198" s="38"/>
      <c r="Q198" s="38"/>
      <c r="R198" s="38"/>
      <c r="S198" s="38"/>
    </row>
    <row r="199" spans="11:19" x14ac:dyDescent="0.25">
      <c r="K199" s="38"/>
      <c r="L199" s="38"/>
      <c r="M199" s="38"/>
      <c r="N199" s="38"/>
      <c r="O199" s="38"/>
      <c r="P199" s="38"/>
      <c r="Q199" s="38"/>
      <c r="R199" s="38"/>
      <c r="S199" s="38"/>
    </row>
    <row r="200" spans="11:19" x14ac:dyDescent="0.25">
      <c r="K200" s="38"/>
      <c r="L200" s="38"/>
      <c r="M200" s="38"/>
      <c r="N200" s="38"/>
      <c r="O200" s="38"/>
      <c r="P200" s="38"/>
      <c r="Q200" s="38"/>
      <c r="R200" s="38"/>
      <c r="S200" s="38"/>
    </row>
    <row r="201" spans="11:19" x14ac:dyDescent="0.25">
      <c r="K201" s="38"/>
      <c r="L201" s="38"/>
      <c r="M201" s="38"/>
      <c r="N201" s="38"/>
      <c r="O201" s="38"/>
      <c r="P201" s="38"/>
      <c r="Q201" s="38"/>
      <c r="R201" s="38"/>
      <c r="S201" s="38"/>
    </row>
    <row r="202" spans="11:19" x14ac:dyDescent="0.25">
      <c r="K202" s="38"/>
      <c r="L202" s="38"/>
      <c r="M202" s="38"/>
      <c r="N202" s="38"/>
      <c r="O202" s="38"/>
      <c r="P202" s="38"/>
      <c r="Q202" s="38"/>
      <c r="R202" s="38"/>
      <c r="S202" s="38"/>
    </row>
    <row r="203" spans="11:19" x14ac:dyDescent="0.25">
      <c r="K203" s="38"/>
      <c r="L203" s="38"/>
      <c r="M203" s="38"/>
      <c r="N203" s="38"/>
      <c r="O203" s="38"/>
      <c r="P203" s="38"/>
      <c r="Q203" s="38"/>
      <c r="R203" s="38"/>
      <c r="S203" s="38"/>
    </row>
    <row r="204" spans="11:19" x14ac:dyDescent="0.25">
      <c r="K204" s="38"/>
      <c r="L204" s="38"/>
      <c r="M204" s="38"/>
      <c r="N204" s="38"/>
      <c r="O204" s="38"/>
      <c r="P204" s="38"/>
      <c r="Q204" s="38"/>
      <c r="R204" s="38"/>
      <c r="S204" s="38"/>
    </row>
    <row r="205" spans="11:19" x14ac:dyDescent="0.25">
      <c r="K205" s="38"/>
      <c r="L205" s="38"/>
      <c r="M205" s="38"/>
      <c r="N205" s="38"/>
      <c r="O205" s="38"/>
      <c r="P205" s="38"/>
      <c r="Q205" s="38"/>
      <c r="R205" s="38"/>
      <c r="S205" s="38"/>
    </row>
    <row r="206" spans="11:19" x14ac:dyDescent="0.25">
      <c r="K206" s="38"/>
      <c r="L206" s="38"/>
      <c r="M206" s="38"/>
      <c r="N206" s="38"/>
      <c r="O206" s="38"/>
      <c r="P206" s="38"/>
      <c r="Q206" s="38"/>
      <c r="R206" s="38"/>
      <c r="S206" s="38"/>
    </row>
    <row r="207" spans="11:19" x14ac:dyDescent="0.25">
      <c r="K207" s="38"/>
      <c r="L207" s="38"/>
      <c r="M207" s="38"/>
      <c r="N207" s="38"/>
      <c r="O207" s="38"/>
      <c r="P207" s="38"/>
      <c r="Q207" s="38"/>
      <c r="R207" s="38"/>
      <c r="S207" s="38"/>
    </row>
    <row r="208" spans="11:19" x14ac:dyDescent="0.25">
      <c r="K208" s="38"/>
      <c r="L208" s="38"/>
      <c r="M208" s="38"/>
      <c r="N208" s="38"/>
      <c r="O208" s="38"/>
      <c r="P208" s="38"/>
      <c r="Q208" s="38"/>
      <c r="R208" s="38"/>
      <c r="S208" s="38"/>
    </row>
    <row r="209" spans="11:19" x14ac:dyDescent="0.25">
      <c r="K209" s="38"/>
      <c r="L209" s="38"/>
      <c r="M209" s="38"/>
      <c r="N209" s="38"/>
      <c r="O209" s="38"/>
      <c r="P209" s="38"/>
      <c r="Q209" s="38"/>
      <c r="R209" s="38"/>
      <c r="S209" s="38"/>
    </row>
    <row r="210" spans="11:19" x14ac:dyDescent="0.25">
      <c r="K210" s="38"/>
      <c r="L210" s="38"/>
      <c r="M210" s="38"/>
      <c r="N210" s="38"/>
      <c r="O210" s="38"/>
      <c r="P210" s="38"/>
      <c r="Q210" s="38"/>
      <c r="R210" s="38"/>
      <c r="S210" s="38"/>
    </row>
    <row r="211" spans="11:19" x14ac:dyDescent="0.25">
      <c r="K211" s="38"/>
      <c r="L211" s="38"/>
      <c r="M211" s="38"/>
      <c r="N211" s="38"/>
      <c r="O211" s="38"/>
      <c r="P211" s="38"/>
      <c r="Q211" s="38"/>
      <c r="R211" s="38"/>
      <c r="S211" s="38"/>
    </row>
    <row r="212" spans="11:19" x14ac:dyDescent="0.25">
      <c r="K212" s="38"/>
      <c r="L212" s="38"/>
      <c r="M212" s="38"/>
      <c r="N212" s="38"/>
      <c r="O212" s="38"/>
      <c r="P212" s="38"/>
      <c r="Q212" s="38"/>
      <c r="R212" s="38"/>
      <c r="S212" s="38"/>
    </row>
    <row r="213" spans="11:19" x14ac:dyDescent="0.25">
      <c r="K213" s="38"/>
      <c r="L213" s="38"/>
      <c r="M213" s="38"/>
      <c r="N213" s="38"/>
      <c r="O213" s="38"/>
      <c r="P213" s="38"/>
      <c r="Q213" s="38"/>
      <c r="R213" s="38"/>
      <c r="S213" s="38"/>
    </row>
    <row r="214" spans="11:19" x14ac:dyDescent="0.25">
      <c r="K214" s="38"/>
      <c r="L214" s="38"/>
      <c r="M214" s="38"/>
      <c r="N214" s="38"/>
      <c r="O214" s="38"/>
      <c r="P214" s="38"/>
      <c r="Q214" s="38"/>
      <c r="R214" s="38"/>
      <c r="S214" s="38"/>
    </row>
    <row r="215" spans="11:19" x14ac:dyDescent="0.25">
      <c r="K215" s="38"/>
      <c r="L215" s="38"/>
      <c r="M215" s="38"/>
      <c r="N215" s="38"/>
      <c r="O215" s="38"/>
      <c r="P215" s="38"/>
      <c r="Q215" s="38"/>
      <c r="R215" s="38"/>
      <c r="S215" s="38"/>
    </row>
    <row r="216" spans="11:19" x14ac:dyDescent="0.25">
      <c r="K216" s="38"/>
      <c r="L216" s="38"/>
      <c r="M216" s="38"/>
      <c r="N216" s="38"/>
      <c r="O216" s="38"/>
      <c r="P216" s="38"/>
      <c r="Q216" s="38"/>
      <c r="R216" s="38"/>
      <c r="S216" s="38"/>
    </row>
    <row r="217" spans="11:19" x14ac:dyDescent="0.25">
      <c r="K217" s="38"/>
      <c r="L217" s="38"/>
      <c r="M217" s="38"/>
      <c r="N217" s="38"/>
      <c r="O217" s="38"/>
      <c r="P217" s="38"/>
      <c r="Q217" s="38"/>
      <c r="R217" s="38"/>
      <c r="S217" s="38"/>
    </row>
    <row r="218" spans="11:19" x14ac:dyDescent="0.25">
      <c r="K218" s="38"/>
      <c r="L218" s="38"/>
      <c r="M218" s="38"/>
      <c r="N218" s="38"/>
      <c r="O218" s="38"/>
      <c r="P218" s="38"/>
      <c r="Q218" s="38"/>
      <c r="R218" s="38"/>
      <c r="S218" s="38"/>
    </row>
    <row r="219" spans="11:19" x14ac:dyDescent="0.25">
      <c r="K219" s="38"/>
      <c r="L219" s="38"/>
      <c r="M219" s="38"/>
      <c r="N219" s="38"/>
      <c r="O219" s="38"/>
      <c r="P219" s="38"/>
      <c r="Q219" s="38"/>
      <c r="R219" s="38"/>
      <c r="S219" s="38"/>
    </row>
    <row r="220" spans="11:19" x14ac:dyDescent="0.25">
      <c r="K220" s="38"/>
      <c r="L220" s="38"/>
      <c r="M220" s="38"/>
      <c r="N220" s="38"/>
      <c r="O220" s="38"/>
      <c r="P220" s="38"/>
      <c r="Q220" s="38"/>
      <c r="R220" s="38"/>
      <c r="S220" s="38"/>
    </row>
    <row r="221" spans="11:19" x14ac:dyDescent="0.25">
      <c r="K221" s="38"/>
      <c r="L221" s="38"/>
      <c r="M221" s="38"/>
      <c r="N221" s="38"/>
      <c r="O221" s="38"/>
      <c r="P221" s="38"/>
      <c r="Q221" s="38"/>
      <c r="R221" s="38"/>
      <c r="S221" s="38"/>
    </row>
    <row r="222" spans="11:19" x14ac:dyDescent="0.25">
      <c r="K222" s="38"/>
      <c r="L222" s="38"/>
      <c r="M222" s="38"/>
      <c r="N222" s="38"/>
      <c r="O222" s="38"/>
      <c r="P222" s="38"/>
      <c r="Q222" s="38"/>
      <c r="R222" s="38"/>
      <c r="S222" s="38"/>
    </row>
    <row r="223" spans="11:19" x14ac:dyDescent="0.25">
      <c r="K223" s="38"/>
      <c r="L223" s="38"/>
      <c r="M223" s="38"/>
      <c r="N223" s="38"/>
      <c r="O223" s="38"/>
      <c r="P223" s="38"/>
      <c r="Q223" s="38"/>
      <c r="R223" s="38"/>
      <c r="S223" s="38"/>
    </row>
    <row r="224" spans="11:19" x14ac:dyDescent="0.25">
      <c r="K224" s="38"/>
      <c r="L224" s="38"/>
      <c r="M224" s="38"/>
      <c r="N224" s="38"/>
      <c r="O224" s="38"/>
      <c r="P224" s="38"/>
      <c r="Q224" s="38"/>
      <c r="R224" s="38"/>
      <c r="S224" s="38"/>
    </row>
    <row r="225" spans="11:19" x14ac:dyDescent="0.25">
      <c r="K225" s="38"/>
      <c r="L225" s="38"/>
      <c r="M225" s="38"/>
      <c r="N225" s="38"/>
      <c r="O225" s="38"/>
      <c r="P225" s="38"/>
      <c r="Q225" s="38"/>
      <c r="R225" s="38"/>
      <c r="S225" s="38"/>
    </row>
    <row r="226" spans="11:19" x14ac:dyDescent="0.25">
      <c r="K226" s="38"/>
      <c r="L226" s="38"/>
      <c r="M226" s="38"/>
      <c r="N226" s="38"/>
      <c r="O226" s="38"/>
      <c r="P226" s="38"/>
      <c r="Q226" s="38"/>
      <c r="R226" s="38"/>
      <c r="S226" s="38"/>
    </row>
    <row r="227" spans="11:19" x14ac:dyDescent="0.25">
      <c r="K227" s="38"/>
      <c r="L227" s="38"/>
      <c r="M227" s="38"/>
      <c r="N227" s="38"/>
      <c r="O227" s="38"/>
      <c r="P227" s="38"/>
      <c r="Q227" s="38"/>
      <c r="R227" s="38"/>
      <c r="S227" s="38"/>
    </row>
    <row r="228" spans="11:19" x14ac:dyDescent="0.25">
      <c r="K228" s="38"/>
      <c r="L228" s="38"/>
      <c r="M228" s="38"/>
      <c r="N228" s="38"/>
      <c r="O228" s="38"/>
      <c r="P228" s="38"/>
      <c r="Q228" s="38"/>
      <c r="R228" s="38"/>
      <c r="S228" s="38"/>
    </row>
    <row r="229" spans="11:19" x14ac:dyDescent="0.25">
      <c r="K229" s="38"/>
      <c r="L229" s="38"/>
      <c r="M229" s="38"/>
      <c r="N229" s="38"/>
      <c r="O229" s="38"/>
      <c r="P229" s="38"/>
      <c r="Q229" s="38"/>
      <c r="R229" s="38"/>
      <c r="S229" s="38"/>
    </row>
    <row r="230" spans="11:19" x14ac:dyDescent="0.25">
      <c r="K230" s="38"/>
      <c r="L230" s="38"/>
      <c r="M230" s="38"/>
      <c r="N230" s="38"/>
      <c r="O230" s="38"/>
      <c r="P230" s="38"/>
      <c r="Q230" s="38"/>
      <c r="R230" s="38"/>
      <c r="S230" s="38"/>
    </row>
    <row r="231" spans="11:19" x14ac:dyDescent="0.25">
      <c r="K231" s="38"/>
      <c r="L231" s="38"/>
      <c r="M231" s="38"/>
      <c r="N231" s="38"/>
      <c r="O231" s="38"/>
      <c r="P231" s="38"/>
      <c r="Q231" s="38"/>
      <c r="R231" s="38"/>
      <c r="S231" s="38"/>
    </row>
    <row r="232" spans="11:19" x14ac:dyDescent="0.25">
      <c r="K232" s="38"/>
      <c r="L232" s="38"/>
      <c r="M232" s="38"/>
      <c r="N232" s="38"/>
      <c r="O232" s="38"/>
      <c r="P232" s="38"/>
      <c r="Q232" s="38"/>
      <c r="R232" s="38"/>
      <c r="S232" s="38"/>
    </row>
    <row r="233" spans="11:19" x14ac:dyDescent="0.25">
      <c r="K233" s="38"/>
      <c r="L233" s="38"/>
      <c r="M233" s="38"/>
      <c r="N233" s="38"/>
      <c r="O233" s="38"/>
      <c r="P233" s="38"/>
      <c r="Q233" s="38"/>
      <c r="R233" s="38"/>
      <c r="S233" s="38"/>
    </row>
    <row r="234" spans="11:19" x14ac:dyDescent="0.25">
      <c r="K234" s="38"/>
      <c r="L234" s="38"/>
      <c r="M234" s="38"/>
      <c r="N234" s="38"/>
      <c r="O234" s="38"/>
      <c r="P234" s="38"/>
      <c r="Q234" s="38"/>
      <c r="R234" s="38"/>
      <c r="S234" s="38"/>
    </row>
    <row r="235" spans="11:19" x14ac:dyDescent="0.25">
      <c r="K235" s="38"/>
      <c r="L235" s="38"/>
      <c r="M235" s="38"/>
      <c r="N235" s="38"/>
      <c r="O235" s="38"/>
      <c r="P235" s="38"/>
      <c r="Q235" s="38"/>
      <c r="R235" s="38"/>
      <c r="S235" s="38"/>
    </row>
    <row r="236" spans="11:19" x14ac:dyDescent="0.25">
      <c r="K236" s="38"/>
      <c r="L236" s="38"/>
      <c r="M236" s="38"/>
      <c r="N236" s="38"/>
      <c r="O236" s="38"/>
      <c r="P236" s="38"/>
      <c r="Q236" s="38"/>
      <c r="R236" s="38"/>
      <c r="S236" s="38"/>
    </row>
    <row r="237" spans="11:19" x14ac:dyDescent="0.25">
      <c r="K237" s="38"/>
      <c r="L237" s="38"/>
      <c r="M237" s="38"/>
      <c r="N237" s="38"/>
      <c r="O237" s="38"/>
      <c r="P237" s="38"/>
      <c r="Q237" s="38"/>
      <c r="R237" s="38"/>
      <c r="S237" s="38"/>
    </row>
    <row r="238" spans="11:19" x14ac:dyDescent="0.25">
      <c r="K238" s="38"/>
      <c r="L238" s="38"/>
      <c r="M238" s="38"/>
      <c r="N238" s="38"/>
      <c r="O238" s="38"/>
      <c r="P238" s="38"/>
      <c r="Q238" s="38"/>
      <c r="R238" s="38"/>
      <c r="S238" s="38"/>
    </row>
    <row r="239" spans="11:19" x14ac:dyDescent="0.25">
      <c r="K239" s="38"/>
      <c r="L239" s="38"/>
      <c r="M239" s="38"/>
      <c r="N239" s="38"/>
      <c r="O239" s="38"/>
      <c r="P239" s="38"/>
      <c r="Q239" s="38"/>
      <c r="R239" s="38"/>
      <c r="S239" s="38"/>
    </row>
    <row r="240" spans="11:19" x14ac:dyDescent="0.25">
      <c r="K240" s="38"/>
      <c r="L240" s="38"/>
      <c r="M240" s="38"/>
      <c r="N240" s="38"/>
      <c r="O240" s="38"/>
      <c r="P240" s="38"/>
      <c r="Q240" s="38"/>
      <c r="R240" s="38"/>
      <c r="S240" s="38"/>
    </row>
    <row r="241" spans="11:19" x14ac:dyDescent="0.25">
      <c r="K241" s="38"/>
      <c r="L241" s="38"/>
      <c r="M241" s="38"/>
      <c r="N241" s="38"/>
      <c r="O241" s="38"/>
      <c r="P241" s="38"/>
      <c r="Q241" s="38"/>
      <c r="R241" s="38"/>
      <c r="S241" s="38"/>
    </row>
    <row r="242" spans="11:19" x14ac:dyDescent="0.25">
      <c r="K242" s="38"/>
      <c r="L242" s="38"/>
      <c r="M242" s="38"/>
      <c r="N242" s="38"/>
      <c r="O242" s="38"/>
      <c r="P242" s="38"/>
      <c r="Q242" s="38"/>
      <c r="R242" s="38"/>
      <c r="S242" s="38"/>
    </row>
    <row r="243" spans="11:19" x14ac:dyDescent="0.25">
      <c r="K243" s="38"/>
      <c r="L243" s="38"/>
      <c r="M243" s="38"/>
      <c r="N243" s="38"/>
      <c r="O243" s="38"/>
      <c r="P243" s="38"/>
      <c r="Q243" s="38"/>
      <c r="R243" s="38"/>
      <c r="S243" s="38"/>
    </row>
    <row r="244" spans="11:19" x14ac:dyDescent="0.25">
      <c r="K244" s="38"/>
      <c r="L244" s="38"/>
      <c r="M244" s="38"/>
      <c r="N244" s="38"/>
      <c r="O244" s="38"/>
      <c r="P244" s="38"/>
      <c r="Q244" s="38"/>
      <c r="R244" s="38"/>
      <c r="S244" s="38"/>
    </row>
    <row r="245" spans="11:19" x14ac:dyDescent="0.25">
      <c r="K245" s="38"/>
      <c r="L245" s="38"/>
      <c r="M245" s="38"/>
      <c r="N245" s="38"/>
      <c r="O245" s="38"/>
      <c r="P245" s="38"/>
      <c r="Q245" s="38"/>
      <c r="R245" s="38"/>
      <c r="S245" s="38"/>
    </row>
    <row r="246" spans="11:19" x14ac:dyDescent="0.25">
      <c r="K246" s="38"/>
      <c r="L246" s="38"/>
      <c r="M246" s="38"/>
      <c r="N246" s="38"/>
      <c r="O246" s="38"/>
      <c r="P246" s="38"/>
      <c r="Q246" s="38"/>
      <c r="R246" s="38"/>
      <c r="S246" s="38"/>
    </row>
    <row r="247" spans="11:19" x14ac:dyDescent="0.25">
      <c r="K247" s="38"/>
      <c r="L247" s="38"/>
      <c r="M247" s="38"/>
      <c r="N247" s="38"/>
      <c r="O247" s="38"/>
      <c r="P247" s="38"/>
      <c r="Q247" s="38"/>
      <c r="R247" s="38"/>
      <c r="S247" s="38"/>
    </row>
    <row r="248" spans="11:19" x14ac:dyDescent="0.25">
      <c r="K248" s="38"/>
      <c r="L248" s="38"/>
      <c r="M248" s="38"/>
      <c r="N248" s="38"/>
      <c r="O248" s="38"/>
      <c r="P248" s="38"/>
      <c r="Q248" s="38"/>
      <c r="R248" s="38"/>
      <c r="S248" s="38"/>
    </row>
    <row r="249" spans="11:19" x14ac:dyDescent="0.25">
      <c r="K249" s="38"/>
      <c r="L249" s="38"/>
      <c r="M249" s="38"/>
      <c r="N249" s="38"/>
      <c r="O249" s="38"/>
      <c r="P249" s="38"/>
      <c r="Q249" s="38"/>
      <c r="R249" s="38"/>
      <c r="S249" s="38"/>
    </row>
    <row r="250" spans="11:19" x14ac:dyDescent="0.25">
      <c r="K250" s="38"/>
      <c r="L250" s="38"/>
      <c r="M250" s="38"/>
      <c r="N250" s="38"/>
      <c r="O250" s="38"/>
      <c r="P250" s="38"/>
      <c r="Q250" s="38"/>
      <c r="R250" s="38"/>
      <c r="S250" s="38"/>
    </row>
    <row r="251" spans="11:19" x14ac:dyDescent="0.25">
      <c r="K251" s="38"/>
      <c r="L251" s="38"/>
      <c r="M251" s="38"/>
      <c r="N251" s="38"/>
      <c r="O251" s="38"/>
      <c r="P251" s="38"/>
      <c r="Q251" s="38"/>
      <c r="R251" s="38"/>
      <c r="S251" s="38"/>
    </row>
    <row r="252" spans="11:19" x14ac:dyDescent="0.25">
      <c r="K252" s="38"/>
      <c r="L252" s="38"/>
      <c r="M252" s="38"/>
      <c r="N252" s="38"/>
      <c r="O252" s="38"/>
      <c r="P252" s="38"/>
      <c r="Q252" s="38"/>
      <c r="R252" s="38"/>
      <c r="S252" s="38"/>
    </row>
    <row r="253" spans="11:19" x14ac:dyDescent="0.25">
      <c r="K253" s="38"/>
      <c r="L253" s="38"/>
      <c r="M253" s="38"/>
      <c r="N253" s="38"/>
      <c r="O253" s="38"/>
      <c r="P253" s="38"/>
      <c r="Q253" s="38"/>
      <c r="R253" s="38"/>
      <c r="S253" s="38"/>
    </row>
    <row r="254" spans="11:19" x14ac:dyDescent="0.25">
      <c r="K254" s="38"/>
      <c r="L254" s="38"/>
      <c r="M254" s="38"/>
      <c r="N254" s="38"/>
      <c r="O254" s="38"/>
      <c r="P254" s="38"/>
      <c r="Q254" s="38"/>
      <c r="R254" s="38"/>
      <c r="S254" s="38"/>
    </row>
    <row r="255" spans="11:19" x14ac:dyDescent="0.25">
      <c r="K255" s="38"/>
      <c r="L255" s="38"/>
      <c r="M255" s="38"/>
      <c r="N255" s="38"/>
      <c r="O255" s="38"/>
      <c r="P255" s="38"/>
      <c r="Q255" s="38"/>
      <c r="R255" s="38"/>
      <c r="S255" s="38"/>
    </row>
    <row r="256" spans="11:19" x14ac:dyDescent="0.25">
      <c r="K256" s="38"/>
      <c r="L256" s="38"/>
      <c r="M256" s="38"/>
      <c r="N256" s="38"/>
      <c r="O256" s="38"/>
      <c r="P256" s="38"/>
      <c r="Q256" s="38"/>
      <c r="R256" s="38"/>
      <c r="S256" s="38"/>
    </row>
    <row r="257" spans="11:19" x14ac:dyDescent="0.25">
      <c r="K257" s="38"/>
      <c r="L257" s="38"/>
      <c r="M257" s="38"/>
      <c r="N257" s="38"/>
      <c r="O257" s="38"/>
      <c r="P257" s="38"/>
      <c r="Q257" s="38"/>
      <c r="R257" s="38"/>
      <c r="S257" s="38"/>
    </row>
    <row r="258" spans="11:19" x14ac:dyDescent="0.25">
      <c r="K258" s="38"/>
      <c r="L258" s="38"/>
      <c r="M258" s="38"/>
      <c r="N258" s="38"/>
      <c r="O258" s="38"/>
      <c r="P258" s="38"/>
      <c r="Q258" s="38"/>
      <c r="R258" s="38"/>
      <c r="S258" s="38"/>
    </row>
    <row r="259" spans="11:19" x14ac:dyDescent="0.25">
      <c r="K259" s="38"/>
      <c r="L259" s="38"/>
      <c r="M259" s="38"/>
      <c r="N259" s="38"/>
      <c r="O259" s="38"/>
      <c r="P259" s="38"/>
      <c r="Q259" s="38"/>
      <c r="R259" s="38"/>
      <c r="S259" s="38"/>
    </row>
    <row r="260" spans="11:19" x14ac:dyDescent="0.25">
      <c r="K260" s="38"/>
      <c r="L260" s="38"/>
      <c r="M260" s="38"/>
      <c r="N260" s="38"/>
      <c r="O260" s="38"/>
      <c r="P260" s="38"/>
      <c r="Q260" s="38"/>
      <c r="R260" s="38"/>
      <c r="S260" s="38"/>
    </row>
    <row r="261" spans="11:19" x14ac:dyDescent="0.25">
      <c r="K261" s="38"/>
      <c r="L261" s="38"/>
      <c r="M261" s="38"/>
      <c r="N261" s="38"/>
      <c r="O261" s="38"/>
      <c r="P261" s="38"/>
      <c r="Q261" s="38"/>
      <c r="R261" s="38"/>
      <c r="S261" s="38"/>
    </row>
    <row r="262" spans="11:19" x14ac:dyDescent="0.25">
      <c r="K262" s="38"/>
      <c r="L262" s="38"/>
      <c r="M262" s="38"/>
      <c r="N262" s="38"/>
      <c r="O262" s="38"/>
      <c r="P262" s="38"/>
      <c r="Q262" s="38"/>
      <c r="R262" s="38"/>
      <c r="S262" s="38"/>
    </row>
    <row r="263" spans="11:19" x14ac:dyDescent="0.25">
      <c r="K263" s="38"/>
      <c r="L263" s="38"/>
      <c r="M263" s="38"/>
      <c r="N263" s="38"/>
      <c r="O263" s="38"/>
      <c r="P263" s="38"/>
      <c r="Q263" s="38"/>
      <c r="R263" s="38"/>
      <c r="S263" s="38"/>
    </row>
    <row r="264" spans="11:19" x14ac:dyDescent="0.25">
      <c r="K264" s="38"/>
      <c r="L264" s="38"/>
      <c r="M264" s="38"/>
      <c r="N264" s="38"/>
      <c r="O264" s="38"/>
      <c r="P264" s="38"/>
      <c r="Q264" s="38"/>
      <c r="R264" s="38"/>
      <c r="S264" s="38"/>
    </row>
    <row r="265" spans="11:19" x14ac:dyDescent="0.25">
      <c r="K265" s="38"/>
      <c r="L265" s="38"/>
      <c r="M265" s="38"/>
      <c r="N265" s="38"/>
      <c r="O265" s="38"/>
      <c r="P265" s="38"/>
      <c r="Q265" s="38"/>
      <c r="R265" s="38"/>
      <c r="S265" s="38"/>
    </row>
    <row r="266" spans="11:19" x14ac:dyDescent="0.25">
      <c r="K266" s="38"/>
      <c r="L266" s="38"/>
      <c r="M266" s="38"/>
      <c r="N266" s="38"/>
      <c r="O266" s="38"/>
      <c r="P266" s="38"/>
      <c r="Q266" s="38"/>
      <c r="R266" s="38"/>
      <c r="S266" s="38"/>
    </row>
    <row r="267" spans="11:19" x14ac:dyDescent="0.25">
      <c r="K267" s="38"/>
      <c r="L267" s="38"/>
      <c r="M267" s="38"/>
      <c r="N267" s="38"/>
      <c r="O267" s="38"/>
      <c r="P267" s="38"/>
      <c r="Q267" s="38"/>
      <c r="R267" s="38"/>
      <c r="S267" s="38"/>
    </row>
    <row r="268" spans="11:19" x14ac:dyDescent="0.25">
      <c r="K268" s="38"/>
      <c r="L268" s="38"/>
      <c r="M268" s="38"/>
      <c r="N268" s="38"/>
      <c r="O268" s="38"/>
      <c r="P268" s="38"/>
      <c r="Q268" s="38"/>
      <c r="R268" s="38"/>
      <c r="S268" s="38"/>
    </row>
    <row r="269" spans="11:19" x14ac:dyDescent="0.25">
      <c r="K269" s="38"/>
      <c r="L269" s="38"/>
      <c r="M269" s="38"/>
      <c r="N269" s="38"/>
      <c r="O269" s="38"/>
      <c r="P269" s="38"/>
      <c r="Q269" s="38"/>
      <c r="R269" s="38"/>
      <c r="S269" s="38"/>
    </row>
    <row r="270" spans="11:19" x14ac:dyDescent="0.25">
      <c r="K270" s="38"/>
      <c r="L270" s="38"/>
      <c r="M270" s="38"/>
      <c r="N270" s="38"/>
      <c r="O270" s="38"/>
      <c r="P270" s="38"/>
      <c r="Q270" s="38"/>
      <c r="R270" s="38"/>
      <c r="S270" s="38"/>
    </row>
    <row r="271" spans="11:19" x14ac:dyDescent="0.25">
      <c r="K271" s="38"/>
      <c r="L271" s="38"/>
      <c r="M271" s="38"/>
      <c r="N271" s="38"/>
      <c r="O271" s="38"/>
      <c r="P271" s="38"/>
      <c r="Q271" s="38"/>
      <c r="R271" s="38"/>
      <c r="S271" s="38"/>
    </row>
    <row r="272" spans="11:19" x14ac:dyDescent="0.25">
      <c r="K272" s="38"/>
      <c r="L272" s="38"/>
      <c r="M272" s="38"/>
      <c r="N272" s="38"/>
      <c r="O272" s="38"/>
      <c r="P272" s="38"/>
      <c r="Q272" s="38"/>
      <c r="R272" s="38"/>
      <c r="S272" s="38"/>
    </row>
    <row r="273" spans="11:19" x14ac:dyDescent="0.25">
      <c r="K273" s="38"/>
      <c r="L273" s="38"/>
      <c r="M273" s="38"/>
      <c r="N273" s="38"/>
      <c r="O273" s="38"/>
      <c r="P273" s="38"/>
      <c r="Q273" s="38"/>
      <c r="R273" s="38"/>
      <c r="S273" s="38"/>
    </row>
    <row r="274" spans="11:19" x14ac:dyDescent="0.25">
      <c r="K274" s="38"/>
      <c r="L274" s="38"/>
      <c r="M274" s="38"/>
      <c r="N274" s="38"/>
      <c r="O274" s="38"/>
      <c r="P274" s="38"/>
      <c r="Q274" s="38"/>
      <c r="R274" s="38"/>
      <c r="S274" s="38"/>
    </row>
    <row r="275" spans="11:19" x14ac:dyDescent="0.25">
      <c r="K275" s="38"/>
      <c r="L275" s="38"/>
      <c r="M275" s="38"/>
      <c r="N275" s="38"/>
      <c r="O275" s="38"/>
      <c r="P275" s="38"/>
      <c r="Q275" s="38"/>
      <c r="R275" s="38"/>
      <c r="S275" s="38"/>
    </row>
    <row r="276" spans="11:19" x14ac:dyDescent="0.25">
      <c r="K276" s="38"/>
      <c r="L276" s="38"/>
      <c r="M276" s="38"/>
      <c r="N276" s="38"/>
      <c r="O276" s="38"/>
      <c r="P276" s="38"/>
      <c r="Q276" s="38"/>
      <c r="R276" s="38"/>
      <c r="S276" s="38"/>
    </row>
    <row r="277" spans="11:19" x14ac:dyDescent="0.25">
      <c r="K277" s="38"/>
      <c r="L277" s="38"/>
      <c r="M277" s="38"/>
      <c r="N277" s="38"/>
      <c r="O277" s="38"/>
      <c r="P277" s="38"/>
      <c r="Q277" s="38"/>
      <c r="R277" s="38"/>
      <c r="S277" s="38"/>
    </row>
    <row r="278" spans="11:19" x14ac:dyDescent="0.25">
      <c r="K278" s="38"/>
      <c r="L278" s="38"/>
      <c r="M278" s="38"/>
      <c r="N278" s="38"/>
      <c r="O278" s="38"/>
      <c r="P278" s="38"/>
      <c r="Q278" s="38"/>
      <c r="R278" s="38"/>
      <c r="S278" s="38"/>
    </row>
    <row r="279" spans="11:19" x14ac:dyDescent="0.25">
      <c r="K279" s="38"/>
      <c r="L279" s="38"/>
      <c r="M279" s="38"/>
      <c r="N279" s="38"/>
      <c r="O279" s="38"/>
      <c r="P279" s="38"/>
      <c r="Q279" s="38"/>
      <c r="R279" s="38"/>
      <c r="S279" s="38"/>
    </row>
    <row r="280" spans="11:19" x14ac:dyDescent="0.25">
      <c r="K280" s="38"/>
      <c r="L280" s="38"/>
      <c r="M280" s="38"/>
      <c r="N280" s="38"/>
      <c r="O280" s="38"/>
      <c r="P280" s="38"/>
      <c r="Q280" s="38"/>
      <c r="R280" s="38"/>
      <c r="S280" s="38"/>
    </row>
    <row r="281" spans="11:19" x14ac:dyDescent="0.25">
      <c r="K281" s="38"/>
      <c r="L281" s="38"/>
      <c r="M281" s="38"/>
      <c r="N281" s="38"/>
      <c r="O281" s="38"/>
      <c r="P281" s="38"/>
      <c r="Q281" s="38"/>
      <c r="R281" s="38"/>
      <c r="S281" s="38"/>
    </row>
    <row r="282" spans="11:19" x14ac:dyDescent="0.25">
      <c r="K282" s="38"/>
      <c r="L282" s="38"/>
      <c r="M282" s="38"/>
      <c r="N282" s="38"/>
      <c r="O282" s="38"/>
      <c r="P282" s="38"/>
      <c r="Q282" s="38"/>
      <c r="R282" s="38"/>
      <c r="S282" s="38"/>
    </row>
    <row r="283" spans="11:19" x14ac:dyDescent="0.25">
      <c r="K283" s="38"/>
      <c r="L283" s="38"/>
      <c r="M283" s="38"/>
      <c r="N283" s="38"/>
      <c r="O283" s="38"/>
      <c r="P283" s="38"/>
      <c r="Q283" s="38"/>
      <c r="R283" s="38"/>
      <c r="S283" s="38"/>
    </row>
    <row r="284" spans="11:19" x14ac:dyDescent="0.25">
      <c r="K284" s="38"/>
      <c r="L284" s="38"/>
      <c r="M284" s="38"/>
      <c r="N284" s="38"/>
      <c r="O284" s="38"/>
      <c r="P284" s="38"/>
      <c r="Q284" s="38"/>
      <c r="R284" s="38"/>
      <c r="S284" s="38"/>
    </row>
    <row r="285" spans="11:19" x14ac:dyDescent="0.25">
      <c r="K285" s="38"/>
      <c r="L285" s="38"/>
      <c r="M285" s="38"/>
      <c r="N285" s="38"/>
      <c r="O285" s="38"/>
      <c r="P285" s="38"/>
      <c r="Q285" s="38"/>
      <c r="R285" s="38"/>
      <c r="S285" s="38"/>
    </row>
    <row r="286" spans="11:19" x14ac:dyDescent="0.25">
      <c r="K286" s="38"/>
      <c r="L286" s="38"/>
      <c r="M286" s="38"/>
      <c r="N286" s="38"/>
      <c r="O286" s="38"/>
      <c r="P286" s="38"/>
      <c r="Q286" s="38"/>
      <c r="R286" s="38"/>
      <c r="S286" s="38"/>
    </row>
    <row r="287" spans="11:19" x14ac:dyDescent="0.25">
      <c r="K287" s="38"/>
      <c r="L287" s="38"/>
      <c r="M287" s="38"/>
      <c r="N287" s="38"/>
      <c r="O287" s="38"/>
      <c r="P287" s="38"/>
      <c r="Q287" s="38"/>
      <c r="R287" s="38"/>
      <c r="S287" s="38"/>
    </row>
    <row r="288" spans="11:19" x14ac:dyDescent="0.25">
      <c r="K288" s="38"/>
      <c r="L288" s="38"/>
      <c r="M288" s="38"/>
      <c r="N288" s="38"/>
      <c r="O288" s="38"/>
      <c r="P288" s="38"/>
      <c r="Q288" s="38"/>
      <c r="R288" s="38"/>
      <c r="S288" s="38"/>
    </row>
    <row r="289" spans="11:19" x14ac:dyDescent="0.25">
      <c r="K289" s="38"/>
      <c r="L289" s="38"/>
      <c r="M289" s="38"/>
      <c r="N289" s="38"/>
      <c r="O289" s="38"/>
      <c r="P289" s="38"/>
      <c r="Q289" s="38"/>
      <c r="R289" s="38"/>
      <c r="S289" s="38"/>
    </row>
    <row r="290" spans="11:19" x14ac:dyDescent="0.25">
      <c r="K290" s="38"/>
      <c r="L290" s="38"/>
      <c r="M290" s="38"/>
      <c r="N290" s="38"/>
      <c r="O290" s="38"/>
      <c r="P290" s="38"/>
      <c r="Q290" s="38"/>
      <c r="R290" s="38"/>
      <c r="S290" s="38"/>
    </row>
    <row r="291" spans="11:19" x14ac:dyDescent="0.25">
      <c r="K291" s="38"/>
      <c r="L291" s="38"/>
      <c r="M291" s="38"/>
      <c r="N291" s="38"/>
      <c r="O291" s="38"/>
      <c r="P291" s="38"/>
      <c r="Q291" s="38"/>
      <c r="R291" s="38"/>
      <c r="S291" s="38"/>
    </row>
    <row r="292" spans="11:19" x14ac:dyDescent="0.25">
      <c r="K292" s="38"/>
      <c r="L292" s="38"/>
      <c r="M292" s="38"/>
      <c r="N292" s="38"/>
      <c r="O292" s="38"/>
      <c r="P292" s="38"/>
      <c r="Q292" s="38"/>
      <c r="R292" s="38"/>
      <c r="S292" s="38"/>
    </row>
    <row r="293" spans="11:19" x14ac:dyDescent="0.25">
      <c r="K293" s="38"/>
      <c r="L293" s="38"/>
      <c r="M293" s="38"/>
      <c r="N293" s="38"/>
      <c r="O293" s="38"/>
      <c r="P293" s="38"/>
      <c r="Q293" s="38"/>
      <c r="R293" s="38"/>
      <c r="S293" s="38"/>
    </row>
    <row r="294" spans="11:19" x14ac:dyDescent="0.25">
      <c r="K294" s="38"/>
      <c r="L294" s="38"/>
      <c r="M294" s="38"/>
      <c r="N294" s="38"/>
      <c r="O294" s="38"/>
      <c r="P294" s="38"/>
      <c r="Q294" s="38"/>
      <c r="R294" s="38"/>
      <c r="S294" s="38"/>
    </row>
    <row r="295" spans="11:19" x14ac:dyDescent="0.25">
      <c r="K295" s="38"/>
      <c r="L295" s="38"/>
      <c r="M295" s="38"/>
      <c r="N295" s="38"/>
      <c r="O295" s="38"/>
      <c r="P295" s="38"/>
      <c r="Q295" s="38"/>
      <c r="R295" s="38"/>
      <c r="S295" s="38"/>
    </row>
    <row r="296" spans="11:19" x14ac:dyDescent="0.25">
      <c r="K296" s="38"/>
      <c r="L296" s="38"/>
      <c r="M296" s="38"/>
      <c r="N296" s="38"/>
      <c r="O296" s="38"/>
      <c r="P296" s="38"/>
      <c r="Q296" s="38"/>
      <c r="R296" s="38"/>
      <c r="S296" s="38"/>
    </row>
    <row r="297" spans="11:19" x14ac:dyDescent="0.25">
      <c r="K297" s="38"/>
      <c r="L297" s="38"/>
      <c r="M297" s="38"/>
      <c r="N297" s="38"/>
      <c r="O297" s="38"/>
      <c r="P297" s="38"/>
      <c r="Q297" s="38"/>
      <c r="R297" s="38"/>
      <c r="S297" s="38"/>
    </row>
    <row r="298" spans="11:19" x14ac:dyDescent="0.25">
      <c r="K298" s="38"/>
      <c r="L298" s="38"/>
      <c r="M298" s="38"/>
      <c r="N298" s="38"/>
      <c r="O298" s="38"/>
      <c r="P298" s="38"/>
      <c r="Q298" s="38"/>
      <c r="R298" s="38"/>
      <c r="S298" s="38"/>
    </row>
    <row r="299" spans="11:19" x14ac:dyDescent="0.25">
      <c r="K299" s="38"/>
      <c r="L299" s="38"/>
      <c r="M299" s="38"/>
      <c r="N299" s="38"/>
      <c r="O299" s="38"/>
      <c r="P299" s="38"/>
      <c r="Q299" s="38"/>
      <c r="R299" s="38"/>
      <c r="S299" s="38"/>
    </row>
    <row r="300" spans="11:19" x14ac:dyDescent="0.25">
      <c r="K300" s="38"/>
      <c r="L300" s="38"/>
      <c r="M300" s="38"/>
      <c r="N300" s="38"/>
      <c r="O300" s="38"/>
      <c r="P300" s="38"/>
      <c r="Q300" s="38"/>
      <c r="R300" s="38"/>
      <c r="S300" s="38"/>
    </row>
    <row r="301" spans="11:19" x14ac:dyDescent="0.25">
      <c r="K301" s="38"/>
      <c r="L301" s="38"/>
      <c r="M301" s="38"/>
      <c r="N301" s="38"/>
      <c r="O301" s="38"/>
      <c r="P301" s="38"/>
      <c r="Q301" s="38"/>
      <c r="R301" s="38"/>
      <c r="S301" s="38"/>
    </row>
    <row r="302" spans="11:19" x14ac:dyDescent="0.25">
      <c r="K302" s="38"/>
      <c r="L302" s="38"/>
      <c r="M302" s="38"/>
      <c r="N302" s="38"/>
      <c r="O302" s="38"/>
      <c r="P302" s="38"/>
      <c r="Q302" s="38"/>
      <c r="R302" s="38"/>
      <c r="S302" s="38"/>
    </row>
    <row r="303" spans="11:19" x14ac:dyDescent="0.25">
      <c r="K303" s="38"/>
      <c r="L303" s="38"/>
      <c r="M303" s="38"/>
      <c r="N303" s="38"/>
      <c r="O303" s="38"/>
      <c r="P303" s="38"/>
      <c r="Q303" s="38"/>
      <c r="R303" s="38"/>
      <c r="S303" s="38"/>
    </row>
    <row r="304" spans="11:19" x14ac:dyDescent="0.25">
      <c r="K304" s="38"/>
      <c r="L304" s="38"/>
      <c r="M304" s="38"/>
      <c r="N304" s="38"/>
      <c r="O304" s="38"/>
      <c r="P304" s="38"/>
      <c r="Q304" s="38"/>
      <c r="R304" s="38"/>
      <c r="S304" s="38"/>
    </row>
    <row r="305" spans="11:19" x14ac:dyDescent="0.25">
      <c r="K305" s="38"/>
      <c r="L305" s="38"/>
      <c r="M305" s="38"/>
      <c r="N305" s="38"/>
      <c r="O305" s="38"/>
      <c r="P305" s="38"/>
      <c r="Q305" s="38"/>
      <c r="R305" s="38"/>
      <c r="S305" s="38"/>
    </row>
    <row r="306" spans="11:19" x14ac:dyDescent="0.25">
      <c r="K306" s="38"/>
      <c r="L306" s="38"/>
      <c r="M306" s="38"/>
      <c r="N306" s="38"/>
      <c r="O306" s="38"/>
      <c r="P306" s="38"/>
      <c r="Q306" s="38"/>
      <c r="R306" s="38"/>
      <c r="S306" s="38"/>
    </row>
    <row r="307" spans="11:19" x14ac:dyDescent="0.25">
      <c r="K307" s="38"/>
      <c r="L307" s="38"/>
      <c r="M307" s="38"/>
      <c r="N307" s="38"/>
      <c r="O307" s="38"/>
      <c r="P307" s="38"/>
      <c r="Q307" s="38"/>
      <c r="R307" s="38"/>
      <c r="S307" s="38"/>
    </row>
    <row r="308" spans="11:19" x14ac:dyDescent="0.25">
      <c r="K308" s="38"/>
      <c r="L308" s="38"/>
      <c r="M308" s="38"/>
      <c r="N308" s="38"/>
      <c r="O308" s="38"/>
      <c r="P308" s="38"/>
      <c r="Q308" s="38"/>
      <c r="R308" s="38"/>
      <c r="S308" s="38"/>
    </row>
    <row r="309" spans="11:19" x14ac:dyDescent="0.25">
      <c r="K309" s="38"/>
      <c r="L309" s="38"/>
      <c r="M309" s="38"/>
      <c r="N309" s="38"/>
      <c r="O309" s="38"/>
      <c r="P309" s="38"/>
      <c r="Q309" s="38"/>
      <c r="R309" s="38"/>
      <c r="S309" s="38"/>
    </row>
    <row r="310" spans="11:19" x14ac:dyDescent="0.25">
      <c r="K310" s="38"/>
      <c r="L310" s="38"/>
      <c r="M310" s="38"/>
      <c r="N310" s="38"/>
      <c r="O310" s="38"/>
      <c r="P310" s="38"/>
      <c r="Q310" s="38"/>
      <c r="R310" s="38"/>
      <c r="S310" s="38"/>
    </row>
    <row r="311" spans="11:19" x14ac:dyDescent="0.25">
      <c r="K311" s="38"/>
      <c r="L311" s="38"/>
      <c r="M311" s="38"/>
      <c r="N311" s="38"/>
      <c r="O311" s="38"/>
      <c r="P311" s="38"/>
      <c r="Q311" s="38"/>
      <c r="R311" s="38"/>
      <c r="S311" s="38"/>
    </row>
    <row r="312" spans="11:19" x14ac:dyDescent="0.25">
      <c r="K312" s="38"/>
      <c r="L312" s="38"/>
      <c r="M312" s="38"/>
      <c r="N312" s="38"/>
      <c r="O312" s="38"/>
      <c r="P312" s="38"/>
      <c r="Q312" s="38"/>
      <c r="R312" s="38"/>
      <c r="S312" s="38"/>
    </row>
    <row r="313" spans="11:19" x14ac:dyDescent="0.25">
      <c r="K313" s="38"/>
      <c r="L313" s="38"/>
      <c r="M313" s="38"/>
      <c r="N313" s="38"/>
      <c r="O313" s="38"/>
      <c r="P313" s="38"/>
      <c r="Q313" s="38"/>
      <c r="R313" s="38"/>
      <c r="S313" s="38"/>
    </row>
    <row r="314" spans="11:19" x14ac:dyDescent="0.25">
      <c r="K314" s="38"/>
      <c r="L314" s="38"/>
      <c r="M314" s="38"/>
      <c r="N314" s="38"/>
      <c r="O314" s="38"/>
      <c r="P314" s="38"/>
      <c r="Q314" s="38"/>
      <c r="R314" s="38"/>
      <c r="S314" s="38"/>
    </row>
    <row r="315" spans="11:19" x14ac:dyDescent="0.25">
      <c r="K315" s="38"/>
      <c r="L315" s="38"/>
      <c r="M315" s="38"/>
      <c r="N315" s="38"/>
      <c r="O315" s="38"/>
      <c r="P315" s="38"/>
      <c r="Q315" s="38"/>
      <c r="R315" s="38"/>
      <c r="S315" s="38"/>
    </row>
    <row r="316" spans="11:19" x14ac:dyDescent="0.25">
      <c r="K316" s="38"/>
      <c r="L316" s="38"/>
      <c r="M316" s="38"/>
      <c r="N316" s="38"/>
      <c r="O316" s="38"/>
      <c r="P316" s="38"/>
      <c r="Q316" s="38"/>
      <c r="R316" s="38"/>
      <c r="S316" s="38"/>
    </row>
    <row r="317" spans="11:19" x14ac:dyDescent="0.25">
      <c r="K317" s="38"/>
      <c r="L317" s="38"/>
      <c r="M317" s="38"/>
      <c r="N317" s="38"/>
      <c r="O317" s="38"/>
      <c r="P317" s="38"/>
      <c r="Q317" s="38"/>
      <c r="R317" s="38"/>
      <c r="S317" s="38"/>
    </row>
    <row r="318" spans="11:19" x14ac:dyDescent="0.25">
      <c r="K318" s="38"/>
      <c r="L318" s="38"/>
      <c r="M318" s="38"/>
      <c r="N318" s="38"/>
      <c r="O318" s="38"/>
      <c r="P318" s="38"/>
      <c r="Q318" s="38"/>
      <c r="R318" s="38"/>
      <c r="S318" s="38"/>
    </row>
    <row r="319" spans="11:19" x14ac:dyDescent="0.25">
      <c r="K319" s="38"/>
      <c r="L319" s="38"/>
      <c r="M319" s="38"/>
      <c r="N319" s="38"/>
      <c r="O319" s="38"/>
      <c r="P319" s="38"/>
      <c r="Q319" s="38"/>
      <c r="R319" s="38"/>
      <c r="S319" s="38"/>
    </row>
    <row r="320" spans="11:19" x14ac:dyDescent="0.25">
      <c r="K320" s="38"/>
      <c r="L320" s="38"/>
      <c r="M320" s="38"/>
      <c r="N320" s="38"/>
      <c r="O320" s="38"/>
      <c r="P320" s="38"/>
      <c r="Q320" s="38"/>
      <c r="R320" s="38"/>
      <c r="S320" s="38"/>
    </row>
    <row r="321" spans="11:19" x14ac:dyDescent="0.25">
      <c r="K321" s="38"/>
      <c r="L321" s="38"/>
      <c r="M321" s="38"/>
      <c r="N321" s="38"/>
      <c r="O321" s="38"/>
      <c r="P321" s="38"/>
      <c r="Q321" s="38"/>
      <c r="R321" s="38"/>
      <c r="S321" s="38"/>
    </row>
    <row r="322" spans="11:19" x14ac:dyDescent="0.25">
      <c r="K322" s="38"/>
      <c r="L322" s="38"/>
      <c r="M322" s="38"/>
      <c r="N322" s="38"/>
      <c r="O322" s="38"/>
      <c r="P322" s="38"/>
      <c r="Q322" s="38"/>
      <c r="R322" s="38"/>
      <c r="S322" s="38"/>
    </row>
    <row r="323" spans="11:19" x14ac:dyDescent="0.25">
      <c r="K323" s="38"/>
      <c r="L323" s="38"/>
      <c r="M323" s="38"/>
      <c r="N323" s="38"/>
      <c r="O323" s="38"/>
      <c r="P323" s="38"/>
      <c r="Q323" s="38"/>
      <c r="R323" s="38"/>
      <c r="S323" s="38"/>
    </row>
    <row r="324" spans="11:19" x14ac:dyDescent="0.25">
      <c r="K324" s="38"/>
      <c r="L324" s="38"/>
      <c r="M324" s="38"/>
      <c r="N324" s="38"/>
      <c r="O324" s="38"/>
      <c r="P324" s="38"/>
      <c r="Q324" s="38"/>
      <c r="R324" s="38"/>
      <c r="S324" s="38"/>
    </row>
    <row r="325" spans="11:19" x14ac:dyDescent="0.25">
      <c r="K325" s="38"/>
      <c r="L325" s="38"/>
      <c r="M325" s="38"/>
      <c r="N325" s="38"/>
      <c r="O325" s="38"/>
      <c r="P325" s="38"/>
      <c r="Q325" s="38"/>
      <c r="R325" s="38"/>
      <c r="S325" s="38"/>
    </row>
    <row r="326" spans="11:19" x14ac:dyDescent="0.25">
      <c r="K326" s="38"/>
      <c r="L326" s="38"/>
      <c r="M326" s="38"/>
      <c r="N326" s="38"/>
      <c r="O326" s="38"/>
      <c r="P326" s="38"/>
      <c r="Q326" s="38"/>
      <c r="R326" s="38"/>
      <c r="S326" s="38"/>
    </row>
    <row r="327" spans="11:19" x14ac:dyDescent="0.25">
      <c r="K327" s="38"/>
      <c r="L327" s="38"/>
      <c r="M327" s="38"/>
      <c r="N327" s="38"/>
      <c r="O327" s="38"/>
      <c r="P327" s="38"/>
      <c r="Q327" s="38"/>
      <c r="R327" s="38"/>
      <c r="S327" s="38"/>
    </row>
    <row r="328" spans="11:19" x14ac:dyDescent="0.25">
      <c r="K328" s="38"/>
      <c r="L328" s="38"/>
      <c r="M328" s="38"/>
      <c r="N328" s="38"/>
      <c r="O328" s="38"/>
      <c r="P328" s="38"/>
      <c r="Q328" s="38"/>
      <c r="R328" s="38"/>
      <c r="S328" s="38"/>
    </row>
    <row r="329" spans="11:19" x14ac:dyDescent="0.25">
      <c r="K329" s="38"/>
      <c r="L329" s="38"/>
      <c r="M329" s="38"/>
      <c r="N329" s="38"/>
      <c r="O329" s="38"/>
      <c r="P329" s="38"/>
      <c r="Q329" s="38"/>
      <c r="R329" s="38"/>
      <c r="S329" s="38"/>
    </row>
    <row r="330" spans="11:19" x14ac:dyDescent="0.25">
      <c r="K330" s="38"/>
      <c r="L330" s="38"/>
      <c r="M330" s="38"/>
      <c r="N330" s="38"/>
      <c r="O330" s="38"/>
      <c r="P330" s="38"/>
      <c r="Q330" s="38"/>
      <c r="R330" s="38"/>
      <c r="S330" s="38"/>
    </row>
    <row r="331" spans="11:19" x14ac:dyDescent="0.25">
      <c r="K331" s="38"/>
      <c r="L331" s="38"/>
      <c r="M331" s="38"/>
      <c r="N331" s="38"/>
      <c r="O331" s="38"/>
      <c r="P331" s="38"/>
      <c r="Q331" s="38"/>
      <c r="R331" s="38"/>
      <c r="S331" s="38"/>
    </row>
    <row r="332" spans="11:19" x14ac:dyDescent="0.25">
      <c r="K332" s="38"/>
      <c r="L332" s="38"/>
      <c r="M332" s="38"/>
      <c r="N332" s="38"/>
      <c r="O332" s="38"/>
      <c r="P332" s="38"/>
      <c r="Q332" s="38"/>
      <c r="R332" s="38"/>
      <c r="S332" s="38"/>
    </row>
    <row r="333" spans="11:19" x14ac:dyDescent="0.25">
      <c r="K333" s="38"/>
      <c r="L333" s="38"/>
      <c r="M333" s="38"/>
      <c r="N333" s="38"/>
      <c r="O333" s="38"/>
      <c r="P333" s="38"/>
      <c r="Q333" s="38"/>
      <c r="R333" s="38"/>
      <c r="S333" s="38"/>
    </row>
    <row r="334" spans="11:19" x14ac:dyDescent="0.25">
      <c r="K334" s="38"/>
      <c r="L334" s="38"/>
      <c r="M334" s="38"/>
      <c r="N334" s="38"/>
      <c r="O334" s="38"/>
      <c r="P334" s="38"/>
      <c r="Q334" s="38"/>
      <c r="R334" s="38"/>
      <c r="S334" s="38"/>
    </row>
    <row r="335" spans="11:19" x14ac:dyDescent="0.25">
      <c r="K335" s="38"/>
      <c r="L335" s="38"/>
      <c r="M335" s="38"/>
      <c r="N335" s="38"/>
      <c r="O335" s="38"/>
      <c r="P335" s="38"/>
      <c r="Q335" s="38"/>
      <c r="R335" s="38"/>
      <c r="S335" s="38"/>
    </row>
    <row r="336" spans="11:19" x14ac:dyDescent="0.25">
      <c r="K336" s="38"/>
      <c r="L336" s="38"/>
      <c r="M336" s="38"/>
      <c r="N336" s="38"/>
      <c r="O336" s="38"/>
      <c r="P336" s="38"/>
      <c r="Q336" s="38"/>
      <c r="R336" s="38"/>
      <c r="S336" s="38"/>
    </row>
    <row r="337" spans="11:19" x14ac:dyDescent="0.25">
      <c r="K337" s="38"/>
      <c r="L337" s="38"/>
      <c r="M337" s="38"/>
      <c r="N337" s="38"/>
      <c r="O337" s="38"/>
      <c r="P337" s="38"/>
      <c r="Q337" s="38"/>
      <c r="R337" s="38"/>
      <c r="S337" s="38"/>
    </row>
    <row r="338" spans="11:19" x14ac:dyDescent="0.25">
      <c r="K338" s="38"/>
      <c r="L338" s="38"/>
      <c r="M338" s="38"/>
      <c r="N338" s="38"/>
      <c r="O338" s="38"/>
      <c r="P338" s="38"/>
      <c r="Q338" s="38"/>
      <c r="R338" s="38"/>
      <c r="S338" s="38"/>
    </row>
    <row r="339" spans="11:19" x14ac:dyDescent="0.25">
      <c r="K339" s="38"/>
      <c r="L339" s="38"/>
      <c r="M339" s="38"/>
      <c r="N339" s="38"/>
      <c r="O339" s="38"/>
      <c r="P339" s="38"/>
      <c r="Q339" s="38"/>
      <c r="R339" s="38"/>
      <c r="S339" s="38"/>
    </row>
    <row r="340" spans="11:19" x14ac:dyDescent="0.25">
      <c r="K340" s="38"/>
      <c r="L340" s="38"/>
      <c r="M340" s="38"/>
      <c r="N340" s="38"/>
      <c r="O340" s="38"/>
      <c r="P340" s="38"/>
      <c r="Q340" s="38"/>
      <c r="R340" s="38"/>
      <c r="S340" s="38"/>
    </row>
    <row r="341" spans="11:19" x14ac:dyDescent="0.25">
      <c r="K341" s="38"/>
      <c r="L341" s="38"/>
      <c r="M341" s="38"/>
      <c r="N341" s="38"/>
      <c r="O341" s="38"/>
      <c r="P341" s="38"/>
      <c r="Q341" s="38"/>
      <c r="R341" s="38"/>
      <c r="S341" s="38"/>
    </row>
    <row r="342" spans="11:19" x14ac:dyDescent="0.25">
      <c r="K342" s="38"/>
      <c r="L342" s="38"/>
      <c r="M342" s="38"/>
      <c r="N342" s="38"/>
      <c r="O342" s="38"/>
      <c r="P342" s="38"/>
      <c r="Q342" s="38"/>
      <c r="R342" s="38"/>
      <c r="S342" s="38"/>
    </row>
    <row r="343" spans="11:19" x14ac:dyDescent="0.25">
      <c r="K343" s="38"/>
      <c r="L343" s="38"/>
      <c r="M343" s="38"/>
      <c r="N343" s="38"/>
      <c r="O343" s="38"/>
      <c r="P343" s="38"/>
      <c r="Q343" s="38"/>
      <c r="R343" s="38"/>
      <c r="S343" s="38"/>
    </row>
    <row r="344" spans="11:19" x14ac:dyDescent="0.25">
      <c r="K344" s="38"/>
      <c r="L344" s="38"/>
      <c r="M344" s="38"/>
      <c r="N344" s="38"/>
      <c r="O344" s="38"/>
      <c r="P344" s="38"/>
      <c r="Q344" s="38"/>
      <c r="R344" s="38"/>
      <c r="S344" s="38"/>
    </row>
    <row r="345" spans="11:19" x14ac:dyDescent="0.25">
      <c r="K345" s="38"/>
      <c r="L345" s="38"/>
      <c r="M345" s="38"/>
      <c r="N345" s="38"/>
      <c r="O345" s="38"/>
      <c r="P345" s="38"/>
      <c r="Q345" s="38"/>
      <c r="R345" s="38"/>
      <c r="S345" s="38"/>
    </row>
    <row r="346" spans="11:19" x14ac:dyDescent="0.25">
      <c r="K346" s="38"/>
      <c r="L346" s="38"/>
      <c r="M346" s="38"/>
      <c r="N346" s="38"/>
      <c r="O346" s="38"/>
      <c r="P346" s="38"/>
      <c r="Q346" s="38"/>
      <c r="R346" s="38"/>
      <c r="S346" s="38"/>
    </row>
    <row r="347" spans="11:19" x14ac:dyDescent="0.25">
      <c r="K347" s="38"/>
      <c r="L347" s="38"/>
      <c r="M347" s="38"/>
      <c r="N347" s="38"/>
      <c r="O347" s="38"/>
      <c r="P347" s="38"/>
      <c r="Q347" s="38"/>
      <c r="R347" s="38"/>
      <c r="S347" s="38"/>
    </row>
    <row r="348" spans="11:19" x14ac:dyDescent="0.25">
      <c r="K348" s="38"/>
      <c r="L348" s="38"/>
      <c r="M348" s="38"/>
      <c r="N348" s="38"/>
      <c r="O348" s="38"/>
      <c r="P348" s="38"/>
      <c r="Q348" s="38"/>
      <c r="R348" s="38"/>
      <c r="S348" s="38"/>
    </row>
    <row r="349" spans="11:19" x14ac:dyDescent="0.25">
      <c r="K349" s="38"/>
      <c r="L349" s="38"/>
      <c r="M349" s="38"/>
      <c r="N349" s="38"/>
      <c r="O349" s="38"/>
      <c r="P349" s="38"/>
      <c r="Q349" s="38"/>
      <c r="R349" s="38"/>
      <c r="S349" s="38"/>
    </row>
    <row r="350" spans="11:19" x14ac:dyDescent="0.25">
      <c r="K350" s="38"/>
      <c r="L350" s="38"/>
      <c r="M350" s="38"/>
      <c r="N350" s="38"/>
      <c r="O350" s="38"/>
      <c r="P350" s="38"/>
      <c r="Q350" s="38"/>
      <c r="R350" s="38"/>
      <c r="S350" s="38"/>
    </row>
    <row r="351" spans="11:19" x14ac:dyDescent="0.25">
      <c r="K351" s="38"/>
      <c r="L351" s="38"/>
      <c r="M351" s="38"/>
      <c r="N351" s="38"/>
      <c r="O351" s="38"/>
      <c r="P351" s="38"/>
      <c r="Q351" s="38"/>
      <c r="R351" s="38"/>
      <c r="S351" s="38"/>
    </row>
    <row r="352" spans="11:19" x14ac:dyDescent="0.25">
      <c r="K352" s="38"/>
      <c r="L352" s="38"/>
      <c r="M352" s="38"/>
      <c r="N352" s="38"/>
      <c r="O352" s="38"/>
      <c r="P352" s="38"/>
      <c r="Q352" s="38"/>
      <c r="R352" s="38"/>
      <c r="S352" s="38"/>
    </row>
    <row r="353" spans="11:19" x14ac:dyDescent="0.25">
      <c r="K353" s="38"/>
      <c r="L353" s="38"/>
      <c r="M353" s="38"/>
      <c r="N353" s="38"/>
      <c r="O353" s="38"/>
      <c r="P353" s="38"/>
      <c r="Q353" s="38"/>
      <c r="R353" s="38"/>
      <c r="S353" s="38"/>
    </row>
    <row r="354" spans="11:19" x14ac:dyDescent="0.25">
      <c r="K354" s="38"/>
      <c r="L354" s="38"/>
      <c r="M354" s="38"/>
      <c r="N354" s="38"/>
      <c r="O354" s="38"/>
      <c r="P354" s="38"/>
      <c r="Q354" s="38"/>
      <c r="R354" s="38"/>
      <c r="S354" s="38"/>
    </row>
    <row r="355" spans="11:19" x14ac:dyDescent="0.25">
      <c r="K355" s="38"/>
      <c r="L355" s="38"/>
      <c r="M355" s="38"/>
      <c r="N355" s="38"/>
      <c r="O355" s="38"/>
      <c r="P355" s="38"/>
      <c r="Q355" s="38"/>
      <c r="R355" s="38"/>
      <c r="S355" s="38"/>
    </row>
    <row r="356" spans="11:19" x14ac:dyDescent="0.25">
      <c r="K356" s="38"/>
      <c r="L356" s="38"/>
      <c r="M356" s="38"/>
      <c r="N356" s="38"/>
      <c r="O356" s="38"/>
      <c r="P356" s="38"/>
      <c r="Q356" s="38"/>
      <c r="R356" s="38"/>
      <c r="S356" s="38"/>
    </row>
    <row r="357" spans="11:19" x14ac:dyDescent="0.25">
      <c r="K357" s="38"/>
      <c r="L357" s="38"/>
      <c r="M357" s="38"/>
      <c r="N357" s="38"/>
      <c r="O357" s="38"/>
      <c r="P357" s="38"/>
      <c r="Q357" s="38"/>
      <c r="R357" s="38"/>
      <c r="S357" s="38"/>
    </row>
    <row r="358" spans="11:19" x14ac:dyDescent="0.25">
      <c r="K358" s="38"/>
      <c r="L358" s="38"/>
      <c r="M358" s="38"/>
      <c r="N358" s="38"/>
      <c r="O358" s="38"/>
      <c r="P358" s="38"/>
      <c r="Q358" s="38"/>
      <c r="R358" s="38"/>
      <c r="S358" s="38"/>
    </row>
    <row r="359" spans="11:19" x14ac:dyDescent="0.25">
      <c r="K359" s="38"/>
      <c r="L359" s="38"/>
      <c r="M359" s="38"/>
      <c r="N359" s="38"/>
      <c r="O359" s="38"/>
      <c r="P359" s="38"/>
      <c r="Q359" s="38"/>
      <c r="R359" s="38"/>
      <c r="S359" s="38"/>
    </row>
    <row r="360" spans="11:19" x14ac:dyDescent="0.25">
      <c r="K360" s="38"/>
      <c r="L360" s="38"/>
      <c r="M360" s="38"/>
      <c r="N360" s="38"/>
      <c r="O360" s="38"/>
      <c r="P360" s="38"/>
      <c r="Q360" s="38"/>
      <c r="R360" s="38"/>
      <c r="S360" s="38"/>
    </row>
    <row r="361" spans="11:19" x14ac:dyDescent="0.25">
      <c r="K361" s="38"/>
      <c r="L361" s="38"/>
      <c r="M361" s="38"/>
      <c r="N361" s="38"/>
      <c r="O361" s="38"/>
      <c r="P361" s="38"/>
      <c r="Q361" s="38"/>
      <c r="R361" s="38"/>
      <c r="S361" s="38"/>
    </row>
    <row r="362" spans="11:19" x14ac:dyDescent="0.25">
      <c r="K362" s="38"/>
      <c r="L362" s="38"/>
      <c r="M362" s="38"/>
      <c r="N362" s="38"/>
      <c r="O362" s="38"/>
      <c r="P362" s="38"/>
      <c r="Q362" s="38"/>
      <c r="R362" s="38"/>
      <c r="S362" s="38"/>
    </row>
    <row r="363" spans="11:19" x14ac:dyDescent="0.25">
      <c r="K363" s="38"/>
      <c r="L363" s="38"/>
      <c r="M363" s="38"/>
      <c r="N363" s="38"/>
      <c r="O363" s="38"/>
      <c r="P363" s="38"/>
      <c r="Q363" s="38"/>
      <c r="R363" s="38"/>
      <c r="S363" s="38"/>
    </row>
    <row r="364" spans="11:19" x14ac:dyDescent="0.25">
      <c r="K364" s="38"/>
      <c r="L364" s="38"/>
      <c r="M364" s="38"/>
      <c r="N364" s="38"/>
      <c r="O364" s="38"/>
      <c r="P364" s="38"/>
      <c r="Q364" s="38"/>
      <c r="R364" s="38"/>
      <c r="S364" s="38"/>
    </row>
    <row r="365" spans="11:19" x14ac:dyDescent="0.25">
      <c r="K365" s="38"/>
      <c r="L365" s="38"/>
      <c r="M365" s="38"/>
      <c r="N365" s="38"/>
      <c r="O365" s="38"/>
      <c r="P365" s="38"/>
      <c r="Q365" s="38"/>
      <c r="R365" s="38"/>
      <c r="S365" s="38"/>
    </row>
    <row r="366" spans="11:19" x14ac:dyDescent="0.25">
      <c r="K366" s="38"/>
      <c r="L366" s="38"/>
      <c r="M366" s="38"/>
      <c r="N366" s="38"/>
      <c r="O366" s="38"/>
      <c r="P366" s="38"/>
      <c r="Q366" s="38"/>
      <c r="R366" s="38"/>
      <c r="S366" s="38"/>
    </row>
  </sheetData>
  <mergeCells count="5">
    <mergeCell ref="B3:C3"/>
    <mergeCell ref="E3:F3"/>
    <mergeCell ref="H3:J3"/>
    <mergeCell ref="B4:C4"/>
    <mergeCell ref="E4:F4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S53"/>
  <sheetViews>
    <sheetView topLeftCell="D1" zoomScale="70" zoomScaleNormal="70" workbookViewId="0">
      <selection activeCell="J53" sqref="J53:M53"/>
    </sheetView>
  </sheetViews>
  <sheetFormatPr defaultColWidth="11" defaultRowHeight="15.75" x14ac:dyDescent="0.25"/>
  <cols>
    <col min="1" max="1" width="12" bestFit="1" customWidth="1"/>
    <col min="2" max="2" width="36.375" bestFit="1" customWidth="1"/>
    <col min="3" max="3" width="21.125" bestFit="1" customWidth="1"/>
    <col min="4" max="4" width="19.5" customWidth="1"/>
    <col min="5" max="5" width="15.125" bestFit="1" customWidth="1"/>
    <col min="6" max="6" width="18.25" bestFit="1" customWidth="1"/>
    <col min="7" max="7" width="18.25" customWidth="1"/>
    <col min="11" max="11" width="16.125" bestFit="1" customWidth="1"/>
    <col min="12" max="12" width="14.25" bestFit="1" customWidth="1"/>
    <col min="13" max="13" width="12.25" bestFit="1" customWidth="1"/>
    <col min="14" max="14" width="2.25" customWidth="1"/>
    <col min="15" max="15" width="10.75" bestFit="1" customWidth="1"/>
    <col min="16" max="16" width="13.75" bestFit="1" customWidth="1"/>
    <col min="17" max="17" width="19.75" bestFit="1" customWidth="1"/>
    <col min="19" max="19" width="13.75" bestFit="1" customWidth="1"/>
    <col min="22" max="22" width="22.25" bestFit="1" customWidth="1"/>
    <col min="25" max="25" width="25.125" customWidth="1"/>
    <col min="26" max="26" width="25.75" bestFit="1" customWidth="1"/>
    <col min="27" max="27" width="14.5" customWidth="1"/>
  </cols>
  <sheetData>
    <row r="1" spans="1:7" ht="16.5" thickBot="1" x14ac:dyDescent="0.3"/>
    <row r="2" spans="1:7" ht="19.5" thickBot="1" x14ac:dyDescent="0.35">
      <c r="B2" s="98" t="s">
        <v>56</v>
      </c>
    </row>
    <row r="3" spans="1:7" ht="16.5" thickBot="1" x14ac:dyDescent="0.3"/>
    <row r="4" spans="1:7" ht="18.75" x14ac:dyDescent="0.3">
      <c r="B4" s="108" t="s">
        <v>86</v>
      </c>
      <c r="C4" s="109"/>
      <c r="D4" s="109"/>
      <c r="E4" s="109"/>
      <c r="F4" s="110"/>
      <c r="G4" s="77"/>
    </row>
    <row r="5" spans="1:7" ht="16.5" customHeight="1" x14ac:dyDescent="0.25">
      <c r="B5" s="8"/>
      <c r="C5" s="76" t="s">
        <v>68</v>
      </c>
      <c r="D5" s="76" t="s">
        <v>69</v>
      </c>
      <c r="E5" s="76" t="s">
        <v>73</v>
      </c>
      <c r="F5" s="5" t="s">
        <v>74</v>
      </c>
      <c r="G5" s="82"/>
    </row>
    <row r="6" spans="1:7" ht="16.5" customHeight="1" x14ac:dyDescent="0.25">
      <c r="A6" t="s">
        <v>78</v>
      </c>
      <c r="B6" s="10" t="s">
        <v>50</v>
      </c>
      <c r="C6" s="39">
        <v>0.05</v>
      </c>
      <c r="D6" s="39">
        <v>0.05</v>
      </c>
      <c r="E6" s="39">
        <v>0.05</v>
      </c>
      <c r="F6" s="40">
        <v>0.05</v>
      </c>
      <c r="G6" s="83"/>
    </row>
    <row r="7" spans="1:7" x14ac:dyDescent="0.25">
      <c r="A7" t="s">
        <v>85</v>
      </c>
      <c r="B7" s="10" t="s">
        <v>51</v>
      </c>
      <c r="C7" s="44">
        <v>0.5</v>
      </c>
      <c r="D7" s="44">
        <v>0.39999999999999997</v>
      </c>
      <c r="E7" s="44">
        <v>0.05</v>
      </c>
      <c r="F7" s="78">
        <f>1-SUM(change3)</f>
        <v>5.0000000000000044E-2</v>
      </c>
      <c r="G7" s="84"/>
    </row>
    <row r="8" spans="1:7" ht="16.5" thickBot="1" x14ac:dyDescent="0.3">
      <c r="A8" t="s">
        <v>79</v>
      </c>
      <c r="B8" s="12" t="s">
        <v>52</v>
      </c>
      <c r="C8" s="41">
        <v>0.5</v>
      </c>
      <c r="D8" s="41">
        <v>0.5</v>
      </c>
      <c r="E8" s="41">
        <v>0.5</v>
      </c>
      <c r="F8" s="42">
        <v>0.5</v>
      </c>
      <c r="G8" s="83"/>
    </row>
    <row r="9" spans="1:7" ht="16.5" customHeight="1" x14ac:dyDescent="0.25">
      <c r="A9" s="44" t="s">
        <v>70</v>
      </c>
      <c r="B9" s="9"/>
      <c r="D9" s="24"/>
      <c r="E9" s="24"/>
      <c r="F9" s="24"/>
      <c r="G9" s="24"/>
    </row>
    <row r="10" spans="1:7" ht="16.5" customHeight="1" thickBot="1" x14ac:dyDescent="0.3">
      <c r="D10" s="16"/>
      <c r="E10" s="16"/>
      <c r="F10" s="16"/>
      <c r="G10" s="16"/>
    </row>
    <row r="11" spans="1:7" ht="18.75" x14ac:dyDescent="0.3">
      <c r="B11" s="108" t="s">
        <v>87</v>
      </c>
      <c r="C11" s="110"/>
    </row>
    <row r="12" spans="1:7" x14ac:dyDescent="0.25">
      <c r="A12" t="s">
        <v>80</v>
      </c>
      <c r="B12" s="10" t="s">
        <v>48</v>
      </c>
      <c r="C12" s="25">
        <f>portfolioreturn(portwts1, C20:C23)</f>
        <v>1.0252661782082971E-2</v>
      </c>
    </row>
    <row r="13" spans="1:7" x14ac:dyDescent="0.25">
      <c r="A13" t="s">
        <v>81</v>
      </c>
      <c r="B13" s="10" t="s">
        <v>49</v>
      </c>
      <c r="C13" s="25">
        <f>SQRT(PortfolioVariance(portwts1,C28:F31))</f>
        <v>2.9844536936702384E-2</v>
      </c>
    </row>
    <row r="14" spans="1:7" x14ac:dyDescent="0.25">
      <c r="A14" t="s">
        <v>82</v>
      </c>
      <c r="B14" s="10" t="s">
        <v>46</v>
      </c>
      <c r="C14" s="43">
        <v>25</v>
      </c>
    </row>
    <row r="15" spans="1:7" ht="16.5" thickBot="1" x14ac:dyDescent="0.3">
      <c r="A15" t="s">
        <v>83</v>
      </c>
      <c r="B15" s="12" t="s">
        <v>47</v>
      </c>
      <c r="C15" s="95">
        <v>1.0591220597179783E-2</v>
      </c>
    </row>
    <row r="17" spans="2:17" ht="16.5" thickBot="1" x14ac:dyDescent="0.3"/>
    <row r="18" spans="2:17" ht="18.75" x14ac:dyDescent="0.3">
      <c r="B18" s="108" t="s">
        <v>76</v>
      </c>
      <c r="C18" s="109"/>
      <c r="D18" s="110"/>
    </row>
    <row r="19" spans="2:17" x14ac:dyDescent="0.25">
      <c r="B19" s="8"/>
      <c r="C19" s="76" t="s">
        <v>10</v>
      </c>
      <c r="D19" s="5" t="s">
        <v>11</v>
      </c>
    </row>
    <row r="20" spans="2:17" x14ac:dyDescent="0.25">
      <c r="B20" s="79" t="s">
        <v>68</v>
      </c>
      <c r="C20" s="85">
        <f>AVERAGE('Index Data 3 yrs'!$C$7:$C$42)</f>
        <v>1.2245161623526846E-2</v>
      </c>
      <c r="D20" s="87">
        <f>STDEV('Index Data 3 yrs'!$C$7:$C$42)</f>
        <v>3.0637563566117743E-2</v>
      </c>
    </row>
    <row r="21" spans="2:17" x14ac:dyDescent="0.25">
      <c r="B21" s="79" t="s">
        <v>69</v>
      </c>
      <c r="C21" s="85">
        <f>AVERAGE('Index Data 3 yrs'!$F$7:$F$42)</f>
        <v>1.0035617257511077E-2</v>
      </c>
      <c r="D21" s="87">
        <f>STDEV('Index Data 3 yrs'!$F$7:$F$42)</f>
        <v>4.0861156417739533E-2</v>
      </c>
    </row>
    <row r="22" spans="2:17" x14ac:dyDescent="0.25">
      <c r="B22" s="79" t="s">
        <v>75</v>
      </c>
      <c r="C22" s="85">
        <f>AVERAGE('Index Data 3 yrs'!$H$7:$H$42)</f>
        <v>1.4512939744361882E-3</v>
      </c>
      <c r="D22" s="87">
        <f>STDEV('Index Data 3 yrs'!$H$7:$H$42)</f>
        <v>1.2090643737015044E-2</v>
      </c>
    </row>
    <row r="23" spans="2:17" ht="16.5" thickBot="1" x14ac:dyDescent="0.3">
      <c r="B23" s="80" t="s">
        <v>74</v>
      </c>
      <c r="C23" s="86">
        <f>AVERAGE('Index Data 3 yrs'!$J$7:$J$42)</f>
        <v>8.6538737186612612E-4</v>
      </c>
      <c r="D23" s="88">
        <f>STDEV('Index Data 3 yrs'!$J$7:$J$42)</f>
        <v>8.6375096547274509E-3</v>
      </c>
    </row>
    <row r="24" spans="2:17" x14ac:dyDescent="0.25">
      <c r="B24" s="9"/>
      <c r="C24" s="3"/>
      <c r="D24" s="3"/>
    </row>
    <row r="25" spans="2:17" ht="16.5" thickBot="1" x14ac:dyDescent="0.3"/>
    <row r="26" spans="2:17" ht="18.75" x14ac:dyDescent="0.3">
      <c r="B26" s="108" t="s">
        <v>15</v>
      </c>
      <c r="C26" s="109"/>
      <c r="D26" s="109"/>
      <c r="E26" s="109"/>
      <c r="F26" s="110"/>
      <c r="G26" s="77"/>
      <c r="J26" s="108" t="s">
        <v>55</v>
      </c>
      <c r="K26" s="109"/>
      <c r="L26" s="109"/>
      <c r="M26" s="109"/>
      <c r="N26" s="109"/>
      <c r="O26" s="109"/>
      <c r="P26" s="110"/>
      <c r="Q26" s="77"/>
    </row>
    <row r="27" spans="2:17" x14ac:dyDescent="0.25">
      <c r="B27" s="8"/>
      <c r="C27" s="76" t="s">
        <v>68</v>
      </c>
      <c r="D27" s="76" t="s">
        <v>69</v>
      </c>
      <c r="E27" s="76" t="s">
        <v>73</v>
      </c>
      <c r="F27" s="5" t="s">
        <v>74</v>
      </c>
      <c r="G27" s="76"/>
      <c r="J27" s="4" t="s">
        <v>71</v>
      </c>
      <c r="K27" s="76" t="s">
        <v>72</v>
      </c>
      <c r="L27" s="76" t="s">
        <v>73</v>
      </c>
      <c r="M27" s="5" t="s">
        <v>74</v>
      </c>
      <c r="N27" s="3"/>
      <c r="O27" s="27" t="s">
        <v>44</v>
      </c>
      <c r="P27" s="30" t="s">
        <v>45</v>
      </c>
    </row>
    <row r="28" spans="2:17" x14ac:dyDescent="0.25">
      <c r="B28" s="4" t="s">
        <v>68</v>
      </c>
      <c r="C28" s="3">
        <f>D20^2</f>
        <v>9.3866030126790528E-4</v>
      </c>
      <c r="D28" s="3">
        <f>C29</f>
        <v>9.6207254771491239E-4</v>
      </c>
      <c r="E28" s="3">
        <f>C30</f>
        <v>4.2928811061188045E-5</v>
      </c>
      <c r="F28" s="11">
        <f>C31</f>
        <v>-4.9144777857462987E-5</v>
      </c>
      <c r="G28" s="3"/>
      <c r="I28" t="s">
        <v>84</v>
      </c>
      <c r="J28" s="8"/>
      <c r="K28" s="3"/>
      <c r="L28" s="3"/>
      <c r="M28" s="11"/>
      <c r="N28" s="3"/>
      <c r="O28" s="8"/>
      <c r="P28" s="11"/>
    </row>
    <row r="29" spans="2:17" x14ac:dyDescent="0.25">
      <c r="B29" s="4" t="s">
        <v>69</v>
      </c>
      <c r="C29" s="3">
        <f>COVAR('Index Data 3 yrs'!$C$7:$C$42, 'Index Data 3 yrs'!$F$7:$F$42 )</f>
        <v>9.6207254771491239E-4</v>
      </c>
      <c r="D29" s="3">
        <f>D21^2</f>
        <v>1.6696341037949767E-3</v>
      </c>
      <c r="E29" s="3">
        <f>D30</f>
        <v>1.5531941383124573E-4</v>
      </c>
      <c r="F29" s="11">
        <f>D31</f>
        <v>-6.2825569175018717E-5</v>
      </c>
      <c r="G29" s="3"/>
      <c r="J29" s="31">
        <v>4.9999990000000008E-2</v>
      </c>
      <c r="K29" s="32">
        <v>0.05</v>
      </c>
      <c r="L29" s="32">
        <v>0.40000001000000002</v>
      </c>
      <c r="M29" s="29">
        <v>0.5</v>
      </c>
      <c r="N29" s="3"/>
      <c r="O29" s="28">
        <f t="shared" ref="O29:O53" si="0">portfolioreturn(J29:M29,$C$20:$C$23)</f>
        <v>2.1272501118207582E-3</v>
      </c>
      <c r="P29" s="33">
        <f t="shared" ref="P29:P53" si="1">SQRT(PortfolioVariance(J29:M29,$C$28:$F$31))</f>
        <v>8.0805799935697049E-3</v>
      </c>
    </row>
    <row r="30" spans="2:17" x14ac:dyDescent="0.25">
      <c r="B30" s="4" t="s">
        <v>73</v>
      </c>
      <c r="C30" s="3">
        <f>COVAR('Index Data 3 yrs'!$C$7:$C$42, 'Index Data 3 yrs'!$H$7:$H$42 )</f>
        <v>4.2928811061188045E-5</v>
      </c>
      <c r="D30" s="3">
        <f>COVAR('Index Data 30 yrs'!$F$7:$F$366, 'Index Data 30 yrs'!$H$7:$H$366 )</f>
        <v>1.5531941383124573E-4</v>
      </c>
      <c r="E30" s="3">
        <f>D22^2</f>
        <v>1.4618366597542111E-4</v>
      </c>
      <c r="F30" s="11">
        <f>E31</f>
        <v>2.3980582418552921E-5</v>
      </c>
      <c r="G30" s="3"/>
      <c r="J30" s="31">
        <v>8.1366773795440203E-2</v>
      </c>
      <c r="K30" s="32">
        <v>0.05</v>
      </c>
      <c r="L30" s="32">
        <v>0.36863322620455985</v>
      </c>
      <c r="M30" s="29">
        <v>0.5</v>
      </c>
      <c r="N30" s="3"/>
      <c r="O30" s="28">
        <f t="shared" si="0"/>
        <v>2.4658190246863811E-3</v>
      </c>
      <c r="P30" s="33">
        <f t="shared" si="1"/>
        <v>8.169092446522877E-3</v>
      </c>
    </row>
    <row r="31" spans="2:17" ht="16.5" thickBot="1" x14ac:dyDescent="0.3">
      <c r="B31" s="81" t="s">
        <v>74</v>
      </c>
      <c r="C31" s="7">
        <f>COVAR('Index Data 3 yrs'!$C$7:$C$42, 'Index Data 3 yrs'!$J$7:$J$42 )</f>
        <v>-4.9144777857462987E-5</v>
      </c>
      <c r="D31" s="7">
        <f>COVAR('Index Data 3 yrs'!$F$7:$F$42, 'Index Data 3 yrs'!$J$7:$J$42 )</f>
        <v>-6.2825569175018717E-5</v>
      </c>
      <c r="E31" s="7">
        <f>COVAR('Index Data 3 yrs'!$H$7:$H$42, 'Index Data 30 yrs'!$J$7:$J$42)</f>
        <v>2.3980582418552921E-5</v>
      </c>
      <c r="F31" s="13">
        <f>D23^2</f>
        <v>7.4606573035509923E-5</v>
      </c>
      <c r="G31" s="3"/>
      <c r="J31" s="31">
        <v>0.11273262302328425</v>
      </c>
      <c r="K31" s="32">
        <v>0.05</v>
      </c>
      <c r="L31" s="32">
        <v>0.33726737697671577</v>
      </c>
      <c r="M31" s="29">
        <v>0.5</v>
      </c>
      <c r="N31" s="3"/>
      <c r="O31" s="28">
        <f t="shared" si="0"/>
        <v>2.8043778499530622E-3</v>
      </c>
      <c r="P31" s="33">
        <f t="shared" si="1"/>
        <v>8.3748429652102784E-3</v>
      </c>
    </row>
    <row r="32" spans="2:17" x14ac:dyDescent="0.25">
      <c r="J32" s="31">
        <v>0.14409847130893896</v>
      </c>
      <c r="K32" s="32">
        <v>0.05</v>
      </c>
      <c r="L32" s="32">
        <v>0.30590152869106108</v>
      </c>
      <c r="M32" s="29">
        <v>0.5</v>
      </c>
      <c r="N32" s="3"/>
      <c r="O32" s="28">
        <f t="shared" si="0"/>
        <v>3.1429366650498761E-3</v>
      </c>
      <c r="P32" s="33">
        <f t="shared" si="1"/>
        <v>8.6895084031256564E-3</v>
      </c>
    </row>
    <row r="33" spans="7:19" x14ac:dyDescent="0.25">
      <c r="J33" s="31">
        <v>0.17546431959459363</v>
      </c>
      <c r="K33" s="32">
        <v>0.05</v>
      </c>
      <c r="L33" s="32">
        <v>0.27453568040540638</v>
      </c>
      <c r="M33" s="29">
        <v>0.5</v>
      </c>
      <c r="N33" s="3"/>
      <c r="O33" s="28">
        <f t="shared" si="0"/>
        <v>3.4814954801466896E-3</v>
      </c>
      <c r="P33" s="33">
        <f t="shared" si="1"/>
        <v>9.1017996166001015E-3</v>
      </c>
    </row>
    <row r="34" spans="7:19" x14ac:dyDescent="0.25">
      <c r="J34" s="31">
        <v>0.20683016788024836</v>
      </c>
      <c r="K34" s="32">
        <v>0.05</v>
      </c>
      <c r="L34" s="32">
        <v>0.24316983211975163</v>
      </c>
      <c r="M34" s="29">
        <v>0.5</v>
      </c>
      <c r="N34" s="3"/>
      <c r="O34" s="28">
        <f t="shared" si="0"/>
        <v>3.8200542952435039E-3</v>
      </c>
      <c r="P34" s="33">
        <f t="shared" si="1"/>
        <v>9.5991455145853066E-3</v>
      </c>
    </row>
    <row r="35" spans="7:19" ht="18.75" x14ac:dyDescent="0.3">
      <c r="G35" s="77"/>
      <c r="J35" s="31">
        <v>0.23819601616590302</v>
      </c>
      <c r="K35" s="32">
        <v>0.05</v>
      </c>
      <c r="L35" s="32">
        <v>0.21180398383409696</v>
      </c>
      <c r="M35" s="29">
        <v>0.5</v>
      </c>
      <c r="N35" s="3"/>
      <c r="O35" s="28">
        <f t="shared" si="0"/>
        <v>4.1586131103403179E-3</v>
      </c>
      <c r="P35" s="33">
        <f t="shared" si="1"/>
        <v>1.0169074261520356E-2</v>
      </c>
    </row>
    <row r="36" spans="7:19" x14ac:dyDescent="0.25">
      <c r="G36" s="82"/>
      <c r="J36" s="31">
        <v>0.26956186445155772</v>
      </c>
      <c r="K36" s="32">
        <v>0.05</v>
      </c>
      <c r="L36" s="32">
        <v>0.18043813554844229</v>
      </c>
      <c r="M36" s="29">
        <v>0.5</v>
      </c>
      <c r="N36" s="3"/>
      <c r="O36" s="28">
        <f t="shared" si="0"/>
        <v>4.4971719254371318E-3</v>
      </c>
      <c r="P36" s="33">
        <f t="shared" si="1"/>
        <v>1.0800101223559875E-2</v>
      </c>
    </row>
    <row r="37" spans="7:19" x14ac:dyDescent="0.25">
      <c r="G37" s="3"/>
      <c r="J37" s="31">
        <v>0.30092771273721242</v>
      </c>
      <c r="K37" s="32">
        <v>0.05</v>
      </c>
      <c r="L37" s="32">
        <v>0.14907228726278762</v>
      </c>
      <c r="M37" s="29">
        <v>0.5</v>
      </c>
      <c r="N37" s="3"/>
      <c r="O37" s="28">
        <f t="shared" si="0"/>
        <v>4.8357307405339457E-3</v>
      </c>
      <c r="P37" s="33">
        <f t="shared" si="1"/>
        <v>1.148215745923449E-2</v>
      </c>
    </row>
    <row r="38" spans="7:19" x14ac:dyDescent="0.25">
      <c r="G38" s="3"/>
      <c r="J38" s="31">
        <v>0.33229356102286711</v>
      </c>
      <c r="K38" s="32">
        <v>0.05</v>
      </c>
      <c r="L38" s="32">
        <v>0.1177064389771329</v>
      </c>
      <c r="M38" s="29">
        <v>0.5</v>
      </c>
      <c r="N38" s="3"/>
      <c r="O38" s="28">
        <f t="shared" si="0"/>
        <v>5.1742895556307596E-3</v>
      </c>
      <c r="P38" s="33">
        <f t="shared" si="1"/>
        <v>1.2206692089786657E-2</v>
      </c>
    </row>
    <row r="39" spans="7:19" x14ac:dyDescent="0.25">
      <c r="G39" s="3"/>
      <c r="J39" s="31">
        <v>0.36365940930852181</v>
      </c>
      <c r="K39" s="32">
        <v>0.05</v>
      </c>
      <c r="L39" s="32">
        <v>8.6340590691478231E-2</v>
      </c>
      <c r="M39" s="29">
        <v>0.5</v>
      </c>
      <c r="N39" s="3"/>
      <c r="O39" s="28">
        <f t="shared" si="0"/>
        <v>5.5128483707275727E-3</v>
      </c>
      <c r="P39" s="33">
        <f t="shared" si="1"/>
        <v>1.2966586366802833E-2</v>
      </c>
    </row>
    <row r="40" spans="7:19" x14ac:dyDescent="0.25">
      <c r="G40" s="3"/>
      <c r="J40" s="31">
        <v>0.39502525759417656</v>
      </c>
      <c r="K40" s="32">
        <v>0.05</v>
      </c>
      <c r="L40" s="32">
        <v>5.4974742405823472E-2</v>
      </c>
      <c r="M40" s="29">
        <v>0.5</v>
      </c>
      <c r="N40" s="3"/>
      <c r="O40" s="28">
        <f t="shared" si="0"/>
        <v>5.8514071858243874E-3</v>
      </c>
      <c r="P40" s="33">
        <f t="shared" si="1"/>
        <v>1.3755981630452451E-2</v>
      </c>
    </row>
    <row r="41" spans="7:19" x14ac:dyDescent="0.25">
      <c r="G41" s="3"/>
      <c r="J41" s="31">
        <v>0.42503231590367141</v>
      </c>
      <c r="K41" s="32">
        <v>0.05</v>
      </c>
      <c r="L41" s="32">
        <v>0.05</v>
      </c>
      <c r="M41" s="29">
        <v>0.47496768409632861</v>
      </c>
      <c r="N41" s="3"/>
      <c r="O41" s="28">
        <f t="shared" si="0"/>
        <v>6.1899660009212014E-3</v>
      </c>
      <c r="P41" s="33">
        <f t="shared" si="1"/>
        <v>1.4585838751157463E-2</v>
      </c>
    </row>
    <row r="42" spans="7:19" x14ac:dyDescent="0.25">
      <c r="J42" s="31">
        <v>0.45478236257509508</v>
      </c>
      <c r="K42" s="32">
        <v>0.05</v>
      </c>
      <c r="L42" s="32">
        <v>0.05</v>
      </c>
      <c r="M42" s="29">
        <v>0.44521763742490483</v>
      </c>
      <c r="N42" s="3"/>
      <c r="O42" s="28">
        <f t="shared" si="0"/>
        <v>6.5285148160183727E-3</v>
      </c>
      <c r="P42" s="33">
        <f t="shared" si="1"/>
        <v>1.5437606978020465E-2</v>
      </c>
    </row>
    <row r="43" spans="7:19" x14ac:dyDescent="0.25">
      <c r="J43" s="31">
        <v>0.48453416675056427</v>
      </c>
      <c r="K43" s="32">
        <v>0.05</v>
      </c>
      <c r="L43" s="32">
        <v>0.05</v>
      </c>
      <c r="M43" s="29">
        <v>0.41546583324943565</v>
      </c>
      <c r="N43" s="3"/>
      <c r="O43" s="28">
        <f t="shared" si="0"/>
        <v>6.8670836311148292E-3</v>
      </c>
      <c r="P43" s="33">
        <f t="shared" si="1"/>
        <v>1.6305275570889243E-2</v>
      </c>
      <c r="S43" s="57"/>
    </row>
    <row r="44" spans="7:19" x14ac:dyDescent="0.25">
      <c r="J44" s="31">
        <v>0.5</v>
      </c>
      <c r="K44" s="32">
        <v>6.7727025443015704E-2</v>
      </c>
      <c r="L44" s="32">
        <v>0.05</v>
      </c>
      <c r="M44" s="29">
        <v>0.38227297455698428</v>
      </c>
      <c r="N44" s="3"/>
      <c r="O44" s="28">
        <f t="shared" si="0"/>
        <v>7.2056422206083675E-3</v>
      </c>
      <c r="P44" s="33">
        <f t="shared" si="1"/>
        <v>1.7344309143502313E-2</v>
      </c>
    </row>
    <row r="45" spans="7:19" x14ac:dyDescent="0.25">
      <c r="J45" s="31">
        <v>0.5</v>
      </c>
      <c r="K45" s="32">
        <v>0.10464638787143951</v>
      </c>
      <c r="L45" s="32">
        <v>0.05</v>
      </c>
      <c r="M45" s="29">
        <v>0.34535361212856042</v>
      </c>
      <c r="N45" s="3"/>
      <c r="O45" s="28">
        <f t="shared" si="0"/>
        <v>7.544201261308457E-3</v>
      </c>
      <c r="P45" s="33">
        <f t="shared" si="1"/>
        <v>1.8600450861330022E-2</v>
      </c>
    </row>
    <row r="46" spans="7:19" x14ac:dyDescent="0.25">
      <c r="J46" s="31">
        <v>0.5</v>
      </c>
      <c r="K46" s="32">
        <v>0.14156572569816003</v>
      </c>
      <c r="L46" s="32">
        <v>0.05</v>
      </c>
      <c r="M46" s="29">
        <v>0.30843427430183989</v>
      </c>
      <c r="N46" s="3"/>
      <c r="O46" s="28">
        <f t="shared" si="0"/>
        <v>7.8827600764052718E-3</v>
      </c>
      <c r="P46" s="33">
        <f t="shared" si="1"/>
        <v>1.9905424431193291E-2</v>
      </c>
    </row>
    <row r="47" spans="7:19" x14ac:dyDescent="0.25">
      <c r="J47" s="31">
        <v>0.5</v>
      </c>
      <c r="K47" s="32">
        <v>0.17848506352488039</v>
      </c>
      <c r="L47" s="32">
        <v>0.05</v>
      </c>
      <c r="M47" s="29">
        <v>0.27151493647511959</v>
      </c>
      <c r="N47" s="3"/>
      <c r="O47" s="28">
        <f t="shared" si="0"/>
        <v>8.221318891502084E-3</v>
      </c>
      <c r="P47" s="33">
        <f t="shared" si="1"/>
        <v>2.1250236155817538E-2</v>
      </c>
    </row>
    <row r="48" spans="7:19" x14ac:dyDescent="0.25">
      <c r="J48" s="31">
        <v>0.5</v>
      </c>
      <c r="K48" s="32">
        <v>0.21540440135160077</v>
      </c>
      <c r="L48" s="32">
        <v>0.05</v>
      </c>
      <c r="M48" s="29">
        <v>0.23459559864839918</v>
      </c>
      <c r="N48" s="3"/>
      <c r="O48" s="28">
        <f t="shared" si="0"/>
        <v>8.5598777065988979E-3</v>
      </c>
      <c r="P48" s="33">
        <f t="shared" si="1"/>
        <v>2.2627784180536938E-2</v>
      </c>
    </row>
    <row r="49" spans="10:16" x14ac:dyDescent="0.25">
      <c r="J49" s="31">
        <v>0.5</v>
      </c>
      <c r="K49" s="32">
        <v>0.25232373917832129</v>
      </c>
      <c r="L49" s="32">
        <v>0.05</v>
      </c>
      <c r="M49" s="29">
        <v>0.19767626082167866</v>
      </c>
      <c r="N49" s="3"/>
      <c r="O49" s="28">
        <f t="shared" si="0"/>
        <v>8.8984365216957136E-3</v>
      </c>
      <c r="P49" s="33">
        <f t="shared" si="1"/>
        <v>2.4032439795301171E-2</v>
      </c>
    </row>
    <row r="50" spans="10:16" x14ac:dyDescent="0.25">
      <c r="J50" s="31">
        <v>0.5</v>
      </c>
      <c r="K50" s="32">
        <v>0.28924307700504176</v>
      </c>
      <c r="L50" s="32">
        <v>0.05</v>
      </c>
      <c r="M50" s="29">
        <v>0.16075692299495814</v>
      </c>
      <c r="N50" s="3"/>
      <c r="O50" s="28">
        <f t="shared" si="0"/>
        <v>9.2369953367925275E-3</v>
      </c>
      <c r="P50" s="33">
        <f t="shared" si="1"/>
        <v>2.5459716680659814E-2</v>
      </c>
    </row>
    <row r="51" spans="10:16" x14ac:dyDescent="0.25">
      <c r="J51" s="31">
        <v>0.5</v>
      </c>
      <c r="K51" s="32">
        <v>0.32616241483176223</v>
      </c>
      <c r="L51" s="32">
        <v>0.05</v>
      </c>
      <c r="M51" s="29">
        <v>0.12383758516823773</v>
      </c>
      <c r="N51" s="3"/>
      <c r="O51" s="28">
        <f t="shared" si="0"/>
        <v>9.5755541518893414E-3</v>
      </c>
      <c r="P51" s="33">
        <f t="shared" si="1"/>
        <v>2.6906015122181035E-2</v>
      </c>
    </row>
    <row r="52" spans="10:16" x14ac:dyDescent="0.25">
      <c r="J52" s="31">
        <v>0.5</v>
      </c>
      <c r="K52" s="32">
        <v>0.36308175265848269</v>
      </c>
      <c r="L52" s="32">
        <v>0.05</v>
      </c>
      <c r="M52" s="29">
        <v>8.6918247341517318E-2</v>
      </c>
      <c r="N52" s="3"/>
      <c r="O52" s="28">
        <f t="shared" si="0"/>
        <v>9.9141129669861553E-3</v>
      </c>
      <c r="P52" s="33">
        <f t="shared" si="1"/>
        <v>2.8368425959179964E-2</v>
      </c>
    </row>
    <row r="53" spans="10:16" ht="16.5" thickBot="1" x14ac:dyDescent="0.3">
      <c r="J53" s="34">
        <v>0.5</v>
      </c>
      <c r="K53" s="35">
        <v>0.39999999999999997</v>
      </c>
      <c r="L53" s="35">
        <v>0.05</v>
      </c>
      <c r="M53" s="36">
        <v>5.0000000000000044E-2</v>
      </c>
      <c r="N53" s="7"/>
      <c r="O53" s="37">
        <f t="shared" si="0"/>
        <v>1.0252661782082971E-2</v>
      </c>
      <c r="P53" s="26">
        <f t="shared" si="1"/>
        <v>2.9844536936702384E-2</v>
      </c>
    </row>
  </sheetData>
  <mergeCells count="5">
    <mergeCell ref="B4:F4"/>
    <mergeCell ref="B11:C11"/>
    <mergeCell ref="B18:D18"/>
    <mergeCell ref="B26:F26"/>
    <mergeCell ref="J26:P26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EffFrontier3">
                <anchor moveWithCells="1" sizeWithCells="1">
                  <from>
                    <xdr:col>7</xdr:col>
                    <xdr:colOff>0</xdr:colOff>
                    <xdr:row>3</xdr:row>
                    <xdr:rowOff>19050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2:I11"/>
  <sheetViews>
    <sheetView workbookViewId="0">
      <selection activeCell="E7" sqref="E7"/>
    </sheetView>
  </sheetViews>
  <sheetFormatPr defaultRowHeight="15.75" x14ac:dyDescent="0.25"/>
  <cols>
    <col min="2" max="2" width="9.625" bestFit="1" customWidth="1"/>
    <col min="3" max="3" width="22.25" bestFit="1" customWidth="1"/>
    <col min="6" max="6" width="18.625" customWidth="1"/>
    <col min="7" max="7" width="25.75" bestFit="1" customWidth="1"/>
    <col min="8" max="8" width="14.875" customWidth="1"/>
  </cols>
  <sheetData>
    <row r="2" spans="2:9" ht="16.5" thickBot="1" x14ac:dyDescent="0.3"/>
    <row r="3" spans="2:9" x14ac:dyDescent="0.25">
      <c r="C3" s="122" t="s">
        <v>92</v>
      </c>
      <c r="D3" s="123"/>
      <c r="E3" s="123"/>
      <c r="F3" s="123"/>
      <c r="G3" s="123"/>
      <c r="H3" s="111"/>
    </row>
    <row r="4" spans="2:9" x14ac:dyDescent="0.25">
      <c r="C4" s="124"/>
      <c r="D4" s="125"/>
      <c r="E4" s="125"/>
      <c r="F4" s="125"/>
      <c r="G4" s="125"/>
      <c r="H4" s="126"/>
    </row>
    <row r="5" spans="2:9" ht="16.5" thickBot="1" x14ac:dyDescent="0.3">
      <c r="C5" s="103"/>
      <c r="D5" s="48"/>
      <c r="E5" s="48"/>
      <c r="F5" s="48"/>
      <c r="G5" s="48"/>
      <c r="H5" s="43"/>
    </row>
    <row r="6" spans="2:9" ht="18.75" x14ac:dyDescent="0.3">
      <c r="C6" s="108" t="s">
        <v>17</v>
      </c>
      <c r="D6" s="110"/>
      <c r="E6" s="48"/>
      <c r="F6" s="3"/>
      <c r="G6" s="108" t="s">
        <v>19</v>
      </c>
      <c r="H6" s="110"/>
    </row>
    <row r="7" spans="2:9" ht="16.5" thickBot="1" x14ac:dyDescent="0.3">
      <c r="B7" t="s">
        <v>88</v>
      </c>
      <c r="C7" s="12" t="s">
        <v>18</v>
      </c>
      <c r="D7" s="106">
        <v>0.12</v>
      </c>
      <c r="E7" s="48"/>
      <c r="F7" s="3"/>
      <c r="G7" s="79" t="s">
        <v>68</v>
      </c>
      <c r="H7" s="102">
        <v>10.468979436103298</v>
      </c>
    </row>
    <row r="8" spans="2:9" ht="16.5" thickBot="1" x14ac:dyDescent="0.3">
      <c r="C8" s="105"/>
      <c r="D8" s="48"/>
      <c r="E8" s="48"/>
      <c r="F8" s="3"/>
      <c r="G8" s="79" t="s">
        <v>69</v>
      </c>
      <c r="H8" s="102">
        <v>0</v>
      </c>
      <c r="I8" t="s">
        <v>91</v>
      </c>
    </row>
    <row r="9" spans="2:9" ht="18.75" x14ac:dyDescent="0.3">
      <c r="C9" s="108" t="s">
        <v>58</v>
      </c>
      <c r="D9" s="110"/>
      <c r="E9" s="48"/>
      <c r="F9" s="3"/>
      <c r="G9" s="79" t="s">
        <v>75</v>
      </c>
      <c r="H9" s="102">
        <v>0</v>
      </c>
    </row>
    <row r="10" spans="2:9" ht="16.5" thickBot="1" x14ac:dyDescent="0.3">
      <c r="B10" s="15" t="s">
        <v>89</v>
      </c>
      <c r="C10" s="10" t="s">
        <v>10</v>
      </c>
      <c r="D10" s="33">
        <f>portfolioreturn(H7:H10,'EF 3 Yr Index '!C20:C23)</f>
        <v>0.12000000999999999</v>
      </c>
      <c r="E10" s="48"/>
      <c r="F10" s="3"/>
      <c r="G10" s="80" t="s">
        <v>74</v>
      </c>
      <c r="H10" s="101">
        <f>1-SUM(H7:H9)</f>
        <v>-9.4689794361032984</v>
      </c>
    </row>
    <row r="11" spans="2:9" ht="16.5" thickBot="1" x14ac:dyDescent="0.3">
      <c r="B11" s="19" t="s">
        <v>90</v>
      </c>
      <c r="C11" s="45" t="s">
        <v>23</v>
      </c>
      <c r="D11" s="46">
        <f>SQRT(PortfolioVariance(H7:H10,'EF 3 Yr Index '!C28:F31))</f>
        <v>0.34541217213362063</v>
      </c>
      <c r="E11" s="52"/>
      <c r="F11" s="52"/>
      <c r="G11" s="52"/>
      <c r="H11" s="104"/>
    </row>
  </sheetData>
  <mergeCells count="4">
    <mergeCell ref="C3:H4"/>
    <mergeCell ref="C6:D6"/>
    <mergeCell ref="G6:H6"/>
    <mergeCell ref="C9:D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EffFrontier5">
                <anchor moveWithCells="1" sizeWithCells="1">
                  <from>
                    <xdr:col>5</xdr:col>
                    <xdr:colOff>9525</xdr:colOff>
                    <xdr:row>5</xdr:row>
                    <xdr:rowOff>9525</xdr:rowOff>
                  </from>
                  <to>
                    <xdr:col>5</xdr:col>
                    <xdr:colOff>1924050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S366"/>
  <sheetViews>
    <sheetView workbookViewId="0">
      <pane ySplit="5" topLeftCell="A6" activePane="bottomLeft" state="frozen"/>
      <selection pane="bottomLeft" activeCell="C13" sqref="C13"/>
    </sheetView>
  </sheetViews>
  <sheetFormatPr defaultRowHeight="15.75" x14ac:dyDescent="0.25"/>
  <cols>
    <col min="1" max="1" width="10.625" bestFit="1" customWidth="1"/>
    <col min="2" max="2" width="9.875" bestFit="1" customWidth="1"/>
    <col min="3" max="3" width="16.75" bestFit="1" customWidth="1"/>
    <col min="4" max="4" width="0.75" customWidth="1"/>
    <col min="5" max="5" width="9.875" bestFit="1" customWidth="1"/>
    <col min="6" max="6" width="16.75" bestFit="1" customWidth="1"/>
    <col min="7" max="7" width="1" customWidth="1"/>
    <col min="8" max="8" width="27.875" bestFit="1" customWidth="1"/>
    <col min="9" max="9" width="1.375" customWidth="1"/>
    <col min="10" max="10" width="16.375" customWidth="1"/>
  </cols>
  <sheetData>
    <row r="1" spans="1:19" x14ac:dyDescent="0.25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</row>
    <row r="2" spans="1:19" ht="16.5" thickBot="1" x14ac:dyDescent="0.3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</row>
    <row r="3" spans="1:19" ht="18.75" x14ac:dyDescent="0.3">
      <c r="A3" s="38"/>
      <c r="B3" s="108" t="s">
        <v>63</v>
      </c>
      <c r="C3" s="110"/>
      <c r="D3" s="38"/>
      <c r="E3" s="108" t="s">
        <v>66</v>
      </c>
      <c r="F3" s="110"/>
      <c r="G3" s="38"/>
      <c r="H3" s="108" t="s">
        <v>59</v>
      </c>
      <c r="I3" s="109"/>
      <c r="J3" s="110"/>
      <c r="K3" s="38"/>
      <c r="L3" s="38"/>
      <c r="M3" s="38"/>
      <c r="N3" s="38"/>
      <c r="O3" s="38"/>
      <c r="P3" s="38"/>
      <c r="Q3" s="38"/>
      <c r="R3" s="38"/>
      <c r="S3" s="38"/>
    </row>
    <row r="4" spans="1:19" ht="16.5" thickBot="1" x14ac:dyDescent="0.3">
      <c r="A4" s="38"/>
      <c r="B4" s="112" t="s">
        <v>64</v>
      </c>
      <c r="C4" s="113"/>
      <c r="D4" s="38"/>
      <c r="E4" s="114" t="s">
        <v>65</v>
      </c>
      <c r="F4" s="115"/>
      <c r="G4" s="38"/>
      <c r="H4" s="58" t="s">
        <v>60</v>
      </c>
      <c r="I4" s="68"/>
      <c r="J4" s="59" t="s">
        <v>67</v>
      </c>
      <c r="K4" s="38"/>
      <c r="L4" s="38"/>
      <c r="M4" s="38"/>
      <c r="N4" s="38"/>
      <c r="O4" s="38"/>
      <c r="P4" s="38"/>
      <c r="Q4" s="38"/>
      <c r="R4" s="38"/>
      <c r="S4" s="38"/>
    </row>
    <row r="5" spans="1:19" x14ac:dyDescent="0.25">
      <c r="A5" s="97" t="s">
        <v>0</v>
      </c>
      <c r="B5" s="4" t="s">
        <v>61</v>
      </c>
      <c r="C5" s="5" t="s">
        <v>62</v>
      </c>
      <c r="D5" s="64"/>
      <c r="E5" s="4" t="s">
        <v>61</v>
      </c>
      <c r="F5" s="5" t="s">
        <v>62</v>
      </c>
      <c r="G5" s="64"/>
      <c r="H5" s="65" t="s">
        <v>62</v>
      </c>
      <c r="I5" s="69"/>
      <c r="J5" s="66" t="s">
        <v>62</v>
      </c>
      <c r="K5" s="38"/>
      <c r="L5" s="38"/>
      <c r="M5" s="38"/>
      <c r="N5" s="38"/>
      <c r="O5" s="38"/>
      <c r="P5" s="38"/>
      <c r="Q5" s="38"/>
      <c r="R5" s="38"/>
      <c r="S5" s="38"/>
    </row>
    <row r="6" spans="1:19" x14ac:dyDescent="0.25">
      <c r="A6" s="67">
        <v>40543</v>
      </c>
      <c r="B6" s="8">
        <v>3015.7188999999998</v>
      </c>
      <c r="C6" s="75" t="s">
        <v>5</v>
      </c>
      <c r="D6" s="62"/>
      <c r="E6" s="8">
        <v>967.72059999999999</v>
      </c>
      <c r="F6" s="75" t="s">
        <v>5</v>
      </c>
      <c r="G6" s="38"/>
      <c r="H6" s="70">
        <v>-9.1751742359148201E-3</v>
      </c>
      <c r="I6" s="72"/>
      <c r="J6" s="53">
        <v>-1.7990281377527499E-2</v>
      </c>
      <c r="K6" s="38"/>
      <c r="L6" s="38"/>
      <c r="M6" s="38"/>
      <c r="N6" s="38"/>
      <c r="O6" s="38"/>
      <c r="P6" s="38"/>
      <c r="Q6" s="38"/>
      <c r="R6" s="38"/>
      <c r="S6" s="38"/>
    </row>
    <row r="7" spans="1:19" x14ac:dyDescent="0.25">
      <c r="A7" s="67">
        <v>40574</v>
      </c>
      <c r="B7" s="8">
        <v>3087.1797000000001</v>
      </c>
      <c r="C7" s="53">
        <f t="shared" ref="C7:C14" si="0">B7/B6-1</f>
        <v>2.3696107750626361E-2</v>
      </c>
      <c r="D7" s="62"/>
      <c r="E7" s="8">
        <v>965.23339999999996</v>
      </c>
      <c r="F7" s="53">
        <f t="shared" ref="F7:F14" si="1">E7/E6-1</f>
        <v>-2.5701633302008808E-3</v>
      </c>
      <c r="G7" s="38"/>
      <c r="H7" s="70">
        <v>1.9921965754026699E-3</v>
      </c>
      <c r="I7" s="72"/>
      <c r="J7" s="53">
        <v>-2.4818375513880003E-4</v>
      </c>
      <c r="K7" s="38"/>
      <c r="L7" s="38"/>
      <c r="M7" s="38"/>
      <c r="N7" s="38"/>
      <c r="O7" s="38"/>
      <c r="P7" s="38"/>
      <c r="Q7" s="38"/>
      <c r="R7" s="38"/>
      <c r="S7" s="38"/>
    </row>
    <row r="8" spans="1:19" x14ac:dyDescent="0.25">
      <c r="A8" s="67">
        <v>40602</v>
      </c>
      <c r="B8" s="8">
        <v>3192.8863999999999</v>
      </c>
      <c r="C8" s="53">
        <f t="shared" si="0"/>
        <v>3.4240539998368069E-2</v>
      </c>
      <c r="D8" s="62"/>
      <c r="E8" s="8">
        <v>1018.158</v>
      </c>
      <c r="F8" s="53">
        <f t="shared" si="1"/>
        <v>5.4830883390483587E-2</v>
      </c>
      <c r="G8" s="38"/>
      <c r="H8" s="70">
        <v>7.9233812827605998E-3</v>
      </c>
      <c r="I8" s="72"/>
      <c r="J8" s="53">
        <v>-7.4322379072336005E-4</v>
      </c>
      <c r="K8" s="38"/>
      <c r="L8" s="38"/>
      <c r="M8" s="38"/>
      <c r="N8" s="38"/>
      <c r="O8" s="38"/>
      <c r="P8" s="38"/>
      <c r="Q8" s="38"/>
      <c r="R8" s="38"/>
      <c r="S8" s="38"/>
    </row>
    <row r="9" spans="1:19" x14ac:dyDescent="0.25">
      <c r="A9" s="67">
        <v>40633</v>
      </c>
      <c r="B9" s="8">
        <v>3194.1001999999999</v>
      </c>
      <c r="C9" s="53">
        <f t="shared" si="0"/>
        <v>3.8015759032328234E-4</v>
      </c>
      <c r="D9" s="62"/>
      <c r="E9" s="8">
        <v>1044.4865</v>
      </c>
      <c r="F9" s="53">
        <f t="shared" si="1"/>
        <v>2.5858953129082041E-2</v>
      </c>
      <c r="G9" s="38"/>
      <c r="H9" s="70">
        <v>-1.3332528820876898E-3</v>
      </c>
      <c r="I9" s="72"/>
      <c r="J9" s="53">
        <v>-6.1011312463283001E-4</v>
      </c>
      <c r="K9" s="38"/>
      <c r="L9" s="38"/>
      <c r="M9" s="38"/>
      <c r="N9" s="38"/>
      <c r="O9" s="38"/>
      <c r="P9" s="38"/>
      <c r="Q9" s="38"/>
      <c r="R9" s="38"/>
      <c r="S9" s="38"/>
    </row>
    <row r="10" spans="1:19" x14ac:dyDescent="0.25">
      <c r="A10" s="67">
        <v>40662</v>
      </c>
      <c r="B10" s="8">
        <v>3288.6084000000001</v>
      </c>
      <c r="C10" s="53">
        <f t="shared" si="0"/>
        <v>2.9588364197215888E-2</v>
      </c>
      <c r="D10" s="62"/>
      <c r="E10" s="8">
        <v>1072.0535</v>
      </c>
      <c r="F10" s="53">
        <f t="shared" si="1"/>
        <v>2.6392873435894026E-2</v>
      </c>
      <c r="G10" s="38"/>
      <c r="H10" s="70">
        <v>1.7196125170153301E-2</v>
      </c>
      <c r="I10" s="72"/>
      <c r="J10" s="53">
        <v>1.1536573232504701E-2</v>
      </c>
      <c r="K10" s="38"/>
      <c r="L10" s="38"/>
      <c r="M10" s="38"/>
      <c r="N10" s="38"/>
      <c r="O10" s="38"/>
      <c r="P10" s="38"/>
      <c r="Q10" s="38"/>
      <c r="R10" s="38"/>
      <c r="S10" s="38"/>
    </row>
    <row r="11" spans="1:19" x14ac:dyDescent="0.25">
      <c r="A11" s="67">
        <v>40694</v>
      </c>
      <c r="B11" s="8">
        <v>3251.3112000000001</v>
      </c>
      <c r="C11" s="53">
        <f t="shared" si="0"/>
        <v>-1.1341332096579171E-2</v>
      </c>
      <c r="D11" s="62"/>
      <c r="E11" s="8">
        <v>1051.9381000000001</v>
      </c>
      <c r="F11" s="53">
        <f t="shared" si="1"/>
        <v>-1.876342925049912E-2</v>
      </c>
      <c r="G11" s="38"/>
      <c r="H11" s="70">
        <v>1.4440348363139E-2</v>
      </c>
      <c r="I11" s="72"/>
      <c r="J11" s="53">
        <v>1.5616768564037799E-2</v>
      </c>
      <c r="K11" s="38"/>
      <c r="L11" s="38"/>
      <c r="M11" s="38"/>
      <c r="N11" s="38"/>
      <c r="O11" s="38"/>
      <c r="P11" s="38"/>
      <c r="Q11" s="38"/>
      <c r="R11" s="38"/>
      <c r="S11" s="38"/>
    </row>
    <row r="12" spans="1:19" x14ac:dyDescent="0.25">
      <c r="A12" s="67">
        <v>40724</v>
      </c>
      <c r="B12" s="8">
        <v>3196.9796000000001</v>
      </c>
      <c r="C12" s="53">
        <f t="shared" si="0"/>
        <v>-1.6710673527652431E-2</v>
      </c>
      <c r="D12" s="62"/>
      <c r="E12" s="8">
        <v>1027.6302000000001</v>
      </c>
      <c r="F12" s="53">
        <f t="shared" si="1"/>
        <v>-2.3107728487065882E-2</v>
      </c>
      <c r="G12" s="38"/>
      <c r="H12" s="70">
        <v>-8.7605310949038593E-3</v>
      </c>
      <c r="I12" s="72"/>
      <c r="J12" s="53">
        <v>-3.3845812224138501E-3</v>
      </c>
      <c r="K12" s="38"/>
      <c r="L12" s="38"/>
      <c r="M12" s="38"/>
      <c r="N12" s="38"/>
      <c r="O12" s="38"/>
      <c r="P12" s="38"/>
      <c r="Q12" s="38"/>
      <c r="R12" s="38"/>
      <c r="S12" s="38"/>
    </row>
    <row r="13" spans="1:19" x14ac:dyDescent="0.25">
      <c r="A13" s="67">
        <v>40753</v>
      </c>
      <c r="B13" s="8">
        <v>3132.0648999999999</v>
      </c>
      <c r="C13" s="53">
        <f t="shared" si="0"/>
        <v>-2.0305009140502595E-2</v>
      </c>
      <c r="D13" s="62"/>
      <c r="E13" s="8">
        <v>990.50869999999998</v>
      </c>
      <c r="F13" s="53">
        <f t="shared" si="1"/>
        <v>-3.6123403146384847E-2</v>
      </c>
      <c r="G13" s="38"/>
      <c r="H13" s="70">
        <v>2.52136748480273E-2</v>
      </c>
      <c r="I13" s="72"/>
      <c r="J13" s="53">
        <v>1.8228367415115802E-2</v>
      </c>
      <c r="K13" s="38"/>
      <c r="L13" s="38"/>
      <c r="M13" s="38"/>
      <c r="N13" s="38"/>
      <c r="O13" s="38"/>
      <c r="P13" s="38"/>
      <c r="Q13" s="38"/>
      <c r="R13" s="38"/>
      <c r="S13" s="38"/>
    </row>
    <row r="14" spans="1:19" x14ac:dyDescent="0.25">
      <c r="A14" s="67">
        <v>40786</v>
      </c>
      <c r="B14" s="8">
        <v>2961.6801999999998</v>
      </c>
      <c r="C14" s="53">
        <f t="shared" si="0"/>
        <v>-5.4400117954133131E-2</v>
      </c>
      <c r="D14" s="62"/>
      <c r="E14" s="8">
        <v>904.2971</v>
      </c>
      <c r="F14" s="53">
        <f t="shared" si="1"/>
        <v>-8.7037700930844952E-2</v>
      </c>
      <c r="G14" s="38"/>
      <c r="H14" s="70">
        <v>6.5152465003513998E-4</v>
      </c>
      <c r="I14" s="72"/>
      <c r="J14" s="53">
        <v>2.7771850779778399E-2</v>
      </c>
      <c r="K14" s="38"/>
      <c r="L14" s="38"/>
      <c r="M14" s="38"/>
      <c r="N14" s="38"/>
      <c r="O14" s="38"/>
      <c r="P14" s="38"/>
      <c r="Q14" s="38"/>
      <c r="R14" s="38"/>
      <c r="S14" s="38"/>
    </row>
    <row r="15" spans="1:19" x14ac:dyDescent="0.25">
      <c r="A15" s="67">
        <v>40816</v>
      </c>
      <c r="B15" s="8">
        <v>2753.6457999999998</v>
      </c>
      <c r="C15" s="53">
        <f t="shared" ref="C15:C66" si="2">B15/B14-1</f>
        <v>-7.0242020053346788E-2</v>
      </c>
      <c r="D15" s="62"/>
      <c r="E15" s="8">
        <v>802.99749999999995</v>
      </c>
      <c r="F15" s="53">
        <f t="shared" ref="F15:F66" si="3">E15/E14-1</f>
        <v>-0.11202026413664279</v>
      </c>
      <c r="G15" s="38"/>
      <c r="H15" s="70">
        <v>2.5519619445856703E-3</v>
      </c>
      <c r="I15" s="72"/>
      <c r="J15" s="53">
        <v>1.7465744140595301E-2</v>
      </c>
      <c r="K15" s="38"/>
      <c r="L15" s="38"/>
      <c r="M15" s="38"/>
      <c r="N15" s="38"/>
      <c r="O15" s="38"/>
      <c r="P15" s="38"/>
      <c r="Q15" s="38"/>
      <c r="R15" s="38"/>
      <c r="S15" s="38"/>
    </row>
    <row r="16" spans="1:19" x14ac:dyDescent="0.25">
      <c r="A16" s="67">
        <v>40847</v>
      </c>
      <c r="B16" s="8">
        <v>3054.3132000000001</v>
      </c>
      <c r="C16" s="53">
        <f t="shared" si="2"/>
        <v>0.10918884338719237</v>
      </c>
      <c r="D16" s="62"/>
      <c r="E16" s="8">
        <v>924.49590000000001</v>
      </c>
      <c r="F16" s="53">
        <f t="shared" si="3"/>
        <v>0.15130607505004701</v>
      </c>
      <c r="G16" s="38"/>
      <c r="H16" s="70">
        <v>1.7878132155868101E-2</v>
      </c>
      <c r="I16" s="72"/>
      <c r="J16" s="53">
        <v>-8.1532515246265508E-3</v>
      </c>
      <c r="K16" s="38"/>
      <c r="L16" s="38"/>
      <c r="M16" s="38"/>
      <c r="N16" s="38"/>
      <c r="O16" s="38"/>
      <c r="P16" s="38"/>
      <c r="Q16" s="38"/>
      <c r="R16" s="38"/>
      <c r="S16" s="38"/>
    </row>
    <row r="17" spans="1:19" x14ac:dyDescent="0.25">
      <c r="A17" s="67">
        <v>40877</v>
      </c>
      <c r="B17" s="8">
        <v>3047.4431</v>
      </c>
      <c r="C17" s="53">
        <f t="shared" si="2"/>
        <v>-2.249310908914004E-3</v>
      </c>
      <c r="D17" s="62"/>
      <c r="E17" s="8">
        <v>921.09810000000004</v>
      </c>
      <c r="F17" s="53">
        <f t="shared" si="3"/>
        <v>-3.6753002365937926E-3</v>
      </c>
      <c r="G17" s="38"/>
      <c r="H17" s="70">
        <v>-1.9600157167118298E-2</v>
      </c>
      <c r="I17" s="72"/>
      <c r="J17" s="53">
        <v>7.4618284324518705E-3</v>
      </c>
      <c r="K17" s="38"/>
      <c r="L17" s="38"/>
      <c r="M17" s="38"/>
      <c r="N17" s="38"/>
      <c r="O17" s="38"/>
      <c r="P17" s="38"/>
      <c r="Q17" s="38"/>
      <c r="R17" s="38"/>
      <c r="S17" s="38"/>
    </row>
    <row r="18" spans="1:19" x14ac:dyDescent="0.25">
      <c r="A18" s="67">
        <v>40907</v>
      </c>
      <c r="B18" s="8">
        <v>3078.4886999999999</v>
      </c>
      <c r="C18" s="53">
        <f t="shared" si="2"/>
        <v>1.0187425648734871E-2</v>
      </c>
      <c r="D18" s="62"/>
      <c r="E18" s="8">
        <v>927.16179999999997</v>
      </c>
      <c r="F18" s="53">
        <f t="shared" si="3"/>
        <v>6.5831207338282738E-3</v>
      </c>
      <c r="G18" s="38"/>
      <c r="H18" s="70">
        <v>2.1376646808302101E-2</v>
      </c>
      <c r="I18" s="72"/>
      <c r="J18" s="53">
        <v>9.6621545968333701E-3</v>
      </c>
      <c r="K18" s="38"/>
      <c r="L18" s="38"/>
      <c r="M18" s="38"/>
      <c r="N18" s="38"/>
      <c r="O18" s="38"/>
      <c r="P18" s="38"/>
      <c r="Q18" s="38"/>
      <c r="R18" s="38"/>
      <c r="S18" s="38"/>
    </row>
    <row r="19" spans="1:19" x14ac:dyDescent="0.25">
      <c r="A19" s="67">
        <v>40939</v>
      </c>
      <c r="B19" s="8">
        <v>3216.3919999999998</v>
      </c>
      <c r="C19" s="53">
        <f t="shared" si="2"/>
        <v>4.4795779175671457E-2</v>
      </c>
      <c r="D19" s="63"/>
      <c r="E19" s="8">
        <v>992.65560000000005</v>
      </c>
      <c r="F19" s="53">
        <f t="shared" si="3"/>
        <v>7.0639018993232883E-2</v>
      </c>
      <c r="G19" s="38"/>
      <c r="H19" s="70">
        <v>2.2139555138519503E-2</v>
      </c>
      <c r="I19" s="72"/>
      <c r="J19" s="53">
        <v>4.2300465411935001E-3</v>
      </c>
      <c r="K19" s="38"/>
      <c r="L19" s="38"/>
      <c r="M19" s="38"/>
      <c r="N19" s="38"/>
      <c r="O19" s="38"/>
      <c r="P19" s="38"/>
      <c r="Q19" s="38"/>
      <c r="R19" s="38"/>
      <c r="S19" s="38"/>
    </row>
    <row r="20" spans="1:19" x14ac:dyDescent="0.25">
      <c r="A20" s="67">
        <v>40968</v>
      </c>
      <c r="B20" s="8">
        <v>3355.3876</v>
      </c>
      <c r="C20" s="53">
        <f t="shared" si="2"/>
        <v>4.3214757405191984E-2</v>
      </c>
      <c r="D20" s="38"/>
      <c r="E20" s="8">
        <v>1016.4256</v>
      </c>
      <c r="F20" s="53">
        <f t="shared" si="3"/>
        <v>2.3945868033182993E-2</v>
      </c>
      <c r="G20" s="38"/>
      <c r="H20" s="70">
        <v>8.4175655543281894E-3</v>
      </c>
      <c r="I20" s="72"/>
      <c r="J20" s="53">
        <v>-7.1261342323220098E-3</v>
      </c>
      <c r="K20" s="38"/>
      <c r="L20" s="38"/>
      <c r="M20" s="38"/>
      <c r="N20" s="38"/>
      <c r="O20" s="38"/>
      <c r="P20" s="38"/>
      <c r="Q20" s="38"/>
      <c r="R20" s="38"/>
      <c r="S20" s="38"/>
    </row>
    <row r="21" spans="1:19" x14ac:dyDescent="0.25">
      <c r="A21" s="67">
        <v>40998</v>
      </c>
      <c r="B21" s="8">
        <v>3465.5183000000002</v>
      </c>
      <c r="C21" s="53">
        <f t="shared" si="2"/>
        <v>3.2822050126191105E-2</v>
      </c>
      <c r="D21" s="38"/>
      <c r="E21" s="8">
        <v>1042.4532999999999</v>
      </c>
      <c r="F21" s="53">
        <f t="shared" si="3"/>
        <v>2.560708821186708E-2</v>
      </c>
      <c r="G21" s="38"/>
      <c r="H21" s="70">
        <v>-9.6574549960650805E-3</v>
      </c>
      <c r="I21" s="72"/>
      <c r="J21" s="53">
        <v>-1.00327543661502E-2</v>
      </c>
      <c r="K21" s="38"/>
      <c r="L21" s="38"/>
      <c r="M21" s="38"/>
      <c r="N21" s="38"/>
      <c r="O21" s="38"/>
      <c r="P21" s="38"/>
      <c r="Q21" s="38"/>
      <c r="R21" s="38"/>
      <c r="S21" s="38"/>
    </row>
    <row r="22" spans="1:19" x14ac:dyDescent="0.25">
      <c r="A22" s="67">
        <v>41029</v>
      </c>
      <c r="B22" s="8">
        <v>3443.7444</v>
      </c>
      <c r="C22" s="53">
        <f t="shared" si="2"/>
        <v>-6.2830140011091995E-3</v>
      </c>
      <c r="D22" s="38"/>
      <c r="E22" s="8">
        <v>1026.3492000000001</v>
      </c>
      <c r="F22" s="53">
        <f t="shared" si="3"/>
        <v>-1.5448269960870009E-2</v>
      </c>
      <c r="G22" s="38"/>
      <c r="H22" s="70">
        <v>1.3956763204863901E-2</v>
      </c>
      <c r="I22" s="72"/>
      <c r="J22" s="53">
        <v>1.4547669559341401E-2</v>
      </c>
      <c r="K22" s="38"/>
      <c r="L22" s="38"/>
      <c r="M22" s="38"/>
      <c r="N22" s="38"/>
      <c r="O22" s="38"/>
      <c r="P22" s="38"/>
      <c r="Q22" s="38"/>
      <c r="R22" s="38"/>
      <c r="S22" s="38"/>
    </row>
    <row r="23" spans="1:19" x14ac:dyDescent="0.25">
      <c r="A23" s="67">
        <v>41060</v>
      </c>
      <c r="B23" s="8">
        <v>3236.9661999999998</v>
      </c>
      <c r="C23" s="53">
        <f t="shared" si="2"/>
        <v>-6.0044584028942527E-2</v>
      </c>
      <c r="D23" s="38"/>
      <c r="E23" s="8">
        <v>958.48469999999998</v>
      </c>
      <c r="F23" s="53">
        <f t="shared" si="3"/>
        <v>-6.612223208241419E-2</v>
      </c>
      <c r="G23" s="38"/>
      <c r="H23" s="70">
        <v>7.5492837076162802E-3</v>
      </c>
      <c r="I23" s="72"/>
      <c r="J23" s="53">
        <v>1.7139075666036101E-2</v>
      </c>
      <c r="K23" s="38"/>
      <c r="L23" s="38"/>
      <c r="M23" s="38"/>
      <c r="N23" s="38"/>
      <c r="O23" s="38"/>
      <c r="P23" s="38"/>
      <c r="Q23" s="38"/>
      <c r="R23" s="38"/>
      <c r="S23" s="38"/>
    </row>
    <row r="24" spans="1:19" x14ac:dyDescent="0.25">
      <c r="A24" s="67">
        <v>41089</v>
      </c>
      <c r="B24" s="8">
        <v>3370.1743000000001</v>
      </c>
      <c r="C24" s="53">
        <f t="shared" si="2"/>
        <v>4.1152144251614509E-2</v>
      </c>
      <c r="D24" s="38"/>
      <c r="E24" s="8">
        <v>1006.2421000000001</v>
      </c>
      <c r="F24" s="53">
        <f t="shared" si="3"/>
        <v>4.9825938796936642E-2</v>
      </c>
      <c r="G24" s="38"/>
      <c r="H24" s="70">
        <v>3.5469654488165196E-3</v>
      </c>
      <c r="I24" s="72"/>
      <c r="J24" s="53">
        <v>-3.4776300114932501E-3</v>
      </c>
      <c r="K24" s="38"/>
      <c r="L24" s="38"/>
      <c r="M24" s="38"/>
      <c r="N24" s="38"/>
      <c r="O24" s="38"/>
      <c r="P24" s="38"/>
      <c r="Q24" s="38"/>
      <c r="R24" s="38"/>
      <c r="S24" s="38"/>
    </row>
    <row r="25" spans="1:19" x14ac:dyDescent="0.25">
      <c r="A25" s="67">
        <v>41121</v>
      </c>
      <c r="B25" s="8">
        <v>3416.9331999999999</v>
      </c>
      <c r="C25" s="53">
        <f t="shared" si="2"/>
        <v>1.3874326915376489E-2</v>
      </c>
      <c r="D25" s="38"/>
      <c r="E25" s="8">
        <v>992.34609999999998</v>
      </c>
      <c r="F25" s="53">
        <f t="shared" si="3"/>
        <v>-1.3809797860773299E-2</v>
      </c>
      <c r="G25" s="38"/>
      <c r="H25" s="70">
        <v>2.8773472168635399E-2</v>
      </c>
      <c r="I25" s="72"/>
      <c r="J25" s="53">
        <v>1.0068091988264001E-2</v>
      </c>
      <c r="K25" s="38"/>
      <c r="L25" s="38"/>
      <c r="M25" s="38"/>
      <c r="N25" s="38"/>
      <c r="O25" s="38"/>
      <c r="P25" s="38"/>
      <c r="Q25" s="38"/>
      <c r="R25" s="38"/>
      <c r="S25" s="38"/>
    </row>
    <row r="26" spans="1:19" x14ac:dyDescent="0.25">
      <c r="A26" s="67">
        <v>41152</v>
      </c>
      <c r="B26" s="8">
        <v>3493.8939999999998</v>
      </c>
      <c r="C26" s="53">
        <f t="shared" si="2"/>
        <v>2.2523355153679869E-2</v>
      </c>
      <c r="D26" s="38"/>
      <c r="E26" s="8">
        <v>1025.4418000000001</v>
      </c>
      <c r="F26" s="53">
        <f t="shared" si="3"/>
        <v>3.3350964950635831E-2</v>
      </c>
      <c r="G26" s="38"/>
      <c r="H26" s="70">
        <v>2.22282394338891E-3</v>
      </c>
      <c r="I26" s="72"/>
      <c r="J26" s="53">
        <v>-1.28603119497968E-3</v>
      </c>
      <c r="K26" s="38"/>
      <c r="L26" s="38"/>
      <c r="M26" s="38"/>
      <c r="N26" s="38"/>
      <c r="O26" s="38"/>
      <c r="P26" s="38"/>
      <c r="Q26" s="38"/>
      <c r="R26" s="38"/>
      <c r="S26" s="38"/>
    </row>
    <row r="27" spans="1:19" x14ac:dyDescent="0.25">
      <c r="A27" s="67">
        <v>41180</v>
      </c>
      <c r="B27" s="8">
        <v>3584.1605</v>
      </c>
      <c r="C27" s="53">
        <f t="shared" si="2"/>
        <v>2.5835500447351833E-2</v>
      </c>
      <c r="D27" s="38"/>
      <c r="E27" s="8">
        <v>1059.1246000000001</v>
      </c>
      <c r="F27" s="53">
        <f t="shared" si="3"/>
        <v>3.2847110386957201E-2</v>
      </c>
      <c r="G27" s="38"/>
      <c r="H27" s="70">
        <v>7.0190917981169196E-3</v>
      </c>
      <c r="I27" s="72"/>
      <c r="J27" s="53">
        <v>-3.0596912846471004E-3</v>
      </c>
      <c r="K27" s="38"/>
      <c r="L27" s="38"/>
      <c r="M27" s="38"/>
      <c r="N27" s="38"/>
      <c r="O27" s="38"/>
      <c r="P27" s="38"/>
      <c r="Q27" s="38"/>
      <c r="R27" s="38"/>
      <c r="S27" s="38"/>
    </row>
    <row r="28" spans="1:19" x14ac:dyDescent="0.25">
      <c r="A28" s="67">
        <v>41213</v>
      </c>
      <c r="B28" s="8">
        <v>3518.0916000000002</v>
      </c>
      <c r="C28" s="53">
        <f t="shared" si="2"/>
        <v>-1.8433577402574453E-2</v>
      </c>
      <c r="D28" s="38"/>
      <c r="E28" s="8">
        <v>1036.1555000000001</v>
      </c>
      <c r="F28" s="53">
        <f t="shared" si="3"/>
        <v>-2.1686872347219555E-2</v>
      </c>
      <c r="G28" s="38"/>
      <c r="H28" s="70">
        <v>1.2881743480744801E-2</v>
      </c>
      <c r="I28" s="72"/>
      <c r="J28" s="53">
        <v>-1.6939394470784899E-3</v>
      </c>
      <c r="K28" s="38"/>
      <c r="L28" s="38"/>
      <c r="M28" s="38"/>
      <c r="N28" s="38"/>
      <c r="O28" s="38"/>
      <c r="P28" s="38"/>
      <c r="Q28" s="38"/>
      <c r="R28" s="38"/>
      <c r="S28" s="38"/>
    </row>
    <row r="29" spans="1:19" x14ac:dyDescent="0.25">
      <c r="A29" s="67">
        <v>41243</v>
      </c>
      <c r="B29" s="8">
        <v>3538.2907</v>
      </c>
      <c r="C29" s="53">
        <f t="shared" si="2"/>
        <v>5.741493484706206E-3</v>
      </c>
      <c r="D29" s="38"/>
      <c r="E29" s="8">
        <v>1041.6341</v>
      </c>
      <c r="F29" s="53">
        <f t="shared" si="3"/>
        <v>5.2874303133070288E-3</v>
      </c>
      <c r="G29" s="38"/>
      <c r="H29" s="70">
        <v>-1.5916634997348899E-3</v>
      </c>
      <c r="I29" s="72"/>
      <c r="J29" s="53">
        <v>5.2021611845713004E-3</v>
      </c>
      <c r="K29" s="38"/>
      <c r="L29" s="38"/>
      <c r="M29" s="38"/>
      <c r="N29" s="38"/>
      <c r="O29" s="38"/>
      <c r="P29" s="38"/>
      <c r="Q29" s="38"/>
      <c r="R29" s="38"/>
      <c r="S29" s="38"/>
    </row>
    <row r="30" spans="1:19" x14ac:dyDescent="0.25">
      <c r="A30" s="67">
        <v>41274</v>
      </c>
      <c r="B30" s="8">
        <v>3570.3652999999999</v>
      </c>
      <c r="C30" s="53">
        <f t="shared" si="2"/>
        <v>9.0649985316355597E-3</v>
      </c>
      <c r="D30" s="38"/>
      <c r="E30" s="8">
        <v>1078.9536000000001</v>
      </c>
      <c r="F30" s="53">
        <f t="shared" si="3"/>
        <v>3.5827840121593679E-2</v>
      </c>
      <c r="G30" s="38"/>
      <c r="H30" s="70">
        <v>-6.3786621004115001E-4</v>
      </c>
      <c r="I30" s="72"/>
      <c r="J30" s="53">
        <v>-4.3534181807699697E-3</v>
      </c>
      <c r="K30" s="38"/>
      <c r="L30" s="38"/>
      <c r="M30" s="38"/>
      <c r="N30" s="38"/>
      <c r="O30" s="38"/>
      <c r="P30" s="38"/>
      <c r="Q30" s="38"/>
      <c r="R30" s="38"/>
      <c r="S30" s="38"/>
    </row>
    <row r="31" spans="1:19" x14ac:dyDescent="0.25">
      <c r="A31" s="67">
        <v>41305</v>
      </c>
      <c r="B31" s="8">
        <v>3755.2073</v>
      </c>
      <c r="C31" s="53">
        <f t="shared" si="2"/>
        <v>5.1771173106572643E-2</v>
      </c>
      <c r="D31" s="38"/>
      <c r="E31" s="8">
        <v>1146.4820999999999</v>
      </c>
      <c r="F31" s="53">
        <f t="shared" si="3"/>
        <v>6.2587028765648478E-2</v>
      </c>
      <c r="G31" s="38"/>
      <c r="H31" s="70">
        <v>-8.8959383230117796E-3</v>
      </c>
      <c r="I31" s="72"/>
      <c r="J31" s="53">
        <v>-8.0725604816361592E-3</v>
      </c>
      <c r="K31" s="38"/>
      <c r="L31" s="38"/>
      <c r="M31" s="38"/>
      <c r="N31" s="38"/>
      <c r="O31" s="38"/>
      <c r="P31" s="38"/>
      <c r="Q31" s="38"/>
      <c r="R31" s="38"/>
      <c r="S31" s="38"/>
    </row>
    <row r="32" spans="1:19" x14ac:dyDescent="0.25">
      <c r="A32" s="67">
        <v>41333</v>
      </c>
      <c r="B32" s="8">
        <v>3806.1453000000001</v>
      </c>
      <c r="C32" s="53">
        <f t="shared" si="2"/>
        <v>1.3564630639698594E-2</v>
      </c>
      <c r="D32" s="38"/>
      <c r="E32" s="8">
        <v>1159.1298999999999</v>
      </c>
      <c r="F32" s="53">
        <f t="shared" si="3"/>
        <v>1.10318338158093E-2</v>
      </c>
      <c r="G32" s="38"/>
      <c r="H32" s="70">
        <v>7.6992294271155705E-3</v>
      </c>
      <c r="I32" s="72"/>
      <c r="J32" s="53">
        <v>5.2852306598196001E-3</v>
      </c>
      <c r="K32" s="38"/>
      <c r="L32" s="38"/>
      <c r="M32" s="38"/>
      <c r="N32" s="38"/>
      <c r="O32" s="38"/>
      <c r="P32" s="38"/>
      <c r="Q32" s="38"/>
      <c r="R32" s="38"/>
      <c r="S32" s="38"/>
    </row>
    <row r="33" spans="1:19" x14ac:dyDescent="0.25">
      <c r="A33" s="67">
        <v>41362</v>
      </c>
      <c r="B33" s="8">
        <v>3948.8292000000001</v>
      </c>
      <c r="C33" s="53">
        <f t="shared" si="2"/>
        <v>3.7487770106937379E-2</v>
      </c>
      <c r="D33" s="38"/>
      <c r="E33" s="8">
        <v>1212.6419000000001</v>
      </c>
      <c r="F33" s="53">
        <f t="shared" si="3"/>
        <v>4.6165662709589439E-2</v>
      </c>
      <c r="G33" s="38"/>
      <c r="H33" s="70">
        <v>1.93690092929E-4</v>
      </c>
      <c r="I33" s="72"/>
      <c r="J33" s="53">
        <v>9.7918869540134E-4</v>
      </c>
      <c r="K33" s="38"/>
      <c r="L33" s="38"/>
      <c r="M33" s="38"/>
      <c r="N33" s="38"/>
      <c r="O33" s="38"/>
      <c r="P33" s="38"/>
      <c r="Q33" s="38"/>
      <c r="R33" s="38"/>
      <c r="S33" s="38"/>
    </row>
    <row r="34" spans="1:19" x14ac:dyDescent="0.25">
      <c r="A34" s="67">
        <v>41394</v>
      </c>
      <c r="B34" s="8">
        <v>4024.8155000000002</v>
      </c>
      <c r="C34" s="53">
        <f t="shared" si="2"/>
        <v>1.9242741620731474E-2</v>
      </c>
      <c r="D34" s="38"/>
      <c r="E34" s="8">
        <v>1208.1733999999999</v>
      </c>
      <c r="F34" s="53">
        <f t="shared" si="3"/>
        <v>-3.6849295740153387E-3</v>
      </c>
      <c r="G34" s="38"/>
      <c r="H34" s="70">
        <v>1.8257750353902199E-2</v>
      </c>
      <c r="I34" s="72"/>
      <c r="J34" s="53">
        <v>8.8917251505595887E-3</v>
      </c>
      <c r="K34" s="38"/>
      <c r="L34" s="38"/>
      <c r="M34" s="38"/>
      <c r="N34" s="38"/>
      <c r="O34" s="38"/>
      <c r="P34" s="38"/>
      <c r="Q34" s="38"/>
      <c r="R34" s="38"/>
      <c r="S34" s="38"/>
    </row>
    <row r="35" spans="1:19" x14ac:dyDescent="0.25">
      <c r="A35" s="67">
        <v>41425</v>
      </c>
      <c r="B35" s="8">
        <v>4118.9597999999996</v>
      </c>
      <c r="C35" s="53">
        <f t="shared" si="2"/>
        <v>2.3390960405514027E-2</v>
      </c>
      <c r="D35" s="38"/>
      <c r="E35" s="8">
        <v>1256.4468999999999</v>
      </c>
      <c r="F35" s="53">
        <f t="shared" si="3"/>
        <v>3.9955771249391869E-2</v>
      </c>
      <c r="G35" s="38"/>
      <c r="H35" s="70">
        <v>-2.34369231395728E-2</v>
      </c>
      <c r="I35" s="72"/>
      <c r="J35" s="53">
        <v>-1.70746991635446E-2</v>
      </c>
      <c r="K35" s="38"/>
      <c r="L35" s="38"/>
      <c r="M35" s="38"/>
      <c r="N35" s="38"/>
      <c r="O35" s="38"/>
      <c r="P35" s="38"/>
      <c r="Q35" s="38"/>
      <c r="R35" s="38"/>
      <c r="S35" s="38"/>
    </row>
    <row r="36" spans="1:19" x14ac:dyDescent="0.25">
      <c r="A36" s="67">
        <v>41453</v>
      </c>
      <c r="B36" s="8">
        <v>4063.6860000000001</v>
      </c>
      <c r="C36" s="53">
        <f t="shared" si="2"/>
        <v>-1.341935893620505E-2</v>
      </c>
      <c r="D36" s="38"/>
      <c r="E36" s="8">
        <v>1249.9958999999999</v>
      </c>
      <c r="F36" s="53">
        <f t="shared" si="3"/>
        <v>-5.1343196437509953E-3</v>
      </c>
      <c r="G36" s="38"/>
      <c r="H36" s="70">
        <v>-2.7603640871182403E-2</v>
      </c>
      <c r="I36" s="72"/>
      <c r="J36" s="53">
        <v>-1.1006516281491501E-2</v>
      </c>
      <c r="K36" s="38"/>
      <c r="L36" s="38"/>
      <c r="M36" s="38"/>
      <c r="N36" s="38"/>
      <c r="O36" s="38"/>
      <c r="P36" s="38"/>
      <c r="Q36" s="38"/>
      <c r="R36" s="38"/>
      <c r="S36" s="38"/>
    </row>
    <row r="37" spans="1:19" x14ac:dyDescent="0.25">
      <c r="A37" s="67">
        <v>41486</v>
      </c>
      <c r="B37" s="8">
        <v>4270.3549000000003</v>
      </c>
      <c r="C37" s="53">
        <f t="shared" si="2"/>
        <v>5.085749735584888E-2</v>
      </c>
      <c r="D37" s="38"/>
      <c r="E37" s="8">
        <v>1337.4546</v>
      </c>
      <c r="F37" s="53">
        <f t="shared" si="3"/>
        <v>6.9967189492381676E-2</v>
      </c>
      <c r="G37" s="38"/>
      <c r="H37" s="70">
        <v>8.335276440155321E-3</v>
      </c>
      <c r="I37" s="72"/>
      <c r="J37" s="53">
        <v>-1.0889829818511399E-3</v>
      </c>
      <c r="K37" s="38"/>
      <c r="L37" s="38"/>
      <c r="M37" s="38"/>
      <c r="N37" s="38"/>
      <c r="O37" s="38"/>
      <c r="P37" s="38"/>
      <c r="Q37" s="38"/>
      <c r="R37" s="38"/>
      <c r="S37" s="38"/>
    </row>
    <row r="38" spans="1:19" x14ac:dyDescent="0.25">
      <c r="A38" s="67">
        <v>41516</v>
      </c>
      <c r="B38" s="8">
        <v>4146.8806000000004</v>
      </c>
      <c r="C38" s="53">
        <f t="shared" si="2"/>
        <v>-2.891429468777873E-2</v>
      </c>
      <c r="D38" s="38"/>
      <c r="E38" s="8">
        <v>1294.9911</v>
      </c>
      <c r="F38" s="53">
        <f t="shared" si="3"/>
        <v>-3.1749488917231283E-2</v>
      </c>
      <c r="G38" s="38"/>
      <c r="H38" s="70">
        <v>-7.0248915924748098E-3</v>
      </c>
      <c r="I38" s="72"/>
      <c r="J38" s="53">
        <v>-4.8608274940603602E-3</v>
      </c>
      <c r="K38" s="38"/>
      <c r="L38" s="38"/>
      <c r="M38" s="38"/>
      <c r="N38" s="38"/>
      <c r="O38" s="38"/>
      <c r="P38" s="38"/>
      <c r="Q38" s="38"/>
      <c r="R38" s="38"/>
      <c r="S38" s="38"/>
    </row>
    <row r="39" spans="1:19" x14ac:dyDescent="0.25">
      <c r="A39" s="67">
        <v>41547</v>
      </c>
      <c r="B39" s="8">
        <v>4276.9353000000001</v>
      </c>
      <c r="C39" s="53">
        <f t="shared" si="2"/>
        <v>3.1362055613561646E-2</v>
      </c>
      <c r="D39" s="38"/>
      <c r="E39" s="8">
        <v>1377.5622000000001</v>
      </c>
      <c r="F39" s="53">
        <f t="shared" si="3"/>
        <v>6.3761905390701257E-2</v>
      </c>
      <c r="G39" s="38"/>
      <c r="H39" s="70">
        <v>6.9470496064188304E-3</v>
      </c>
      <c r="I39" s="72"/>
      <c r="J39" s="53">
        <v>6.9944907469097093E-3</v>
      </c>
      <c r="K39" s="38"/>
      <c r="L39" s="38"/>
      <c r="M39" s="38"/>
      <c r="N39" s="38"/>
      <c r="O39" s="38"/>
      <c r="P39" s="38"/>
      <c r="Q39" s="38"/>
      <c r="R39" s="38"/>
      <c r="S39" s="38"/>
    </row>
    <row r="40" spans="1:19" x14ac:dyDescent="0.25">
      <c r="A40" s="67">
        <v>41578</v>
      </c>
      <c r="B40" s="8">
        <v>4473.3233</v>
      </c>
      <c r="C40" s="53">
        <f t="shared" si="2"/>
        <v>4.5917926324487546E-2</v>
      </c>
      <c r="D40" s="38"/>
      <c r="E40" s="8">
        <v>1412.1949</v>
      </c>
      <c r="F40" s="53">
        <f t="shared" si="3"/>
        <v>2.5140570785115779E-2</v>
      </c>
      <c r="G40" s="38"/>
      <c r="H40" s="70">
        <v>1.47866381776082E-2</v>
      </c>
      <c r="I40" s="72"/>
      <c r="J40" s="53">
        <v>4.8262564122797599E-3</v>
      </c>
      <c r="K40" s="38"/>
      <c r="L40" s="38"/>
      <c r="M40" s="38"/>
      <c r="N40" s="38"/>
      <c r="O40" s="38"/>
      <c r="P40" s="38"/>
      <c r="Q40" s="38"/>
      <c r="R40" s="38"/>
      <c r="S40" s="38"/>
    </row>
    <row r="41" spans="1:19" x14ac:dyDescent="0.25">
      <c r="A41" s="67">
        <v>41607</v>
      </c>
      <c r="B41" s="8">
        <v>4609.4596000000001</v>
      </c>
      <c r="C41" s="53">
        <f t="shared" si="2"/>
        <v>3.0432922207970003E-2</v>
      </c>
      <c r="D41" s="38"/>
      <c r="E41" s="8">
        <v>1468.7372</v>
      </c>
      <c r="F41" s="53">
        <f t="shared" si="3"/>
        <v>4.0038595239226593E-2</v>
      </c>
      <c r="G41" s="38"/>
      <c r="H41" s="70">
        <v>-1.98379769606319E-3</v>
      </c>
      <c r="I41" s="72"/>
      <c r="J41" s="53">
        <v>-3.2726830834678001E-3</v>
      </c>
      <c r="K41" s="38"/>
      <c r="L41" s="38"/>
      <c r="M41" s="38"/>
      <c r="N41" s="38"/>
      <c r="O41" s="38"/>
      <c r="P41" s="38"/>
      <c r="Q41" s="38"/>
      <c r="R41" s="38"/>
      <c r="S41" s="38"/>
    </row>
    <row r="42" spans="1:19" x14ac:dyDescent="0.25">
      <c r="A42" s="67">
        <v>41639</v>
      </c>
      <c r="B42" s="8">
        <v>4725.6570000000002</v>
      </c>
      <c r="C42" s="53">
        <f t="shared" si="2"/>
        <v>2.5208464784028051E-2</v>
      </c>
      <c r="D42" s="38"/>
      <c r="E42" s="8">
        <v>1497.6494</v>
      </c>
      <c r="F42" s="53">
        <f t="shared" si="3"/>
        <v>1.9685073680982601E-2</v>
      </c>
      <c r="G42" s="38"/>
      <c r="H42" s="70">
        <v>-1.63319187324866E-3</v>
      </c>
      <c r="I42" s="72"/>
      <c r="J42" s="53">
        <v>-9.0714948192517995E-3</v>
      </c>
      <c r="K42" s="38"/>
      <c r="L42" s="38"/>
      <c r="M42" s="38"/>
      <c r="N42" s="38"/>
      <c r="O42" s="38"/>
      <c r="P42" s="38"/>
      <c r="Q42" s="38"/>
      <c r="R42" s="38"/>
      <c r="S42" s="38"/>
    </row>
    <row r="43" spans="1:19" x14ac:dyDescent="0.25">
      <c r="A43" s="67">
        <v>41670</v>
      </c>
      <c r="B43" s="8">
        <v>4562.3813</v>
      </c>
      <c r="C43" s="53">
        <f t="shared" si="2"/>
        <v>-3.4550899483394626E-2</v>
      </c>
      <c r="D43" s="38"/>
      <c r="E43" s="8">
        <v>1456.2070000000001</v>
      </c>
      <c r="F43" s="53">
        <f t="shared" si="3"/>
        <v>-2.7671629955582366E-2</v>
      </c>
      <c r="G43" s="38"/>
      <c r="H43" s="70">
        <v>1.8124262477127298E-2</v>
      </c>
      <c r="I43" s="72"/>
      <c r="J43" s="53">
        <v>1.3568818027513901E-2</v>
      </c>
      <c r="K43" s="38"/>
      <c r="L43" s="38"/>
      <c r="M43" s="38"/>
      <c r="N43" s="38"/>
      <c r="O43" s="38"/>
      <c r="P43" s="38"/>
      <c r="Q43" s="38"/>
      <c r="R43" s="38"/>
      <c r="S43" s="38"/>
    </row>
    <row r="44" spans="1:19" x14ac:dyDescent="0.25">
      <c r="A44" s="67">
        <v>41698</v>
      </c>
      <c r="B44" s="8">
        <v>4770.7098999999998</v>
      </c>
      <c r="C44" s="53">
        <f t="shared" si="2"/>
        <v>4.5662250982836383E-2</v>
      </c>
      <c r="D44" s="38"/>
      <c r="E44" s="8">
        <v>1524.7698</v>
      </c>
      <c r="F44" s="53">
        <f t="shared" si="3"/>
        <v>4.7083141339109069E-2</v>
      </c>
      <c r="G44" s="38"/>
      <c r="H44" s="70">
        <v>1.0398839999999999E-2</v>
      </c>
      <c r="I44" s="72"/>
      <c r="J44" s="53">
        <v>2.7192100000000001E-3</v>
      </c>
      <c r="K44" s="38"/>
      <c r="L44" s="38"/>
      <c r="M44" s="38"/>
      <c r="N44" s="38"/>
      <c r="O44" s="38"/>
      <c r="P44" s="38"/>
      <c r="Q44" s="38"/>
      <c r="R44" s="38"/>
      <c r="S44" s="38"/>
    </row>
    <row r="45" spans="1:19" x14ac:dyDescent="0.25">
      <c r="A45" s="67">
        <v>41729</v>
      </c>
      <c r="B45" s="8">
        <v>4810.7897999999996</v>
      </c>
      <c r="C45" s="53">
        <f t="shared" si="2"/>
        <v>8.4012444353407378E-3</v>
      </c>
      <c r="D45" s="38"/>
      <c r="E45" s="8">
        <v>1514.4001000000001</v>
      </c>
      <c r="F45" s="53">
        <f t="shared" si="3"/>
        <v>-6.8008298695317881E-3</v>
      </c>
      <c r="G45" s="38"/>
      <c r="H45" s="70">
        <v>6.6415000000000007E-4</v>
      </c>
      <c r="I45" s="72"/>
      <c r="J45" s="53">
        <v>-2.8543700000000002E-3</v>
      </c>
      <c r="K45" s="38"/>
      <c r="L45" s="38"/>
      <c r="M45" s="38"/>
      <c r="N45" s="38"/>
      <c r="O45" s="38"/>
      <c r="P45" s="38"/>
      <c r="Q45" s="38"/>
      <c r="R45" s="38"/>
      <c r="S45" s="38"/>
    </row>
    <row r="46" spans="1:19" x14ac:dyDescent="0.25">
      <c r="A46" s="67">
        <v>41759</v>
      </c>
      <c r="B46" s="8">
        <v>4846.2781000000004</v>
      </c>
      <c r="C46" s="53">
        <f t="shared" si="2"/>
        <v>7.3768136782863536E-3</v>
      </c>
      <c r="D46" s="38"/>
      <c r="E46" s="8">
        <v>1455.6792</v>
      </c>
      <c r="F46" s="53">
        <f t="shared" si="3"/>
        <v>-3.8775023852679391E-2</v>
      </c>
      <c r="G46" s="38"/>
      <c r="H46" s="70">
        <v>1.197876E-2</v>
      </c>
      <c r="I46" s="72"/>
      <c r="J46" s="53">
        <v>5.5166899999999994E-3</v>
      </c>
      <c r="K46" s="38"/>
      <c r="L46" s="38"/>
      <c r="M46" s="38"/>
      <c r="N46" s="38"/>
      <c r="O46" s="38"/>
      <c r="P46" s="38"/>
      <c r="Q46" s="38"/>
      <c r="R46" s="38"/>
      <c r="S46" s="38"/>
    </row>
    <row r="47" spans="1:19" x14ac:dyDescent="0.25">
      <c r="A47" s="67">
        <v>41789</v>
      </c>
      <c r="B47" s="8">
        <v>4959.7613000000001</v>
      </c>
      <c r="C47" s="53">
        <f t="shared" si="2"/>
        <v>2.3416567860601978E-2</v>
      </c>
      <c r="D47" s="38"/>
      <c r="E47" s="8">
        <v>1467.3185000000001</v>
      </c>
      <c r="F47" s="53">
        <f t="shared" si="3"/>
        <v>7.9957864342639073E-3</v>
      </c>
      <c r="G47" s="38"/>
      <c r="H47" s="70">
        <v>1.367086E-2</v>
      </c>
      <c r="I47" s="72"/>
      <c r="J47" s="53">
        <v>9.4210700000000001E-3</v>
      </c>
      <c r="K47" s="38"/>
      <c r="L47" s="38"/>
      <c r="M47" s="38"/>
      <c r="N47" s="38"/>
      <c r="O47" s="38"/>
      <c r="P47" s="38"/>
      <c r="Q47" s="38"/>
      <c r="R47" s="38"/>
      <c r="S47" s="38"/>
    </row>
    <row r="48" spans="1:19" x14ac:dyDescent="0.25">
      <c r="A48" s="67">
        <v>41820</v>
      </c>
      <c r="B48" s="8">
        <v>5062.1459000000004</v>
      </c>
      <c r="C48" s="53">
        <f t="shared" si="2"/>
        <v>2.0643049898389387E-2</v>
      </c>
      <c r="D48" s="38"/>
      <c r="E48" s="8">
        <v>1545.3420000000001</v>
      </c>
      <c r="F48" s="53">
        <f t="shared" si="3"/>
        <v>5.3174208598882888E-2</v>
      </c>
      <c r="G48" s="38"/>
      <c r="H48" s="70">
        <v>7.7846000000000002E-4</v>
      </c>
      <c r="I48" s="72"/>
      <c r="J48" s="53">
        <v>-1.42413E-3</v>
      </c>
      <c r="K48" s="38"/>
      <c r="L48" s="38"/>
      <c r="M48" s="38"/>
      <c r="N48" s="38"/>
      <c r="O48" s="38"/>
      <c r="P48" s="38"/>
      <c r="Q48" s="38"/>
      <c r="R48" s="38"/>
      <c r="S48" s="38"/>
    </row>
    <row r="49" spans="1:19" x14ac:dyDescent="0.25">
      <c r="A49" s="67">
        <v>41851</v>
      </c>
      <c r="B49" s="8">
        <v>4992.4507999999996</v>
      </c>
      <c r="C49" s="53">
        <f t="shared" si="2"/>
        <v>-1.3767896338191421E-2</v>
      </c>
      <c r="D49" s="38"/>
      <c r="E49" s="8">
        <v>1451.8362999999999</v>
      </c>
      <c r="F49" s="53">
        <f t="shared" si="3"/>
        <v>-6.0508094648304533E-2</v>
      </c>
      <c r="G49" s="38"/>
      <c r="H49" s="70">
        <v>-5.5816999999999998E-4</v>
      </c>
      <c r="I49" s="72"/>
      <c r="J49" s="53">
        <v>-1.6292300000000002E-3</v>
      </c>
      <c r="K49" s="38"/>
      <c r="L49" s="38"/>
      <c r="M49" s="38"/>
      <c r="N49" s="38"/>
      <c r="O49" s="38"/>
      <c r="P49" s="38"/>
      <c r="Q49" s="38"/>
      <c r="R49" s="38"/>
      <c r="S49" s="38"/>
    </row>
    <row r="50" spans="1:19" x14ac:dyDescent="0.25">
      <c r="A50" s="67">
        <v>41880</v>
      </c>
      <c r="B50" s="8">
        <v>5191.8648999999996</v>
      </c>
      <c r="C50" s="53">
        <f t="shared" si="2"/>
        <v>3.9943127731974837E-2</v>
      </c>
      <c r="D50" s="38"/>
      <c r="E50" s="8">
        <v>1523.7900999999999</v>
      </c>
      <c r="F50" s="53">
        <f t="shared" si="3"/>
        <v>4.9560546185544396E-2</v>
      </c>
      <c r="G50" s="38"/>
      <c r="H50" s="70">
        <v>1.4423689999999999E-2</v>
      </c>
      <c r="I50" s="72"/>
      <c r="J50" s="53">
        <v>1.054712E-2</v>
      </c>
      <c r="K50" s="38"/>
      <c r="L50" s="38"/>
      <c r="M50" s="38"/>
      <c r="N50" s="38"/>
      <c r="O50" s="38"/>
      <c r="P50" s="38"/>
      <c r="Q50" s="38"/>
      <c r="R50" s="38"/>
      <c r="S50" s="38"/>
    </row>
    <row r="51" spans="1:19" x14ac:dyDescent="0.25">
      <c r="A51" s="67">
        <v>41912</v>
      </c>
      <c r="B51" s="8">
        <v>5119.1532999999999</v>
      </c>
      <c r="C51" s="53">
        <f t="shared" si="2"/>
        <v>-1.4004909873521432E-2</v>
      </c>
      <c r="D51" s="38"/>
      <c r="E51" s="8">
        <v>1431.6867</v>
      </c>
      <c r="F51" s="53">
        <f t="shared" si="3"/>
        <v>-6.044362671735426E-2</v>
      </c>
      <c r="G51" s="38"/>
      <c r="H51" s="70">
        <v>-1.4424699999999999E-2</v>
      </c>
      <c r="I51" s="72"/>
      <c r="J51" s="53">
        <v>-5.4708599999999993E-3</v>
      </c>
      <c r="K51" s="38"/>
      <c r="L51" s="38"/>
      <c r="M51" s="38"/>
      <c r="N51" s="38"/>
      <c r="O51" s="38"/>
      <c r="P51" s="38"/>
      <c r="Q51" s="38"/>
      <c r="R51" s="38"/>
      <c r="S51" s="38"/>
    </row>
    <row r="52" spans="1:19" x14ac:dyDescent="0.25">
      <c r="A52" s="67">
        <v>41943</v>
      </c>
      <c r="B52" s="8">
        <v>5243.9317000000001</v>
      </c>
      <c r="C52" s="53">
        <f t="shared" si="2"/>
        <v>2.4374812139343449E-2</v>
      </c>
      <c r="D52" s="38"/>
      <c r="E52" s="8">
        <v>1525.9966999999999</v>
      </c>
      <c r="F52" s="53">
        <f t="shared" si="3"/>
        <v>6.5873350642986273E-2</v>
      </c>
      <c r="G52" s="38"/>
      <c r="H52" s="70">
        <v>1.0237389999999999E-2</v>
      </c>
      <c r="I52" s="72"/>
      <c r="J52" s="53">
        <v>9.7379099999999989E-3</v>
      </c>
      <c r="K52" s="38"/>
      <c r="L52" s="38"/>
      <c r="M52" s="38"/>
      <c r="N52" s="38"/>
      <c r="O52" s="38"/>
      <c r="P52" s="38"/>
      <c r="Q52" s="38"/>
      <c r="R52" s="38"/>
      <c r="S52" s="38"/>
    </row>
    <row r="53" spans="1:19" x14ac:dyDescent="0.25">
      <c r="A53" s="67">
        <v>41971</v>
      </c>
      <c r="B53" s="8">
        <v>5384.7443000000003</v>
      </c>
      <c r="C53" s="53">
        <f t="shared" si="2"/>
        <v>2.6852485511968061E-2</v>
      </c>
      <c r="D53" s="38"/>
      <c r="E53" s="8">
        <v>1527.3807999999999</v>
      </c>
      <c r="F53" s="53">
        <f t="shared" si="3"/>
        <v>9.0701375697599396E-4</v>
      </c>
      <c r="G53" s="38"/>
      <c r="H53" s="70">
        <v>6.7365400000000001E-3</v>
      </c>
      <c r="I53" s="72"/>
      <c r="J53" s="53">
        <v>8.0684099999999998E-3</v>
      </c>
      <c r="K53" s="38"/>
      <c r="L53" s="38"/>
      <c r="M53" s="38"/>
      <c r="N53" s="38"/>
      <c r="O53" s="38"/>
      <c r="P53" s="38"/>
      <c r="Q53" s="38"/>
      <c r="R53" s="38"/>
      <c r="S53" s="38"/>
    </row>
    <row r="54" spans="1:19" x14ac:dyDescent="0.25">
      <c r="A54" s="67">
        <v>42004</v>
      </c>
      <c r="B54" s="8">
        <v>5370.8888999999999</v>
      </c>
      <c r="C54" s="53">
        <f t="shared" si="2"/>
        <v>-2.5730841109763425E-3</v>
      </c>
      <c r="D54" s="38"/>
      <c r="E54" s="8">
        <v>1570.8797</v>
      </c>
      <c r="F54" s="53">
        <f t="shared" si="3"/>
        <v>2.8479407361936326E-2</v>
      </c>
      <c r="G54" s="38"/>
      <c r="H54" s="70">
        <v>6.0846000000000001E-4</v>
      </c>
      <c r="I54" s="72"/>
      <c r="J54" s="53">
        <v>1.42354E-3</v>
      </c>
      <c r="K54" s="38"/>
      <c r="L54" s="38"/>
      <c r="M54" s="38"/>
      <c r="N54" s="38"/>
      <c r="O54" s="38"/>
      <c r="P54" s="38"/>
      <c r="Q54" s="38"/>
      <c r="R54" s="38"/>
      <c r="S54" s="38"/>
    </row>
    <row r="55" spans="1:19" x14ac:dyDescent="0.25">
      <c r="A55" s="67">
        <v>42034</v>
      </c>
      <c r="B55" s="8">
        <v>5209.7503999999999</v>
      </c>
      <c r="C55" s="53">
        <f t="shared" si="2"/>
        <v>-3.0002203173482123E-2</v>
      </c>
      <c r="D55" s="38"/>
      <c r="E55" s="8">
        <v>1520.3685</v>
      </c>
      <c r="F55" s="53">
        <f t="shared" si="3"/>
        <v>-3.2154721968843281E-2</v>
      </c>
      <c r="G55" s="38"/>
      <c r="H55" s="70">
        <v>3.0337529999999998E-2</v>
      </c>
      <c r="I55" s="72"/>
      <c r="J55" s="53">
        <v>2.5865119999999998E-2</v>
      </c>
      <c r="K55" s="38"/>
      <c r="L55" s="38"/>
      <c r="M55" s="38"/>
      <c r="N55" s="38"/>
      <c r="O55" s="38"/>
      <c r="P55" s="38"/>
      <c r="Q55" s="38"/>
      <c r="R55" s="38"/>
      <c r="S55" s="38"/>
    </row>
    <row r="56" spans="1:19" x14ac:dyDescent="0.25">
      <c r="A56" s="67">
        <v>42062</v>
      </c>
      <c r="B56" s="8">
        <v>5508.9750999999997</v>
      </c>
      <c r="C56" s="53">
        <f t="shared" si="2"/>
        <v>5.7435515528728498E-2</v>
      </c>
      <c r="D56" s="38"/>
      <c r="E56" s="8">
        <v>1610.6072999999999</v>
      </c>
      <c r="F56" s="53">
        <f t="shared" si="3"/>
        <v>5.9353242322502719E-2</v>
      </c>
      <c r="G56" s="38"/>
      <c r="H56" s="70">
        <v>-1.013291E-2</v>
      </c>
      <c r="I56" s="72"/>
      <c r="J56" s="53">
        <v>-1.5443439999999999E-2</v>
      </c>
      <c r="K56" s="38"/>
      <c r="L56" s="38"/>
      <c r="M56" s="38"/>
      <c r="N56" s="38"/>
      <c r="O56" s="38"/>
      <c r="P56" s="38"/>
      <c r="Q56" s="38"/>
      <c r="R56" s="38"/>
      <c r="S56" s="38"/>
    </row>
    <row r="57" spans="1:19" x14ac:dyDescent="0.25">
      <c r="A57" s="67">
        <v>42094</v>
      </c>
      <c r="B57" s="8">
        <v>5421.8865999999998</v>
      </c>
      <c r="C57" s="53">
        <f t="shared" si="2"/>
        <v>-1.5808475881475603E-2</v>
      </c>
      <c r="D57" s="38"/>
      <c r="E57" s="8">
        <v>1638.6276</v>
      </c>
      <c r="F57" s="53">
        <f t="shared" si="3"/>
        <v>1.7397350676356726E-2</v>
      </c>
      <c r="G57" s="38"/>
      <c r="H57" s="70">
        <v>3.1904199999999998E-3</v>
      </c>
      <c r="I57" s="72"/>
      <c r="J57" s="53">
        <v>6.3069699999999994E-3</v>
      </c>
      <c r="K57" s="38"/>
      <c r="L57" s="38"/>
      <c r="M57" s="38"/>
      <c r="N57" s="38"/>
      <c r="O57" s="38"/>
      <c r="P57" s="38"/>
      <c r="Q57" s="38"/>
      <c r="R57" s="38"/>
      <c r="S57" s="38"/>
    </row>
    <row r="58" spans="1:19" x14ac:dyDescent="0.25">
      <c r="A58" s="67">
        <v>42124</v>
      </c>
      <c r="B58" s="8">
        <v>5473.8917000000001</v>
      </c>
      <c r="C58" s="53">
        <f t="shared" si="2"/>
        <v>9.5916982107298043E-3</v>
      </c>
      <c r="D58" s="38"/>
      <c r="E58" s="8">
        <v>1596.8662999999999</v>
      </c>
      <c r="F58" s="53">
        <f t="shared" si="3"/>
        <v>-2.548553435814227E-2</v>
      </c>
      <c r="G58" s="38"/>
      <c r="H58" s="70">
        <v>-7.0022300000000008E-3</v>
      </c>
      <c r="I58" s="72"/>
      <c r="J58" s="53">
        <v>-5.2599600000000002E-3</v>
      </c>
      <c r="K58" s="38"/>
      <c r="L58" s="38"/>
      <c r="M58" s="38"/>
      <c r="N58" s="38"/>
      <c r="O58" s="38"/>
      <c r="P58" s="38"/>
      <c r="Q58" s="38"/>
      <c r="R58" s="38"/>
      <c r="S58" s="38"/>
    </row>
    <row r="59" spans="1:19" x14ac:dyDescent="0.25">
      <c r="A59" s="67">
        <v>42153</v>
      </c>
      <c r="B59" s="8">
        <v>5544.2776999999996</v>
      </c>
      <c r="C59" s="53">
        <f t="shared" si="2"/>
        <v>1.2858493345785371E-2</v>
      </c>
      <c r="D59" s="38"/>
      <c r="E59" s="8">
        <v>1633.3155999999999</v>
      </c>
      <c r="F59" s="53">
        <f t="shared" si="3"/>
        <v>2.2825517703016107E-2</v>
      </c>
      <c r="G59" s="38"/>
      <c r="H59" s="70">
        <v>-6.52756E-3</v>
      </c>
      <c r="I59" s="72"/>
      <c r="J59" s="53">
        <v>-1.80258E-3</v>
      </c>
      <c r="K59" s="38"/>
      <c r="L59" s="38"/>
      <c r="M59" s="38"/>
      <c r="N59" s="38"/>
      <c r="O59" s="38"/>
      <c r="P59" s="38"/>
      <c r="Q59" s="38"/>
      <c r="R59" s="38"/>
      <c r="S59" s="38"/>
    </row>
    <row r="60" spans="1:19" x14ac:dyDescent="0.25">
      <c r="A60" s="67">
        <v>42185</v>
      </c>
      <c r="B60" s="8">
        <v>5437.1106</v>
      </c>
      <c r="C60" s="53">
        <f t="shared" si="2"/>
        <v>-1.9329316783681216E-2</v>
      </c>
      <c r="D60" s="38"/>
      <c r="E60" s="8">
        <v>1645.5786000000001</v>
      </c>
      <c r="F60" s="53">
        <f t="shared" si="3"/>
        <v>7.5080406995440274E-3</v>
      </c>
      <c r="G60" s="38"/>
      <c r="H60" s="70">
        <v>-1.837896E-2</v>
      </c>
      <c r="I60" s="72"/>
      <c r="J60" s="53">
        <v>-8.8263000000000005E-3</v>
      </c>
      <c r="K60" s="38"/>
      <c r="L60" s="38"/>
      <c r="M60" s="38"/>
      <c r="N60" s="38"/>
      <c r="O60" s="38"/>
      <c r="P60" s="38"/>
      <c r="Q60" s="38"/>
      <c r="R60" s="38"/>
      <c r="S60" s="38"/>
    </row>
    <row r="61" spans="1:19" x14ac:dyDescent="0.25">
      <c r="A61" s="67">
        <v>42216</v>
      </c>
      <c r="B61" s="8">
        <v>5550.9804999999997</v>
      </c>
      <c r="C61" s="53">
        <f t="shared" si="2"/>
        <v>2.094309061875621E-2</v>
      </c>
      <c r="D61" s="38"/>
      <c r="E61" s="8">
        <v>1626.4646</v>
      </c>
      <c r="F61" s="53">
        <f t="shared" si="3"/>
        <v>-1.1615367385064412E-2</v>
      </c>
      <c r="G61" s="38"/>
      <c r="H61" s="70">
        <v>6.7492100000000003E-3</v>
      </c>
      <c r="I61" s="72"/>
      <c r="J61" s="53">
        <v>8.3377099999999999E-3</v>
      </c>
      <c r="K61" s="38"/>
      <c r="L61" s="38"/>
      <c r="M61" s="38"/>
      <c r="N61" s="38"/>
      <c r="O61" s="38"/>
      <c r="P61" s="38"/>
      <c r="Q61" s="38"/>
      <c r="R61" s="38"/>
      <c r="S61" s="38"/>
    </row>
    <row r="62" spans="1:19" x14ac:dyDescent="0.25">
      <c r="A62" s="67">
        <v>42247</v>
      </c>
      <c r="B62" s="8">
        <v>5216.5784000000003</v>
      </c>
      <c r="C62" s="53">
        <f t="shared" si="2"/>
        <v>-6.0241987879438463E-2</v>
      </c>
      <c r="D62" s="38"/>
      <c r="E62" s="8">
        <v>1524.3067000000001</v>
      </c>
      <c r="F62" s="53">
        <f t="shared" si="3"/>
        <v>-6.2809790019407674E-2</v>
      </c>
      <c r="G62" s="38"/>
      <c r="H62" s="70">
        <v>-5.9183600000000001E-3</v>
      </c>
      <c r="I62" s="72"/>
      <c r="J62" s="53">
        <v>4.3669999999999999E-4</v>
      </c>
      <c r="K62" s="38"/>
      <c r="L62" s="38"/>
      <c r="M62" s="38"/>
      <c r="N62" s="38"/>
      <c r="O62" s="38"/>
      <c r="P62" s="38"/>
      <c r="Q62" s="38"/>
      <c r="R62" s="38"/>
      <c r="S62" s="38"/>
    </row>
    <row r="63" spans="1:19" x14ac:dyDescent="0.25">
      <c r="A63" s="67">
        <v>42277</v>
      </c>
      <c r="B63" s="8">
        <v>5087.6106</v>
      </c>
      <c r="C63" s="53">
        <f t="shared" si="2"/>
        <v>-2.472268029174074E-2</v>
      </c>
      <c r="D63" s="38"/>
      <c r="E63" s="8">
        <v>1449.5772999999999</v>
      </c>
      <c r="F63" s="53">
        <f t="shared" si="3"/>
        <v>-4.9025173214813145E-2</v>
      </c>
      <c r="G63" s="38"/>
      <c r="H63" s="70">
        <v>7.4533999999999998E-3</v>
      </c>
      <c r="I63" s="72"/>
      <c r="J63" s="53">
        <v>8.7779199999999998E-3</v>
      </c>
      <c r="K63" s="38"/>
      <c r="L63" s="38"/>
      <c r="M63" s="38"/>
      <c r="N63" s="38"/>
      <c r="O63" s="38"/>
      <c r="P63" s="38"/>
      <c r="Q63" s="38"/>
      <c r="R63" s="38"/>
      <c r="S63" s="38"/>
    </row>
    <row r="64" spans="1:19" x14ac:dyDescent="0.25">
      <c r="A64" s="67">
        <v>42307</v>
      </c>
      <c r="B64" s="8">
        <v>5516.5306</v>
      </c>
      <c r="C64" s="53">
        <f t="shared" si="2"/>
        <v>8.4306766716776727E-2</v>
      </c>
      <c r="D64" s="38"/>
      <c r="E64" s="8">
        <v>1531.2334000000001</v>
      </c>
      <c r="F64" s="53">
        <f t="shared" si="3"/>
        <v>5.6330973174042009E-2</v>
      </c>
      <c r="G64" s="38"/>
      <c r="H64" s="70">
        <v>4.1808599999999998E-3</v>
      </c>
      <c r="I64" s="72"/>
      <c r="J64" s="53">
        <v>-3.6627399999999998E-3</v>
      </c>
      <c r="K64" s="38"/>
      <c r="L64" s="38"/>
      <c r="M64" s="38"/>
      <c r="N64" s="38"/>
      <c r="O64" s="38"/>
      <c r="P64" s="38"/>
      <c r="Q64" s="38"/>
      <c r="R64" s="38"/>
      <c r="S64" s="38"/>
    </row>
    <row r="65" spans="1:19" x14ac:dyDescent="0.25">
      <c r="A65" s="67">
        <v>42338</v>
      </c>
      <c r="B65" s="8">
        <v>5532.9322000000002</v>
      </c>
      <c r="C65" s="53">
        <f t="shared" si="2"/>
        <v>2.9731730301649772E-3</v>
      </c>
      <c r="D65" s="38"/>
      <c r="E65" s="8">
        <v>1581.0127</v>
      </c>
      <c r="F65" s="53">
        <f t="shared" si="3"/>
        <v>3.2509283039411141E-2</v>
      </c>
      <c r="G65" s="38"/>
      <c r="H65" s="70">
        <v>-2.1880099999999998E-3</v>
      </c>
      <c r="I65" s="72"/>
      <c r="J65" s="53">
        <v>-4.09101E-3</v>
      </c>
      <c r="K65" s="38"/>
      <c r="L65" s="38"/>
      <c r="M65" s="38"/>
      <c r="N65" s="38"/>
      <c r="O65" s="38"/>
      <c r="P65" s="38"/>
      <c r="Q65" s="38"/>
      <c r="R65" s="38"/>
      <c r="S65" s="38"/>
    </row>
    <row r="66" spans="1:19" ht="16.5" thickBot="1" x14ac:dyDescent="0.3">
      <c r="A66" s="67">
        <v>42369</v>
      </c>
      <c r="B66" s="21">
        <v>5445.2114000000001</v>
      </c>
      <c r="C66" s="54">
        <f t="shared" si="2"/>
        <v>-1.5854305968180826E-2</v>
      </c>
      <c r="D66" s="38"/>
      <c r="E66" s="21">
        <v>1501.6605</v>
      </c>
      <c r="F66" s="54">
        <f t="shared" si="3"/>
        <v>-5.0190741668299066E-2</v>
      </c>
      <c r="G66" s="38"/>
      <c r="H66" s="73">
        <v>-7.7965999999999999E-3</v>
      </c>
      <c r="I66" s="74"/>
      <c r="J66" s="54">
        <v>-1.6377500000000001E-3</v>
      </c>
      <c r="K66" s="38"/>
      <c r="L66" s="38"/>
      <c r="M66" s="38"/>
      <c r="N66" s="38"/>
      <c r="O66" s="38"/>
      <c r="P66" s="38"/>
      <c r="Q66" s="38"/>
      <c r="R66" s="38"/>
      <c r="S66" s="38"/>
    </row>
    <row r="67" spans="1:19" x14ac:dyDescent="0.25">
      <c r="A67" s="50"/>
      <c r="H67" s="51"/>
      <c r="J67" s="51"/>
      <c r="K67" s="38"/>
      <c r="L67" s="38"/>
      <c r="M67" s="38"/>
      <c r="N67" s="38"/>
      <c r="O67" s="38"/>
      <c r="P67" s="38"/>
      <c r="Q67" s="38"/>
      <c r="R67" s="38"/>
      <c r="S67" s="38"/>
    </row>
    <row r="68" spans="1:19" x14ac:dyDescent="0.25">
      <c r="A68" s="50"/>
      <c r="H68" s="51"/>
      <c r="J68" s="51"/>
      <c r="K68" s="38"/>
      <c r="L68" s="38"/>
      <c r="M68" s="38"/>
      <c r="N68" s="38"/>
      <c r="O68" s="38"/>
      <c r="P68" s="38"/>
      <c r="Q68" s="38"/>
      <c r="R68" s="38"/>
      <c r="S68" s="38"/>
    </row>
    <row r="69" spans="1:19" x14ac:dyDescent="0.25">
      <c r="A69" s="50"/>
      <c r="H69" s="51"/>
      <c r="J69" s="51"/>
      <c r="K69" s="38"/>
      <c r="L69" s="38"/>
      <c r="M69" s="38"/>
      <c r="N69" s="38"/>
      <c r="O69" s="38"/>
      <c r="P69" s="38"/>
      <c r="Q69" s="38"/>
      <c r="R69" s="38"/>
      <c r="S69" s="38"/>
    </row>
    <row r="70" spans="1:19" x14ac:dyDescent="0.25">
      <c r="A70" s="50"/>
      <c r="H70" s="51"/>
      <c r="J70" s="51"/>
      <c r="K70" s="38"/>
      <c r="L70" s="38"/>
      <c r="M70" s="38"/>
      <c r="N70" s="38"/>
      <c r="O70" s="38"/>
      <c r="P70" s="38"/>
      <c r="Q70" s="38"/>
      <c r="R70" s="38"/>
      <c r="S70" s="38"/>
    </row>
    <row r="71" spans="1:19" x14ac:dyDescent="0.25">
      <c r="K71" s="38"/>
      <c r="L71" s="38"/>
      <c r="M71" s="38"/>
      <c r="N71" s="38"/>
      <c r="O71" s="38"/>
      <c r="P71" s="38"/>
      <c r="Q71" s="38"/>
      <c r="R71" s="38"/>
      <c r="S71" s="38"/>
    </row>
    <row r="72" spans="1:19" x14ac:dyDescent="0.25">
      <c r="K72" s="38"/>
      <c r="L72" s="38"/>
      <c r="M72" s="38"/>
      <c r="N72" s="38"/>
      <c r="O72" s="38"/>
      <c r="P72" s="38"/>
      <c r="Q72" s="38"/>
      <c r="R72" s="38"/>
      <c r="S72" s="38"/>
    </row>
    <row r="73" spans="1:19" x14ac:dyDescent="0.25">
      <c r="K73" s="38"/>
      <c r="L73" s="38"/>
      <c r="M73" s="38"/>
      <c r="N73" s="38"/>
      <c r="O73" s="38"/>
      <c r="P73" s="38"/>
      <c r="Q73" s="38"/>
      <c r="R73" s="38"/>
      <c r="S73" s="38"/>
    </row>
    <row r="74" spans="1:19" x14ac:dyDescent="0.25">
      <c r="K74" s="38"/>
      <c r="L74" s="38"/>
      <c r="M74" s="38"/>
      <c r="N74" s="38"/>
      <c r="O74" s="38"/>
      <c r="P74" s="38"/>
      <c r="Q74" s="38"/>
      <c r="R74" s="38"/>
      <c r="S74" s="38"/>
    </row>
    <row r="75" spans="1:19" x14ac:dyDescent="0.25">
      <c r="K75" s="38"/>
      <c r="L75" s="38"/>
      <c r="M75" s="38"/>
      <c r="N75" s="38"/>
      <c r="O75" s="38"/>
      <c r="P75" s="38"/>
      <c r="Q75" s="38"/>
      <c r="R75" s="38"/>
      <c r="S75" s="38"/>
    </row>
    <row r="76" spans="1:19" x14ac:dyDescent="0.25">
      <c r="K76" s="38"/>
      <c r="L76" s="38"/>
      <c r="M76" s="38"/>
      <c r="N76" s="38"/>
      <c r="O76" s="38"/>
      <c r="P76" s="38"/>
      <c r="Q76" s="38"/>
      <c r="R76" s="38"/>
      <c r="S76" s="38"/>
    </row>
    <row r="77" spans="1:19" x14ac:dyDescent="0.25">
      <c r="K77" s="38"/>
      <c r="L77" s="38"/>
      <c r="M77" s="38"/>
      <c r="N77" s="38"/>
      <c r="O77" s="38"/>
      <c r="P77" s="38"/>
      <c r="Q77" s="38"/>
      <c r="R77" s="38"/>
      <c r="S77" s="38"/>
    </row>
    <row r="78" spans="1:19" x14ac:dyDescent="0.25">
      <c r="K78" s="38"/>
      <c r="L78" s="38"/>
      <c r="M78" s="38"/>
      <c r="N78" s="38"/>
      <c r="O78" s="38"/>
      <c r="P78" s="38"/>
      <c r="Q78" s="38"/>
      <c r="R78" s="38"/>
      <c r="S78" s="38"/>
    </row>
    <row r="79" spans="1:19" x14ac:dyDescent="0.25">
      <c r="K79" s="38"/>
      <c r="L79" s="38"/>
      <c r="M79" s="38"/>
      <c r="N79" s="38"/>
      <c r="O79" s="38"/>
      <c r="P79" s="38"/>
      <c r="Q79" s="38"/>
      <c r="R79" s="38"/>
      <c r="S79" s="38"/>
    </row>
    <row r="80" spans="1:19" x14ac:dyDescent="0.25">
      <c r="K80" s="38"/>
      <c r="L80" s="38"/>
      <c r="M80" s="38"/>
      <c r="N80" s="38"/>
      <c r="O80" s="38"/>
      <c r="P80" s="38"/>
      <c r="Q80" s="38"/>
      <c r="R80" s="38"/>
      <c r="S80" s="38"/>
    </row>
    <row r="81" spans="11:19" x14ac:dyDescent="0.25">
      <c r="K81" s="38"/>
      <c r="L81" s="38"/>
      <c r="M81" s="38"/>
      <c r="N81" s="38"/>
      <c r="O81" s="38"/>
      <c r="P81" s="38"/>
      <c r="Q81" s="38"/>
      <c r="R81" s="38"/>
      <c r="S81" s="38"/>
    </row>
    <row r="82" spans="11:19" x14ac:dyDescent="0.25">
      <c r="K82" s="38"/>
      <c r="L82" s="38"/>
      <c r="M82" s="38"/>
      <c r="N82" s="38"/>
      <c r="O82" s="38"/>
      <c r="P82" s="38"/>
      <c r="Q82" s="38"/>
      <c r="R82" s="38"/>
      <c r="S82" s="38"/>
    </row>
    <row r="83" spans="11:19" x14ac:dyDescent="0.25">
      <c r="K83" s="38"/>
      <c r="L83" s="38"/>
      <c r="M83" s="38"/>
      <c r="N83" s="38"/>
      <c r="O83" s="38"/>
      <c r="P83" s="38"/>
      <c r="Q83" s="38"/>
      <c r="R83" s="38"/>
      <c r="S83" s="38"/>
    </row>
    <row r="84" spans="11:19" x14ac:dyDescent="0.25">
      <c r="K84" s="38"/>
      <c r="L84" s="38"/>
      <c r="M84" s="38"/>
      <c r="N84" s="38"/>
      <c r="O84" s="38"/>
      <c r="P84" s="38"/>
      <c r="Q84" s="38"/>
      <c r="R84" s="38"/>
      <c r="S84" s="38"/>
    </row>
    <row r="85" spans="11:19" x14ac:dyDescent="0.25">
      <c r="K85" s="38"/>
      <c r="L85" s="38"/>
      <c r="M85" s="38"/>
      <c r="N85" s="38"/>
      <c r="O85" s="38"/>
      <c r="P85" s="38"/>
      <c r="Q85" s="38"/>
      <c r="R85" s="38"/>
      <c r="S85" s="38"/>
    </row>
    <row r="86" spans="11:19" x14ac:dyDescent="0.25">
      <c r="K86" s="38"/>
      <c r="L86" s="38"/>
      <c r="M86" s="38"/>
      <c r="N86" s="38"/>
      <c r="O86" s="38"/>
      <c r="P86" s="38"/>
      <c r="Q86" s="38"/>
      <c r="R86" s="38"/>
      <c r="S86" s="38"/>
    </row>
    <row r="87" spans="11:19" x14ac:dyDescent="0.25">
      <c r="K87" s="38"/>
      <c r="L87" s="38"/>
      <c r="M87" s="38"/>
      <c r="N87" s="38"/>
      <c r="O87" s="38"/>
      <c r="P87" s="38"/>
      <c r="Q87" s="38"/>
      <c r="R87" s="38"/>
      <c r="S87" s="38"/>
    </row>
    <row r="88" spans="11:19" x14ac:dyDescent="0.25">
      <c r="K88" s="38"/>
      <c r="L88" s="38"/>
      <c r="M88" s="38"/>
      <c r="N88" s="38"/>
      <c r="O88" s="38"/>
      <c r="P88" s="38"/>
      <c r="Q88" s="38"/>
      <c r="R88" s="38"/>
      <c r="S88" s="38"/>
    </row>
    <row r="89" spans="11:19" x14ac:dyDescent="0.25">
      <c r="K89" s="38"/>
      <c r="L89" s="38"/>
      <c r="M89" s="38"/>
      <c r="N89" s="38"/>
      <c r="O89" s="38"/>
      <c r="P89" s="38"/>
      <c r="Q89" s="38"/>
      <c r="R89" s="38"/>
      <c r="S89" s="38"/>
    </row>
    <row r="90" spans="11:19" x14ac:dyDescent="0.25">
      <c r="K90" s="38"/>
      <c r="L90" s="38"/>
      <c r="M90" s="38"/>
      <c r="N90" s="38"/>
      <c r="O90" s="38"/>
      <c r="P90" s="38"/>
      <c r="Q90" s="38"/>
      <c r="R90" s="38"/>
      <c r="S90" s="38"/>
    </row>
    <row r="91" spans="11:19" x14ac:dyDescent="0.25">
      <c r="K91" s="38"/>
      <c r="L91" s="38"/>
      <c r="M91" s="38"/>
      <c r="N91" s="38"/>
      <c r="O91" s="38"/>
      <c r="P91" s="38"/>
      <c r="Q91" s="38"/>
      <c r="R91" s="38"/>
      <c r="S91" s="38"/>
    </row>
    <row r="92" spans="11:19" x14ac:dyDescent="0.25">
      <c r="K92" s="38"/>
      <c r="L92" s="38"/>
      <c r="M92" s="38"/>
      <c r="N92" s="38"/>
      <c r="O92" s="38"/>
      <c r="P92" s="38"/>
      <c r="Q92" s="38"/>
      <c r="R92" s="38"/>
      <c r="S92" s="38"/>
    </row>
    <row r="93" spans="11:19" x14ac:dyDescent="0.25">
      <c r="K93" s="38"/>
      <c r="L93" s="38"/>
      <c r="M93" s="38"/>
      <c r="N93" s="38"/>
      <c r="O93" s="38"/>
      <c r="P93" s="38"/>
      <c r="Q93" s="38"/>
      <c r="R93" s="38"/>
      <c r="S93" s="38"/>
    </row>
    <row r="94" spans="11:19" x14ac:dyDescent="0.25">
      <c r="K94" s="38"/>
      <c r="L94" s="38"/>
      <c r="M94" s="38"/>
      <c r="N94" s="38"/>
      <c r="O94" s="38"/>
      <c r="P94" s="38"/>
      <c r="Q94" s="38"/>
      <c r="R94" s="38"/>
      <c r="S94" s="38"/>
    </row>
    <row r="95" spans="11:19" x14ac:dyDescent="0.25">
      <c r="K95" s="38"/>
      <c r="L95" s="38"/>
      <c r="M95" s="38"/>
      <c r="N95" s="38"/>
      <c r="O95" s="38"/>
      <c r="P95" s="38"/>
      <c r="Q95" s="38"/>
      <c r="R95" s="38"/>
      <c r="S95" s="38"/>
    </row>
    <row r="96" spans="11:19" x14ac:dyDescent="0.25">
      <c r="K96" s="38"/>
      <c r="L96" s="38"/>
      <c r="M96" s="38"/>
      <c r="N96" s="38"/>
      <c r="O96" s="38"/>
      <c r="P96" s="38"/>
      <c r="Q96" s="38"/>
      <c r="R96" s="38"/>
      <c r="S96" s="38"/>
    </row>
    <row r="97" spans="11:19" x14ac:dyDescent="0.25">
      <c r="K97" s="38"/>
      <c r="L97" s="38"/>
      <c r="M97" s="38"/>
      <c r="N97" s="38"/>
      <c r="O97" s="38"/>
      <c r="P97" s="38"/>
      <c r="Q97" s="38"/>
      <c r="R97" s="38"/>
      <c r="S97" s="38"/>
    </row>
    <row r="98" spans="11:19" x14ac:dyDescent="0.25">
      <c r="K98" s="38"/>
      <c r="L98" s="38"/>
      <c r="M98" s="38"/>
      <c r="N98" s="38"/>
      <c r="O98" s="38"/>
      <c r="P98" s="38"/>
      <c r="Q98" s="38"/>
      <c r="R98" s="38"/>
      <c r="S98" s="38"/>
    </row>
    <row r="99" spans="11:19" x14ac:dyDescent="0.25">
      <c r="K99" s="38"/>
      <c r="L99" s="38"/>
      <c r="M99" s="38"/>
      <c r="N99" s="38"/>
      <c r="O99" s="38"/>
      <c r="P99" s="38"/>
      <c r="Q99" s="38"/>
      <c r="R99" s="38"/>
      <c r="S99" s="38"/>
    </row>
    <row r="100" spans="11:19" x14ac:dyDescent="0.25">
      <c r="K100" s="38"/>
      <c r="L100" s="38"/>
      <c r="M100" s="38"/>
      <c r="N100" s="38"/>
      <c r="O100" s="38"/>
      <c r="P100" s="38"/>
      <c r="Q100" s="38"/>
      <c r="R100" s="38"/>
      <c r="S100" s="38"/>
    </row>
    <row r="101" spans="11:19" x14ac:dyDescent="0.25">
      <c r="K101" s="38"/>
      <c r="L101" s="38"/>
      <c r="M101" s="38"/>
      <c r="N101" s="38"/>
      <c r="O101" s="38"/>
      <c r="P101" s="38"/>
      <c r="Q101" s="38"/>
      <c r="R101" s="38"/>
      <c r="S101" s="38"/>
    </row>
    <row r="102" spans="11:19" x14ac:dyDescent="0.25">
      <c r="K102" s="38"/>
      <c r="L102" s="38"/>
      <c r="M102" s="38"/>
      <c r="N102" s="38"/>
      <c r="O102" s="38"/>
      <c r="P102" s="38"/>
      <c r="Q102" s="38"/>
      <c r="R102" s="38"/>
      <c r="S102" s="38"/>
    </row>
    <row r="103" spans="11:19" x14ac:dyDescent="0.25">
      <c r="K103" s="38"/>
      <c r="L103" s="38"/>
      <c r="M103" s="38"/>
      <c r="N103" s="38"/>
      <c r="O103" s="38"/>
      <c r="P103" s="38"/>
      <c r="Q103" s="38"/>
      <c r="R103" s="38"/>
      <c r="S103" s="38"/>
    </row>
    <row r="104" spans="11:19" x14ac:dyDescent="0.25">
      <c r="K104" s="38"/>
      <c r="L104" s="38"/>
      <c r="M104" s="38"/>
      <c r="N104" s="38"/>
      <c r="O104" s="38"/>
      <c r="P104" s="38"/>
      <c r="Q104" s="38"/>
      <c r="R104" s="38"/>
      <c r="S104" s="38"/>
    </row>
    <row r="105" spans="11:19" x14ac:dyDescent="0.25">
      <c r="K105" s="38"/>
      <c r="L105" s="38"/>
      <c r="M105" s="38"/>
      <c r="N105" s="38"/>
      <c r="O105" s="38"/>
      <c r="P105" s="38"/>
      <c r="Q105" s="38"/>
      <c r="R105" s="38"/>
      <c r="S105" s="38"/>
    </row>
    <row r="106" spans="11:19" x14ac:dyDescent="0.25">
      <c r="K106" s="38"/>
      <c r="L106" s="38"/>
      <c r="M106" s="38"/>
      <c r="N106" s="38"/>
      <c r="O106" s="38"/>
      <c r="P106" s="38"/>
      <c r="Q106" s="38"/>
      <c r="R106" s="38"/>
      <c r="S106" s="38"/>
    </row>
    <row r="107" spans="11:19" x14ac:dyDescent="0.25">
      <c r="K107" s="38"/>
      <c r="L107" s="38"/>
      <c r="M107" s="38"/>
      <c r="N107" s="38"/>
      <c r="O107" s="38"/>
      <c r="P107" s="38"/>
      <c r="Q107" s="38"/>
      <c r="R107" s="38"/>
      <c r="S107" s="38"/>
    </row>
    <row r="108" spans="11:19" x14ac:dyDescent="0.25">
      <c r="K108" s="38"/>
      <c r="L108" s="38"/>
      <c r="M108" s="38"/>
      <c r="N108" s="38"/>
      <c r="O108" s="38"/>
      <c r="P108" s="38"/>
      <c r="Q108" s="38"/>
      <c r="R108" s="38"/>
      <c r="S108" s="38"/>
    </row>
    <row r="109" spans="11:19" x14ac:dyDescent="0.25">
      <c r="K109" s="38"/>
      <c r="L109" s="38"/>
      <c r="M109" s="38"/>
      <c r="N109" s="38"/>
      <c r="O109" s="38"/>
      <c r="P109" s="38"/>
      <c r="Q109" s="38"/>
      <c r="R109" s="38"/>
      <c r="S109" s="38"/>
    </row>
    <row r="110" spans="11:19" x14ac:dyDescent="0.25">
      <c r="K110" s="38"/>
      <c r="L110" s="38"/>
      <c r="M110" s="38"/>
      <c r="N110" s="38"/>
      <c r="O110" s="38"/>
      <c r="P110" s="38"/>
      <c r="Q110" s="38"/>
      <c r="R110" s="38"/>
      <c r="S110" s="38"/>
    </row>
    <row r="111" spans="11:19" x14ac:dyDescent="0.25">
      <c r="K111" s="38"/>
      <c r="L111" s="38"/>
      <c r="M111" s="38"/>
      <c r="N111" s="38"/>
      <c r="O111" s="38"/>
      <c r="P111" s="38"/>
      <c r="Q111" s="38"/>
      <c r="R111" s="38"/>
      <c r="S111" s="38"/>
    </row>
    <row r="112" spans="11:19" x14ac:dyDescent="0.25">
      <c r="K112" s="38"/>
      <c r="L112" s="38"/>
      <c r="M112" s="38"/>
      <c r="N112" s="38"/>
      <c r="O112" s="38"/>
      <c r="P112" s="38"/>
      <c r="Q112" s="38"/>
      <c r="R112" s="38"/>
      <c r="S112" s="38"/>
    </row>
    <row r="113" spans="11:19" x14ac:dyDescent="0.25">
      <c r="K113" s="38"/>
      <c r="L113" s="38"/>
      <c r="M113" s="38"/>
      <c r="N113" s="38"/>
      <c r="O113" s="38"/>
      <c r="P113" s="38"/>
      <c r="Q113" s="38"/>
      <c r="R113" s="38"/>
      <c r="S113" s="38"/>
    </row>
    <row r="114" spans="11:19" x14ac:dyDescent="0.25">
      <c r="K114" s="38"/>
      <c r="L114" s="38"/>
      <c r="M114" s="38"/>
      <c r="N114" s="38"/>
      <c r="O114" s="38"/>
      <c r="P114" s="38"/>
      <c r="Q114" s="38"/>
      <c r="R114" s="38"/>
      <c r="S114" s="38"/>
    </row>
    <row r="115" spans="11:19" x14ac:dyDescent="0.25">
      <c r="K115" s="38"/>
      <c r="L115" s="38"/>
      <c r="M115" s="38"/>
      <c r="N115" s="38"/>
      <c r="O115" s="38"/>
      <c r="P115" s="38"/>
      <c r="Q115" s="38"/>
      <c r="R115" s="38"/>
      <c r="S115" s="38"/>
    </row>
    <row r="116" spans="11:19" x14ac:dyDescent="0.25">
      <c r="K116" s="38"/>
      <c r="L116" s="38"/>
      <c r="M116" s="38"/>
      <c r="N116" s="38"/>
      <c r="O116" s="38"/>
      <c r="P116" s="38"/>
      <c r="Q116" s="38"/>
      <c r="R116" s="38"/>
      <c r="S116" s="38"/>
    </row>
    <row r="117" spans="11:19" x14ac:dyDescent="0.25">
      <c r="K117" s="38"/>
      <c r="L117" s="38"/>
      <c r="M117" s="38"/>
      <c r="N117" s="38"/>
      <c r="O117" s="38"/>
      <c r="P117" s="38"/>
      <c r="Q117" s="38"/>
      <c r="R117" s="38"/>
      <c r="S117" s="38"/>
    </row>
    <row r="118" spans="11:19" x14ac:dyDescent="0.25">
      <c r="K118" s="38"/>
      <c r="L118" s="38"/>
      <c r="M118" s="38"/>
      <c r="N118" s="38"/>
      <c r="O118" s="38"/>
      <c r="P118" s="38"/>
      <c r="Q118" s="38"/>
      <c r="R118" s="38"/>
      <c r="S118" s="38"/>
    </row>
    <row r="119" spans="11:19" x14ac:dyDescent="0.25">
      <c r="K119" s="38"/>
      <c r="L119" s="38"/>
      <c r="M119" s="38"/>
      <c r="N119" s="38"/>
      <c r="O119" s="38"/>
      <c r="P119" s="38"/>
      <c r="Q119" s="38"/>
      <c r="R119" s="38"/>
      <c r="S119" s="38"/>
    </row>
    <row r="120" spans="11:19" x14ac:dyDescent="0.25">
      <c r="K120" s="38"/>
      <c r="L120" s="38"/>
      <c r="M120" s="38"/>
      <c r="N120" s="38"/>
      <c r="O120" s="38"/>
      <c r="P120" s="38"/>
      <c r="Q120" s="38"/>
      <c r="R120" s="38"/>
      <c r="S120" s="38"/>
    </row>
    <row r="121" spans="11:19" x14ac:dyDescent="0.25">
      <c r="K121" s="38"/>
      <c r="L121" s="38"/>
      <c r="M121" s="38"/>
      <c r="N121" s="38"/>
      <c r="O121" s="38"/>
      <c r="P121" s="38"/>
      <c r="Q121" s="38"/>
      <c r="R121" s="38"/>
      <c r="S121" s="38"/>
    </row>
    <row r="122" spans="11:19" x14ac:dyDescent="0.25">
      <c r="K122" s="38"/>
      <c r="L122" s="38"/>
      <c r="M122" s="38"/>
      <c r="N122" s="38"/>
      <c r="O122" s="38"/>
      <c r="P122" s="38"/>
      <c r="Q122" s="38"/>
      <c r="R122" s="38"/>
      <c r="S122" s="38"/>
    </row>
    <row r="123" spans="11:19" x14ac:dyDescent="0.25">
      <c r="K123" s="38"/>
      <c r="L123" s="38"/>
      <c r="M123" s="38"/>
      <c r="N123" s="38"/>
      <c r="O123" s="38"/>
      <c r="P123" s="38"/>
      <c r="Q123" s="38"/>
      <c r="R123" s="38"/>
      <c r="S123" s="38"/>
    </row>
    <row r="124" spans="11:19" x14ac:dyDescent="0.25">
      <c r="K124" s="38"/>
      <c r="L124" s="38"/>
      <c r="M124" s="38"/>
      <c r="N124" s="38"/>
      <c r="O124" s="38"/>
      <c r="P124" s="38"/>
      <c r="Q124" s="38"/>
      <c r="R124" s="38"/>
      <c r="S124" s="38"/>
    </row>
    <row r="125" spans="11:19" x14ac:dyDescent="0.25">
      <c r="K125" s="38"/>
      <c r="L125" s="38"/>
      <c r="M125" s="38"/>
      <c r="N125" s="38"/>
      <c r="O125" s="38"/>
      <c r="P125" s="38"/>
      <c r="Q125" s="38"/>
      <c r="R125" s="38"/>
      <c r="S125" s="38"/>
    </row>
    <row r="126" spans="11:19" x14ac:dyDescent="0.25">
      <c r="K126" s="38"/>
      <c r="L126" s="38"/>
      <c r="M126" s="38"/>
      <c r="N126" s="38"/>
      <c r="O126" s="38"/>
      <c r="P126" s="38"/>
      <c r="Q126" s="38"/>
      <c r="R126" s="38"/>
      <c r="S126" s="38"/>
    </row>
    <row r="127" spans="11:19" x14ac:dyDescent="0.25">
      <c r="K127" s="38"/>
      <c r="L127" s="38"/>
      <c r="M127" s="38"/>
      <c r="N127" s="38"/>
      <c r="O127" s="38"/>
      <c r="P127" s="38"/>
      <c r="Q127" s="38"/>
      <c r="R127" s="38"/>
      <c r="S127" s="38"/>
    </row>
    <row r="128" spans="11:19" x14ac:dyDescent="0.25">
      <c r="K128" s="38"/>
      <c r="L128" s="38"/>
      <c r="M128" s="38"/>
      <c r="N128" s="38"/>
      <c r="O128" s="38"/>
      <c r="P128" s="38"/>
      <c r="Q128" s="38"/>
      <c r="R128" s="38"/>
      <c r="S128" s="38"/>
    </row>
    <row r="129" spans="11:19" x14ac:dyDescent="0.25">
      <c r="K129" s="38"/>
      <c r="L129" s="38"/>
      <c r="M129" s="38"/>
      <c r="N129" s="38"/>
      <c r="O129" s="38"/>
      <c r="P129" s="38"/>
      <c r="Q129" s="38"/>
      <c r="R129" s="38"/>
      <c r="S129" s="38"/>
    </row>
    <row r="130" spans="11:19" x14ac:dyDescent="0.25">
      <c r="K130" s="38"/>
      <c r="L130" s="38"/>
      <c r="M130" s="38"/>
      <c r="N130" s="38"/>
      <c r="O130" s="38"/>
      <c r="P130" s="38"/>
      <c r="Q130" s="38"/>
      <c r="R130" s="38"/>
      <c r="S130" s="38"/>
    </row>
    <row r="131" spans="11:19" x14ac:dyDescent="0.25">
      <c r="K131" s="38"/>
      <c r="L131" s="38"/>
      <c r="M131" s="38"/>
      <c r="N131" s="38"/>
      <c r="O131" s="38"/>
      <c r="P131" s="38"/>
      <c r="Q131" s="38"/>
      <c r="R131" s="38"/>
      <c r="S131" s="38"/>
    </row>
    <row r="132" spans="11:19" x14ac:dyDescent="0.25">
      <c r="K132" s="38"/>
      <c r="L132" s="38"/>
      <c r="M132" s="38"/>
      <c r="N132" s="38"/>
      <c r="O132" s="38"/>
      <c r="P132" s="38"/>
      <c r="Q132" s="38"/>
      <c r="R132" s="38"/>
      <c r="S132" s="38"/>
    </row>
    <row r="133" spans="11:19" x14ac:dyDescent="0.25">
      <c r="K133" s="38"/>
      <c r="L133" s="38"/>
      <c r="M133" s="38"/>
      <c r="N133" s="38"/>
      <c r="O133" s="38"/>
      <c r="P133" s="38"/>
      <c r="Q133" s="38"/>
      <c r="R133" s="38"/>
      <c r="S133" s="38"/>
    </row>
    <row r="134" spans="11:19" x14ac:dyDescent="0.25">
      <c r="K134" s="38"/>
      <c r="L134" s="38"/>
      <c r="M134" s="38"/>
      <c r="N134" s="38"/>
      <c r="O134" s="38"/>
      <c r="P134" s="38"/>
      <c r="Q134" s="38"/>
      <c r="R134" s="38"/>
      <c r="S134" s="38"/>
    </row>
    <row r="135" spans="11:19" x14ac:dyDescent="0.25">
      <c r="K135" s="38"/>
      <c r="L135" s="38"/>
      <c r="M135" s="38"/>
      <c r="N135" s="38"/>
      <c r="O135" s="38"/>
      <c r="P135" s="38"/>
      <c r="Q135" s="38"/>
      <c r="R135" s="38"/>
      <c r="S135" s="38"/>
    </row>
    <row r="136" spans="11:19" x14ac:dyDescent="0.25">
      <c r="K136" s="38"/>
      <c r="L136" s="38"/>
      <c r="M136" s="38"/>
      <c r="N136" s="38"/>
      <c r="O136" s="38"/>
      <c r="P136" s="38"/>
      <c r="Q136" s="38"/>
      <c r="R136" s="38"/>
      <c r="S136" s="38"/>
    </row>
    <row r="137" spans="11:19" x14ac:dyDescent="0.25">
      <c r="K137" s="38"/>
      <c r="L137" s="38"/>
      <c r="M137" s="38"/>
      <c r="N137" s="38"/>
      <c r="O137" s="38"/>
      <c r="P137" s="38"/>
      <c r="Q137" s="38"/>
      <c r="R137" s="38"/>
      <c r="S137" s="38"/>
    </row>
    <row r="138" spans="11:19" x14ac:dyDescent="0.25">
      <c r="K138" s="38"/>
      <c r="L138" s="38"/>
      <c r="M138" s="38"/>
      <c r="N138" s="38"/>
      <c r="O138" s="38"/>
      <c r="P138" s="38"/>
      <c r="Q138" s="38"/>
      <c r="R138" s="38"/>
      <c r="S138" s="38"/>
    </row>
    <row r="139" spans="11:19" x14ac:dyDescent="0.25">
      <c r="K139" s="38"/>
      <c r="L139" s="38"/>
      <c r="M139" s="38"/>
      <c r="N139" s="38"/>
      <c r="O139" s="38"/>
      <c r="P139" s="38"/>
      <c r="Q139" s="38"/>
      <c r="R139" s="38"/>
      <c r="S139" s="38"/>
    </row>
    <row r="140" spans="11:19" x14ac:dyDescent="0.25">
      <c r="K140" s="38"/>
      <c r="L140" s="38"/>
      <c r="M140" s="38"/>
      <c r="N140" s="38"/>
      <c r="O140" s="38"/>
      <c r="P140" s="38"/>
      <c r="Q140" s="38"/>
      <c r="R140" s="38"/>
      <c r="S140" s="38"/>
    </row>
    <row r="141" spans="11:19" x14ac:dyDescent="0.25">
      <c r="K141" s="38"/>
      <c r="L141" s="38"/>
      <c r="M141" s="38"/>
      <c r="N141" s="38"/>
      <c r="O141" s="38"/>
      <c r="P141" s="38"/>
      <c r="Q141" s="38"/>
      <c r="R141" s="38"/>
      <c r="S141" s="38"/>
    </row>
    <row r="142" spans="11:19" x14ac:dyDescent="0.25">
      <c r="K142" s="38"/>
      <c r="L142" s="38"/>
      <c r="M142" s="38"/>
      <c r="N142" s="38"/>
      <c r="O142" s="38"/>
      <c r="P142" s="38"/>
      <c r="Q142" s="38"/>
      <c r="R142" s="38"/>
      <c r="S142" s="38"/>
    </row>
    <row r="143" spans="11:19" x14ac:dyDescent="0.25">
      <c r="K143" s="38"/>
      <c r="L143" s="38"/>
      <c r="M143" s="38"/>
      <c r="N143" s="38"/>
      <c r="O143" s="38"/>
      <c r="P143" s="38"/>
      <c r="Q143" s="38"/>
      <c r="R143" s="38"/>
      <c r="S143" s="38"/>
    </row>
    <row r="144" spans="11:19" x14ac:dyDescent="0.25">
      <c r="K144" s="38"/>
      <c r="L144" s="38"/>
      <c r="M144" s="38"/>
      <c r="N144" s="38"/>
      <c r="O144" s="38"/>
      <c r="P144" s="38"/>
      <c r="Q144" s="38"/>
      <c r="R144" s="38"/>
      <c r="S144" s="38"/>
    </row>
    <row r="145" spans="11:19" x14ac:dyDescent="0.25">
      <c r="K145" s="38"/>
      <c r="L145" s="38"/>
      <c r="M145" s="38"/>
      <c r="N145" s="38"/>
      <c r="O145" s="38"/>
      <c r="P145" s="38"/>
      <c r="Q145" s="38"/>
      <c r="R145" s="38"/>
      <c r="S145" s="38"/>
    </row>
    <row r="146" spans="11:19" x14ac:dyDescent="0.25">
      <c r="K146" s="38"/>
      <c r="L146" s="38"/>
      <c r="M146" s="38"/>
      <c r="N146" s="38"/>
      <c r="O146" s="38"/>
      <c r="P146" s="38"/>
      <c r="Q146" s="38"/>
      <c r="R146" s="38"/>
      <c r="S146" s="38"/>
    </row>
    <row r="147" spans="11:19" x14ac:dyDescent="0.25">
      <c r="K147" s="38"/>
      <c r="L147" s="38"/>
      <c r="M147" s="38"/>
      <c r="N147" s="38"/>
      <c r="O147" s="38"/>
      <c r="P147" s="38"/>
      <c r="Q147" s="38"/>
      <c r="R147" s="38"/>
      <c r="S147" s="38"/>
    </row>
    <row r="148" spans="11:19" x14ac:dyDescent="0.25">
      <c r="K148" s="38"/>
      <c r="L148" s="38"/>
      <c r="M148" s="38"/>
      <c r="N148" s="38"/>
      <c r="O148" s="38"/>
      <c r="P148" s="38"/>
      <c r="Q148" s="38"/>
      <c r="R148" s="38"/>
      <c r="S148" s="38"/>
    </row>
    <row r="149" spans="11:19" x14ac:dyDescent="0.25">
      <c r="K149" s="38"/>
      <c r="L149" s="38"/>
      <c r="M149" s="38"/>
      <c r="N149" s="38"/>
      <c r="O149" s="38"/>
      <c r="P149" s="38"/>
      <c r="Q149" s="38"/>
      <c r="R149" s="38"/>
      <c r="S149" s="38"/>
    </row>
    <row r="150" spans="11:19" x14ac:dyDescent="0.25">
      <c r="K150" s="38"/>
      <c r="L150" s="38"/>
      <c r="M150" s="38"/>
      <c r="N150" s="38"/>
      <c r="O150" s="38"/>
      <c r="P150" s="38"/>
      <c r="Q150" s="38"/>
      <c r="R150" s="38"/>
      <c r="S150" s="38"/>
    </row>
    <row r="151" spans="11:19" x14ac:dyDescent="0.25">
      <c r="K151" s="38"/>
      <c r="L151" s="38"/>
      <c r="M151" s="38"/>
      <c r="N151" s="38"/>
      <c r="O151" s="38"/>
      <c r="P151" s="38"/>
      <c r="Q151" s="38"/>
      <c r="R151" s="38"/>
      <c r="S151" s="38"/>
    </row>
    <row r="152" spans="11:19" x14ac:dyDescent="0.25">
      <c r="K152" s="38"/>
      <c r="L152" s="38"/>
      <c r="M152" s="38"/>
      <c r="N152" s="38"/>
      <c r="O152" s="38"/>
      <c r="P152" s="38"/>
      <c r="Q152" s="38"/>
      <c r="R152" s="38"/>
      <c r="S152" s="38"/>
    </row>
    <row r="153" spans="11:19" x14ac:dyDescent="0.25">
      <c r="K153" s="38"/>
      <c r="L153" s="38"/>
      <c r="M153" s="38"/>
      <c r="N153" s="38"/>
      <c r="O153" s="38"/>
      <c r="P153" s="38"/>
      <c r="Q153" s="38"/>
      <c r="R153" s="38"/>
      <c r="S153" s="38"/>
    </row>
    <row r="154" spans="11:19" x14ac:dyDescent="0.25">
      <c r="K154" s="38"/>
      <c r="L154" s="38"/>
      <c r="M154" s="38"/>
      <c r="N154" s="38"/>
      <c r="O154" s="38"/>
      <c r="P154" s="38"/>
      <c r="Q154" s="38"/>
      <c r="R154" s="38"/>
      <c r="S154" s="38"/>
    </row>
    <row r="155" spans="11:19" x14ac:dyDescent="0.25">
      <c r="K155" s="38"/>
      <c r="L155" s="38"/>
      <c r="M155" s="38"/>
      <c r="N155" s="38"/>
      <c r="O155" s="38"/>
      <c r="P155" s="38"/>
      <c r="Q155" s="38"/>
      <c r="R155" s="38"/>
      <c r="S155" s="38"/>
    </row>
    <row r="156" spans="11:19" x14ac:dyDescent="0.25">
      <c r="K156" s="38"/>
      <c r="L156" s="38"/>
      <c r="M156" s="38"/>
      <c r="N156" s="38"/>
      <c r="O156" s="38"/>
      <c r="P156" s="38"/>
      <c r="Q156" s="38"/>
      <c r="R156" s="38"/>
      <c r="S156" s="38"/>
    </row>
    <row r="157" spans="11:19" x14ac:dyDescent="0.25">
      <c r="K157" s="38"/>
      <c r="L157" s="38"/>
      <c r="M157" s="38"/>
      <c r="N157" s="38"/>
      <c r="O157" s="38"/>
      <c r="P157" s="38"/>
      <c r="Q157" s="38"/>
      <c r="R157" s="38"/>
      <c r="S157" s="38"/>
    </row>
    <row r="158" spans="11:19" x14ac:dyDescent="0.25">
      <c r="K158" s="38"/>
      <c r="L158" s="38"/>
      <c r="M158" s="38"/>
      <c r="N158" s="38"/>
      <c r="O158" s="38"/>
      <c r="P158" s="38"/>
      <c r="Q158" s="38"/>
      <c r="R158" s="38"/>
      <c r="S158" s="38"/>
    </row>
    <row r="159" spans="11:19" x14ac:dyDescent="0.25">
      <c r="K159" s="38"/>
      <c r="L159" s="38"/>
      <c r="M159" s="38"/>
      <c r="N159" s="38"/>
      <c r="O159" s="38"/>
      <c r="P159" s="38"/>
      <c r="Q159" s="38"/>
      <c r="R159" s="38"/>
      <c r="S159" s="38"/>
    </row>
    <row r="160" spans="11:19" x14ac:dyDescent="0.25">
      <c r="K160" s="38"/>
      <c r="L160" s="38"/>
      <c r="M160" s="38"/>
      <c r="N160" s="38"/>
      <c r="O160" s="38"/>
      <c r="P160" s="38"/>
      <c r="Q160" s="38"/>
      <c r="R160" s="38"/>
      <c r="S160" s="38"/>
    </row>
    <row r="161" spans="11:19" x14ac:dyDescent="0.25">
      <c r="K161" s="38"/>
      <c r="L161" s="38"/>
      <c r="M161" s="38"/>
      <c r="N161" s="38"/>
      <c r="O161" s="38"/>
      <c r="P161" s="38"/>
      <c r="Q161" s="38"/>
      <c r="R161" s="38"/>
      <c r="S161" s="38"/>
    </row>
    <row r="162" spans="11:19" x14ac:dyDescent="0.25">
      <c r="K162" s="38"/>
      <c r="L162" s="38"/>
      <c r="M162" s="38"/>
      <c r="N162" s="38"/>
      <c r="O162" s="38"/>
      <c r="P162" s="38"/>
      <c r="Q162" s="38"/>
      <c r="R162" s="38"/>
      <c r="S162" s="38"/>
    </row>
    <row r="163" spans="11:19" x14ac:dyDescent="0.25">
      <c r="K163" s="38"/>
      <c r="L163" s="38"/>
      <c r="M163" s="38"/>
      <c r="N163" s="38"/>
      <c r="O163" s="38"/>
      <c r="P163" s="38"/>
      <c r="Q163" s="38"/>
      <c r="R163" s="38"/>
      <c r="S163" s="38"/>
    </row>
    <row r="164" spans="11:19" x14ac:dyDescent="0.25">
      <c r="K164" s="38"/>
      <c r="L164" s="38"/>
      <c r="M164" s="38"/>
      <c r="N164" s="38"/>
      <c r="O164" s="38"/>
      <c r="P164" s="38"/>
      <c r="Q164" s="38"/>
      <c r="R164" s="38"/>
      <c r="S164" s="38"/>
    </row>
    <row r="165" spans="11:19" x14ac:dyDescent="0.25">
      <c r="K165" s="38"/>
      <c r="L165" s="38"/>
      <c r="M165" s="38"/>
      <c r="N165" s="38"/>
      <c r="O165" s="38"/>
      <c r="P165" s="38"/>
      <c r="Q165" s="38"/>
      <c r="R165" s="38"/>
      <c r="S165" s="38"/>
    </row>
    <row r="166" spans="11:19" x14ac:dyDescent="0.25">
      <c r="K166" s="38"/>
      <c r="L166" s="38"/>
      <c r="M166" s="38"/>
      <c r="N166" s="38"/>
      <c r="O166" s="38"/>
      <c r="P166" s="38"/>
      <c r="Q166" s="38"/>
      <c r="R166" s="38"/>
      <c r="S166" s="38"/>
    </row>
    <row r="167" spans="11:19" x14ac:dyDescent="0.25">
      <c r="K167" s="38"/>
      <c r="L167" s="38"/>
      <c r="M167" s="38"/>
      <c r="N167" s="38"/>
      <c r="O167" s="38"/>
      <c r="P167" s="38"/>
      <c r="Q167" s="38"/>
      <c r="R167" s="38"/>
      <c r="S167" s="38"/>
    </row>
    <row r="168" spans="11:19" x14ac:dyDescent="0.25">
      <c r="K168" s="38"/>
      <c r="L168" s="38"/>
      <c r="M168" s="38"/>
      <c r="N168" s="38"/>
      <c r="O168" s="38"/>
      <c r="P168" s="38"/>
      <c r="Q168" s="38"/>
      <c r="R168" s="38"/>
      <c r="S168" s="38"/>
    </row>
    <row r="169" spans="11:19" x14ac:dyDescent="0.25">
      <c r="K169" s="38"/>
      <c r="L169" s="38"/>
      <c r="M169" s="38"/>
      <c r="N169" s="38"/>
      <c r="O169" s="38"/>
      <c r="P169" s="38"/>
      <c r="Q169" s="38"/>
      <c r="R169" s="38"/>
      <c r="S169" s="38"/>
    </row>
    <row r="170" spans="11:19" x14ac:dyDescent="0.25">
      <c r="K170" s="38"/>
      <c r="L170" s="38"/>
      <c r="M170" s="38"/>
      <c r="N170" s="38"/>
      <c r="O170" s="38"/>
      <c r="P170" s="38"/>
      <c r="Q170" s="38"/>
      <c r="R170" s="38"/>
      <c r="S170" s="38"/>
    </row>
    <row r="171" spans="11:19" x14ac:dyDescent="0.25">
      <c r="K171" s="38"/>
      <c r="L171" s="38"/>
      <c r="M171" s="38"/>
      <c r="N171" s="38"/>
      <c r="O171" s="38"/>
      <c r="P171" s="38"/>
      <c r="Q171" s="38"/>
      <c r="R171" s="38"/>
      <c r="S171" s="38"/>
    </row>
    <row r="172" spans="11:19" x14ac:dyDescent="0.25">
      <c r="K172" s="38"/>
      <c r="L172" s="38"/>
      <c r="M172" s="38"/>
      <c r="N172" s="38"/>
      <c r="O172" s="38"/>
      <c r="P172" s="38"/>
      <c r="Q172" s="38"/>
      <c r="R172" s="38"/>
      <c r="S172" s="38"/>
    </row>
    <row r="173" spans="11:19" x14ac:dyDescent="0.25">
      <c r="K173" s="38"/>
      <c r="L173" s="38"/>
      <c r="M173" s="38"/>
      <c r="N173" s="38"/>
      <c r="O173" s="38"/>
      <c r="P173" s="38"/>
      <c r="Q173" s="38"/>
      <c r="R173" s="38"/>
      <c r="S173" s="38"/>
    </row>
    <row r="174" spans="11:19" x14ac:dyDescent="0.25">
      <c r="K174" s="38"/>
      <c r="L174" s="38"/>
      <c r="M174" s="38"/>
      <c r="N174" s="38"/>
      <c r="O174" s="38"/>
      <c r="P174" s="38"/>
      <c r="Q174" s="38"/>
      <c r="R174" s="38"/>
      <c r="S174" s="38"/>
    </row>
    <row r="175" spans="11:19" x14ac:dyDescent="0.25">
      <c r="K175" s="38"/>
      <c r="L175" s="38"/>
      <c r="M175" s="38"/>
      <c r="N175" s="38"/>
      <c r="O175" s="38"/>
      <c r="P175" s="38"/>
      <c r="Q175" s="38"/>
      <c r="R175" s="38"/>
      <c r="S175" s="38"/>
    </row>
    <row r="176" spans="11:19" x14ac:dyDescent="0.25">
      <c r="K176" s="38"/>
      <c r="L176" s="38"/>
      <c r="M176" s="38"/>
      <c r="N176" s="38"/>
      <c r="O176" s="38"/>
      <c r="P176" s="38"/>
      <c r="Q176" s="38"/>
      <c r="R176" s="38"/>
      <c r="S176" s="38"/>
    </row>
    <row r="177" spans="11:19" x14ac:dyDescent="0.25">
      <c r="K177" s="38"/>
      <c r="L177" s="38"/>
      <c r="M177" s="38"/>
      <c r="N177" s="38"/>
      <c r="O177" s="38"/>
      <c r="P177" s="38"/>
      <c r="Q177" s="38"/>
      <c r="R177" s="38"/>
      <c r="S177" s="38"/>
    </row>
    <row r="178" spans="11:19" x14ac:dyDescent="0.25">
      <c r="K178" s="38"/>
      <c r="L178" s="38"/>
      <c r="M178" s="38"/>
      <c r="N178" s="38"/>
      <c r="O178" s="38"/>
      <c r="P178" s="38"/>
      <c r="Q178" s="38"/>
      <c r="R178" s="38"/>
      <c r="S178" s="38"/>
    </row>
    <row r="179" spans="11:19" x14ac:dyDescent="0.25">
      <c r="K179" s="38"/>
      <c r="L179" s="38"/>
      <c r="M179" s="38"/>
      <c r="N179" s="38"/>
      <c r="O179" s="38"/>
      <c r="P179" s="38"/>
      <c r="Q179" s="38"/>
      <c r="R179" s="38"/>
      <c r="S179" s="38"/>
    </row>
    <row r="180" spans="11:19" x14ac:dyDescent="0.25">
      <c r="K180" s="38"/>
      <c r="L180" s="38"/>
      <c r="M180" s="38"/>
      <c r="N180" s="38"/>
      <c r="O180" s="38"/>
      <c r="P180" s="38"/>
      <c r="Q180" s="38"/>
      <c r="R180" s="38"/>
      <c r="S180" s="38"/>
    </row>
    <row r="181" spans="11:19" x14ac:dyDescent="0.25">
      <c r="K181" s="38"/>
      <c r="L181" s="38"/>
      <c r="M181" s="38"/>
      <c r="N181" s="38"/>
      <c r="O181" s="38"/>
      <c r="P181" s="38"/>
      <c r="Q181" s="38"/>
      <c r="R181" s="38"/>
      <c r="S181" s="38"/>
    </row>
    <row r="182" spans="11:19" x14ac:dyDescent="0.25">
      <c r="K182" s="38"/>
      <c r="L182" s="38"/>
      <c r="M182" s="38"/>
      <c r="N182" s="38"/>
      <c r="O182" s="38"/>
      <c r="P182" s="38"/>
      <c r="Q182" s="38"/>
      <c r="R182" s="38"/>
      <c r="S182" s="38"/>
    </row>
    <row r="183" spans="11:19" x14ac:dyDescent="0.25">
      <c r="K183" s="38"/>
      <c r="L183" s="38"/>
      <c r="M183" s="38"/>
      <c r="N183" s="38"/>
      <c r="O183" s="38"/>
      <c r="P183" s="38"/>
      <c r="Q183" s="38"/>
      <c r="R183" s="38"/>
      <c r="S183" s="38"/>
    </row>
    <row r="184" spans="11:19" x14ac:dyDescent="0.25">
      <c r="K184" s="38"/>
      <c r="L184" s="38"/>
      <c r="M184" s="38"/>
      <c r="N184" s="38"/>
      <c r="O184" s="38"/>
      <c r="P184" s="38"/>
      <c r="Q184" s="38"/>
      <c r="R184" s="38"/>
      <c r="S184" s="38"/>
    </row>
    <row r="185" spans="11:19" x14ac:dyDescent="0.25">
      <c r="K185" s="38"/>
      <c r="L185" s="38"/>
      <c r="M185" s="38"/>
      <c r="N185" s="38"/>
      <c r="O185" s="38"/>
      <c r="P185" s="38"/>
      <c r="Q185" s="38"/>
      <c r="R185" s="38"/>
      <c r="S185" s="38"/>
    </row>
    <row r="186" spans="11:19" x14ac:dyDescent="0.25">
      <c r="K186" s="38"/>
      <c r="L186" s="38"/>
      <c r="M186" s="38"/>
      <c r="N186" s="38"/>
      <c r="O186" s="38"/>
      <c r="P186" s="38"/>
      <c r="Q186" s="38"/>
      <c r="R186" s="38"/>
      <c r="S186" s="38"/>
    </row>
    <row r="187" spans="11:19" x14ac:dyDescent="0.25">
      <c r="K187" s="38"/>
      <c r="L187" s="38"/>
      <c r="M187" s="38"/>
      <c r="N187" s="38"/>
      <c r="O187" s="38"/>
      <c r="P187" s="38"/>
      <c r="Q187" s="38"/>
      <c r="R187" s="38"/>
      <c r="S187" s="38"/>
    </row>
    <row r="188" spans="11:19" x14ac:dyDescent="0.25">
      <c r="K188" s="38"/>
      <c r="L188" s="38"/>
      <c r="M188" s="38"/>
      <c r="N188" s="38"/>
      <c r="O188" s="38"/>
      <c r="P188" s="38"/>
      <c r="Q188" s="38"/>
      <c r="R188" s="38"/>
      <c r="S188" s="38"/>
    </row>
    <row r="189" spans="11:19" x14ac:dyDescent="0.25">
      <c r="K189" s="38"/>
      <c r="L189" s="38"/>
      <c r="M189" s="38"/>
      <c r="N189" s="38"/>
      <c r="O189" s="38"/>
      <c r="P189" s="38"/>
      <c r="Q189" s="38"/>
      <c r="R189" s="38"/>
      <c r="S189" s="38"/>
    </row>
    <row r="190" spans="11:19" x14ac:dyDescent="0.25">
      <c r="K190" s="38"/>
      <c r="L190" s="38"/>
      <c r="M190" s="38"/>
      <c r="N190" s="38"/>
      <c r="O190" s="38"/>
      <c r="P190" s="38"/>
      <c r="Q190" s="38"/>
      <c r="R190" s="38"/>
      <c r="S190" s="38"/>
    </row>
    <row r="191" spans="11:19" x14ac:dyDescent="0.25">
      <c r="K191" s="38"/>
      <c r="L191" s="38"/>
      <c r="M191" s="38"/>
      <c r="N191" s="38"/>
      <c r="O191" s="38"/>
      <c r="P191" s="38"/>
      <c r="Q191" s="38"/>
      <c r="R191" s="38"/>
      <c r="S191" s="38"/>
    </row>
    <row r="192" spans="11:19" x14ac:dyDescent="0.25">
      <c r="K192" s="38"/>
      <c r="L192" s="38"/>
      <c r="M192" s="38"/>
      <c r="N192" s="38"/>
      <c r="O192" s="38"/>
      <c r="P192" s="38"/>
      <c r="Q192" s="38"/>
      <c r="R192" s="38"/>
      <c r="S192" s="38"/>
    </row>
    <row r="193" spans="11:19" x14ac:dyDescent="0.25">
      <c r="K193" s="38"/>
      <c r="L193" s="38"/>
      <c r="M193" s="38"/>
      <c r="N193" s="38"/>
      <c r="O193" s="38"/>
      <c r="P193" s="38"/>
      <c r="Q193" s="38"/>
      <c r="R193" s="38"/>
      <c r="S193" s="38"/>
    </row>
    <row r="194" spans="11:19" x14ac:dyDescent="0.25">
      <c r="K194" s="38"/>
      <c r="L194" s="38"/>
      <c r="M194" s="38"/>
      <c r="N194" s="38"/>
      <c r="O194" s="38"/>
      <c r="P194" s="38"/>
      <c r="Q194" s="38"/>
      <c r="R194" s="38"/>
      <c r="S194" s="38"/>
    </row>
    <row r="195" spans="11:19" x14ac:dyDescent="0.25">
      <c r="K195" s="38"/>
      <c r="L195" s="38"/>
      <c r="M195" s="38"/>
      <c r="N195" s="38"/>
      <c r="O195" s="38"/>
      <c r="P195" s="38"/>
      <c r="Q195" s="38"/>
      <c r="R195" s="38"/>
      <c r="S195" s="38"/>
    </row>
    <row r="196" spans="11:19" x14ac:dyDescent="0.25">
      <c r="K196" s="38"/>
      <c r="L196" s="38"/>
      <c r="M196" s="38"/>
      <c r="N196" s="38"/>
      <c r="O196" s="38"/>
      <c r="P196" s="38"/>
      <c r="Q196" s="38"/>
      <c r="R196" s="38"/>
      <c r="S196" s="38"/>
    </row>
    <row r="197" spans="11:19" x14ac:dyDescent="0.25">
      <c r="K197" s="38"/>
      <c r="L197" s="38"/>
      <c r="M197" s="38"/>
      <c r="N197" s="38"/>
      <c r="O197" s="38"/>
      <c r="P197" s="38"/>
      <c r="Q197" s="38"/>
      <c r="R197" s="38"/>
      <c r="S197" s="38"/>
    </row>
    <row r="198" spans="11:19" x14ac:dyDescent="0.25">
      <c r="K198" s="38"/>
      <c r="L198" s="38"/>
      <c r="M198" s="38"/>
      <c r="N198" s="38"/>
      <c r="O198" s="38"/>
      <c r="P198" s="38"/>
      <c r="Q198" s="38"/>
      <c r="R198" s="38"/>
      <c r="S198" s="38"/>
    </row>
    <row r="199" spans="11:19" x14ac:dyDescent="0.25">
      <c r="K199" s="38"/>
      <c r="L199" s="38"/>
      <c r="M199" s="38"/>
      <c r="N199" s="38"/>
      <c r="O199" s="38"/>
      <c r="P199" s="38"/>
      <c r="Q199" s="38"/>
      <c r="R199" s="38"/>
      <c r="S199" s="38"/>
    </row>
    <row r="200" spans="11:19" x14ac:dyDescent="0.25">
      <c r="K200" s="38"/>
      <c r="L200" s="38"/>
      <c r="M200" s="38"/>
      <c r="N200" s="38"/>
      <c r="O200" s="38"/>
      <c r="P200" s="38"/>
      <c r="Q200" s="38"/>
      <c r="R200" s="38"/>
      <c r="S200" s="38"/>
    </row>
    <row r="201" spans="11:19" x14ac:dyDescent="0.25">
      <c r="K201" s="38"/>
      <c r="L201" s="38"/>
      <c r="M201" s="38"/>
      <c r="N201" s="38"/>
      <c r="O201" s="38"/>
      <c r="P201" s="38"/>
      <c r="Q201" s="38"/>
      <c r="R201" s="38"/>
      <c r="S201" s="38"/>
    </row>
    <row r="202" spans="11:19" x14ac:dyDescent="0.25">
      <c r="K202" s="38"/>
      <c r="L202" s="38"/>
      <c r="M202" s="38"/>
      <c r="N202" s="38"/>
      <c r="O202" s="38"/>
      <c r="P202" s="38"/>
      <c r="Q202" s="38"/>
      <c r="R202" s="38"/>
      <c r="S202" s="38"/>
    </row>
    <row r="203" spans="11:19" x14ac:dyDescent="0.25">
      <c r="K203" s="38"/>
      <c r="L203" s="38"/>
      <c r="M203" s="38"/>
      <c r="N203" s="38"/>
      <c r="O203" s="38"/>
      <c r="P203" s="38"/>
      <c r="Q203" s="38"/>
      <c r="R203" s="38"/>
      <c r="S203" s="38"/>
    </row>
    <row r="204" spans="11:19" x14ac:dyDescent="0.25">
      <c r="K204" s="38"/>
      <c r="L204" s="38"/>
      <c r="M204" s="38"/>
      <c r="N204" s="38"/>
      <c r="O204" s="38"/>
      <c r="P204" s="38"/>
      <c r="Q204" s="38"/>
      <c r="R204" s="38"/>
      <c r="S204" s="38"/>
    </row>
    <row r="205" spans="11:19" x14ac:dyDescent="0.25">
      <c r="K205" s="38"/>
      <c r="L205" s="38"/>
      <c r="M205" s="38"/>
      <c r="N205" s="38"/>
      <c r="O205" s="38"/>
      <c r="P205" s="38"/>
      <c r="Q205" s="38"/>
      <c r="R205" s="38"/>
      <c r="S205" s="38"/>
    </row>
    <row r="206" spans="11:19" x14ac:dyDescent="0.25">
      <c r="K206" s="38"/>
      <c r="L206" s="38"/>
      <c r="M206" s="38"/>
      <c r="N206" s="38"/>
      <c r="O206" s="38"/>
      <c r="P206" s="38"/>
      <c r="Q206" s="38"/>
      <c r="R206" s="38"/>
      <c r="S206" s="38"/>
    </row>
    <row r="207" spans="11:19" x14ac:dyDescent="0.25">
      <c r="K207" s="38"/>
      <c r="L207" s="38"/>
      <c r="M207" s="38"/>
      <c r="N207" s="38"/>
      <c r="O207" s="38"/>
      <c r="P207" s="38"/>
      <c r="Q207" s="38"/>
      <c r="R207" s="38"/>
      <c r="S207" s="38"/>
    </row>
    <row r="208" spans="11:19" x14ac:dyDescent="0.25">
      <c r="K208" s="38"/>
      <c r="L208" s="38"/>
      <c r="M208" s="38"/>
      <c r="N208" s="38"/>
      <c r="O208" s="38"/>
      <c r="P208" s="38"/>
      <c r="Q208" s="38"/>
      <c r="R208" s="38"/>
      <c r="S208" s="38"/>
    </row>
    <row r="209" spans="11:19" x14ac:dyDescent="0.25">
      <c r="K209" s="38"/>
      <c r="L209" s="38"/>
      <c r="M209" s="38"/>
      <c r="N209" s="38"/>
      <c r="O209" s="38"/>
      <c r="P209" s="38"/>
      <c r="Q209" s="38"/>
      <c r="R209" s="38"/>
      <c r="S209" s="38"/>
    </row>
    <row r="210" spans="11:19" x14ac:dyDescent="0.25">
      <c r="K210" s="38"/>
      <c r="L210" s="38"/>
      <c r="M210" s="38"/>
      <c r="N210" s="38"/>
      <c r="O210" s="38"/>
      <c r="P210" s="38"/>
      <c r="Q210" s="38"/>
      <c r="R210" s="38"/>
      <c r="S210" s="38"/>
    </row>
    <row r="211" spans="11:19" x14ac:dyDescent="0.25">
      <c r="K211" s="38"/>
      <c r="L211" s="38"/>
      <c r="M211" s="38"/>
      <c r="N211" s="38"/>
      <c r="O211" s="38"/>
      <c r="P211" s="38"/>
      <c r="Q211" s="38"/>
      <c r="R211" s="38"/>
      <c r="S211" s="38"/>
    </row>
    <row r="212" spans="11:19" x14ac:dyDescent="0.25">
      <c r="K212" s="38"/>
      <c r="L212" s="38"/>
      <c r="M212" s="38"/>
      <c r="N212" s="38"/>
      <c r="O212" s="38"/>
      <c r="P212" s="38"/>
      <c r="Q212" s="38"/>
      <c r="R212" s="38"/>
      <c r="S212" s="38"/>
    </row>
    <row r="213" spans="11:19" x14ac:dyDescent="0.25">
      <c r="K213" s="38"/>
      <c r="L213" s="38"/>
      <c r="M213" s="38"/>
      <c r="N213" s="38"/>
      <c r="O213" s="38"/>
      <c r="P213" s="38"/>
      <c r="Q213" s="38"/>
      <c r="R213" s="38"/>
      <c r="S213" s="38"/>
    </row>
    <row r="214" spans="11:19" x14ac:dyDescent="0.25">
      <c r="K214" s="38"/>
      <c r="L214" s="38"/>
      <c r="M214" s="38"/>
      <c r="N214" s="38"/>
      <c r="O214" s="38"/>
      <c r="P214" s="38"/>
      <c r="Q214" s="38"/>
      <c r="R214" s="38"/>
      <c r="S214" s="38"/>
    </row>
    <row r="215" spans="11:19" x14ac:dyDescent="0.25">
      <c r="K215" s="38"/>
      <c r="L215" s="38"/>
      <c r="M215" s="38"/>
      <c r="N215" s="38"/>
      <c r="O215" s="38"/>
      <c r="P215" s="38"/>
      <c r="Q215" s="38"/>
      <c r="R215" s="38"/>
      <c r="S215" s="38"/>
    </row>
    <row r="216" spans="11:19" x14ac:dyDescent="0.25">
      <c r="K216" s="38"/>
      <c r="L216" s="38"/>
      <c r="M216" s="38"/>
      <c r="N216" s="38"/>
      <c r="O216" s="38"/>
      <c r="P216" s="38"/>
      <c r="Q216" s="38"/>
      <c r="R216" s="38"/>
      <c r="S216" s="38"/>
    </row>
    <row r="217" spans="11:19" x14ac:dyDescent="0.25">
      <c r="K217" s="38"/>
      <c r="L217" s="38"/>
      <c r="M217" s="38"/>
      <c r="N217" s="38"/>
      <c r="O217" s="38"/>
      <c r="P217" s="38"/>
      <c r="Q217" s="38"/>
      <c r="R217" s="38"/>
      <c r="S217" s="38"/>
    </row>
    <row r="218" spans="11:19" x14ac:dyDescent="0.25">
      <c r="K218" s="38"/>
      <c r="L218" s="38"/>
      <c r="M218" s="38"/>
      <c r="N218" s="38"/>
      <c r="O218" s="38"/>
      <c r="P218" s="38"/>
      <c r="Q218" s="38"/>
      <c r="R218" s="38"/>
      <c r="S218" s="38"/>
    </row>
    <row r="219" spans="11:19" x14ac:dyDescent="0.25">
      <c r="K219" s="38"/>
      <c r="L219" s="38"/>
      <c r="M219" s="38"/>
      <c r="N219" s="38"/>
      <c r="O219" s="38"/>
      <c r="P219" s="38"/>
      <c r="Q219" s="38"/>
      <c r="R219" s="38"/>
      <c r="S219" s="38"/>
    </row>
    <row r="220" spans="11:19" x14ac:dyDescent="0.25">
      <c r="K220" s="38"/>
      <c r="L220" s="38"/>
      <c r="M220" s="38"/>
      <c r="N220" s="38"/>
      <c r="O220" s="38"/>
      <c r="P220" s="38"/>
      <c r="Q220" s="38"/>
      <c r="R220" s="38"/>
      <c r="S220" s="38"/>
    </row>
    <row r="221" spans="11:19" x14ac:dyDescent="0.25">
      <c r="K221" s="38"/>
      <c r="L221" s="38"/>
      <c r="M221" s="38"/>
      <c r="N221" s="38"/>
      <c r="O221" s="38"/>
      <c r="P221" s="38"/>
      <c r="Q221" s="38"/>
      <c r="R221" s="38"/>
      <c r="S221" s="38"/>
    </row>
    <row r="222" spans="11:19" x14ac:dyDescent="0.25">
      <c r="K222" s="38"/>
      <c r="L222" s="38"/>
      <c r="M222" s="38"/>
      <c r="N222" s="38"/>
      <c r="O222" s="38"/>
      <c r="P222" s="38"/>
      <c r="Q222" s="38"/>
      <c r="R222" s="38"/>
      <c r="S222" s="38"/>
    </row>
    <row r="223" spans="11:19" x14ac:dyDescent="0.25">
      <c r="K223" s="38"/>
      <c r="L223" s="38"/>
      <c r="M223" s="38"/>
      <c r="N223" s="38"/>
      <c r="O223" s="38"/>
      <c r="P223" s="38"/>
      <c r="Q223" s="38"/>
      <c r="R223" s="38"/>
      <c r="S223" s="38"/>
    </row>
    <row r="224" spans="11:19" x14ac:dyDescent="0.25">
      <c r="K224" s="38"/>
      <c r="L224" s="38"/>
      <c r="M224" s="38"/>
      <c r="N224" s="38"/>
      <c r="O224" s="38"/>
      <c r="P224" s="38"/>
      <c r="Q224" s="38"/>
      <c r="R224" s="38"/>
      <c r="S224" s="38"/>
    </row>
    <row r="225" spans="11:19" x14ac:dyDescent="0.25">
      <c r="K225" s="38"/>
      <c r="L225" s="38"/>
      <c r="M225" s="38"/>
      <c r="N225" s="38"/>
      <c r="O225" s="38"/>
      <c r="P225" s="38"/>
      <c r="Q225" s="38"/>
      <c r="R225" s="38"/>
      <c r="S225" s="38"/>
    </row>
    <row r="226" spans="11:19" x14ac:dyDescent="0.25">
      <c r="K226" s="38"/>
      <c r="L226" s="38"/>
      <c r="M226" s="38"/>
      <c r="N226" s="38"/>
      <c r="O226" s="38"/>
      <c r="P226" s="38"/>
      <c r="Q226" s="38"/>
      <c r="R226" s="38"/>
      <c r="S226" s="38"/>
    </row>
    <row r="227" spans="11:19" x14ac:dyDescent="0.25">
      <c r="K227" s="38"/>
      <c r="L227" s="38"/>
      <c r="M227" s="38"/>
      <c r="N227" s="38"/>
      <c r="O227" s="38"/>
      <c r="P227" s="38"/>
      <c r="Q227" s="38"/>
      <c r="R227" s="38"/>
      <c r="S227" s="38"/>
    </row>
    <row r="228" spans="11:19" x14ac:dyDescent="0.25">
      <c r="K228" s="38"/>
      <c r="L228" s="38"/>
      <c r="M228" s="38"/>
      <c r="N228" s="38"/>
      <c r="O228" s="38"/>
      <c r="P228" s="38"/>
      <c r="Q228" s="38"/>
      <c r="R228" s="38"/>
      <c r="S228" s="38"/>
    </row>
    <row r="229" spans="11:19" x14ac:dyDescent="0.25">
      <c r="K229" s="38"/>
      <c r="L229" s="38"/>
      <c r="M229" s="38"/>
      <c r="N229" s="38"/>
      <c r="O229" s="38"/>
      <c r="P229" s="38"/>
      <c r="Q229" s="38"/>
      <c r="R229" s="38"/>
      <c r="S229" s="38"/>
    </row>
    <row r="230" spans="11:19" x14ac:dyDescent="0.25">
      <c r="K230" s="38"/>
      <c r="L230" s="38"/>
      <c r="M230" s="38"/>
      <c r="N230" s="38"/>
      <c r="O230" s="38"/>
      <c r="P230" s="38"/>
      <c r="Q230" s="38"/>
      <c r="R230" s="38"/>
      <c r="S230" s="38"/>
    </row>
    <row r="231" spans="11:19" x14ac:dyDescent="0.25">
      <c r="K231" s="38"/>
      <c r="L231" s="38"/>
      <c r="M231" s="38"/>
      <c r="N231" s="38"/>
      <c r="O231" s="38"/>
      <c r="P231" s="38"/>
      <c r="Q231" s="38"/>
      <c r="R231" s="38"/>
      <c r="S231" s="38"/>
    </row>
    <row r="232" spans="11:19" x14ac:dyDescent="0.25">
      <c r="K232" s="38"/>
      <c r="L232" s="38"/>
      <c r="M232" s="38"/>
      <c r="N232" s="38"/>
      <c r="O232" s="38"/>
      <c r="P232" s="38"/>
      <c r="Q232" s="38"/>
      <c r="R232" s="38"/>
      <c r="S232" s="38"/>
    </row>
    <row r="233" spans="11:19" x14ac:dyDescent="0.25">
      <c r="K233" s="38"/>
      <c r="L233" s="38"/>
      <c r="M233" s="38"/>
      <c r="N233" s="38"/>
      <c r="O233" s="38"/>
      <c r="P233" s="38"/>
      <c r="Q233" s="38"/>
      <c r="R233" s="38"/>
      <c r="S233" s="38"/>
    </row>
    <row r="234" spans="11:19" x14ac:dyDescent="0.25">
      <c r="K234" s="38"/>
      <c r="L234" s="38"/>
      <c r="M234" s="38"/>
      <c r="N234" s="38"/>
      <c r="O234" s="38"/>
      <c r="P234" s="38"/>
      <c r="Q234" s="38"/>
      <c r="R234" s="38"/>
      <c r="S234" s="38"/>
    </row>
    <row r="235" spans="11:19" x14ac:dyDescent="0.25">
      <c r="K235" s="38"/>
      <c r="L235" s="38"/>
      <c r="M235" s="38"/>
      <c r="N235" s="38"/>
      <c r="O235" s="38"/>
      <c r="P235" s="38"/>
      <c r="Q235" s="38"/>
      <c r="R235" s="38"/>
      <c r="S235" s="38"/>
    </row>
    <row r="236" spans="11:19" x14ac:dyDescent="0.25">
      <c r="K236" s="38"/>
      <c r="L236" s="38"/>
      <c r="M236" s="38"/>
      <c r="N236" s="38"/>
      <c r="O236" s="38"/>
      <c r="P236" s="38"/>
      <c r="Q236" s="38"/>
      <c r="R236" s="38"/>
      <c r="S236" s="38"/>
    </row>
    <row r="237" spans="11:19" x14ac:dyDescent="0.25">
      <c r="K237" s="38"/>
      <c r="L237" s="38"/>
      <c r="M237" s="38"/>
      <c r="N237" s="38"/>
      <c r="O237" s="38"/>
      <c r="P237" s="38"/>
      <c r="Q237" s="38"/>
      <c r="R237" s="38"/>
      <c r="S237" s="38"/>
    </row>
    <row r="238" spans="11:19" x14ac:dyDescent="0.25">
      <c r="K238" s="38"/>
      <c r="L238" s="38"/>
      <c r="M238" s="38"/>
      <c r="N238" s="38"/>
      <c r="O238" s="38"/>
      <c r="P238" s="38"/>
      <c r="Q238" s="38"/>
      <c r="R238" s="38"/>
      <c r="S238" s="38"/>
    </row>
    <row r="239" spans="11:19" x14ac:dyDescent="0.25">
      <c r="K239" s="38"/>
      <c r="L239" s="38"/>
      <c r="M239" s="38"/>
      <c r="N239" s="38"/>
      <c r="O239" s="38"/>
      <c r="P239" s="38"/>
      <c r="Q239" s="38"/>
      <c r="R239" s="38"/>
      <c r="S239" s="38"/>
    </row>
    <row r="240" spans="11:19" x14ac:dyDescent="0.25">
      <c r="K240" s="38"/>
      <c r="L240" s="38"/>
      <c r="M240" s="38"/>
      <c r="N240" s="38"/>
      <c r="O240" s="38"/>
      <c r="P240" s="38"/>
      <c r="Q240" s="38"/>
      <c r="R240" s="38"/>
      <c r="S240" s="38"/>
    </row>
    <row r="241" spans="11:19" x14ac:dyDescent="0.25">
      <c r="K241" s="38"/>
      <c r="L241" s="38"/>
      <c r="M241" s="38"/>
      <c r="N241" s="38"/>
      <c r="O241" s="38"/>
      <c r="P241" s="38"/>
      <c r="Q241" s="38"/>
      <c r="R241" s="38"/>
      <c r="S241" s="38"/>
    </row>
    <row r="242" spans="11:19" x14ac:dyDescent="0.25">
      <c r="K242" s="38"/>
      <c r="L242" s="38"/>
      <c r="M242" s="38"/>
      <c r="N242" s="38"/>
      <c r="O242" s="38"/>
      <c r="P242" s="38"/>
      <c r="Q242" s="38"/>
      <c r="R242" s="38"/>
      <c r="S242" s="38"/>
    </row>
    <row r="243" spans="11:19" x14ac:dyDescent="0.25">
      <c r="K243" s="38"/>
      <c r="L243" s="38"/>
      <c r="M243" s="38"/>
      <c r="N243" s="38"/>
      <c r="O243" s="38"/>
      <c r="P243" s="38"/>
      <c r="Q243" s="38"/>
      <c r="R243" s="38"/>
      <c r="S243" s="38"/>
    </row>
    <row r="244" spans="11:19" x14ac:dyDescent="0.25">
      <c r="K244" s="38"/>
      <c r="L244" s="38"/>
      <c r="M244" s="38"/>
      <c r="N244" s="38"/>
      <c r="O244" s="38"/>
      <c r="P244" s="38"/>
      <c r="Q244" s="38"/>
      <c r="R244" s="38"/>
      <c r="S244" s="38"/>
    </row>
    <row r="245" spans="11:19" x14ac:dyDescent="0.25">
      <c r="K245" s="38"/>
      <c r="L245" s="38"/>
      <c r="M245" s="38"/>
      <c r="N245" s="38"/>
      <c r="O245" s="38"/>
      <c r="P245" s="38"/>
      <c r="Q245" s="38"/>
      <c r="R245" s="38"/>
      <c r="S245" s="38"/>
    </row>
    <row r="246" spans="11:19" x14ac:dyDescent="0.25">
      <c r="K246" s="38"/>
      <c r="L246" s="38"/>
      <c r="M246" s="38"/>
      <c r="N246" s="38"/>
      <c r="O246" s="38"/>
      <c r="P246" s="38"/>
      <c r="Q246" s="38"/>
      <c r="R246" s="38"/>
      <c r="S246" s="38"/>
    </row>
    <row r="247" spans="11:19" x14ac:dyDescent="0.25">
      <c r="K247" s="38"/>
      <c r="L247" s="38"/>
      <c r="M247" s="38"/>
      <c r="N247" s="38"/>
      <c r="O247" s="38"/>
      <c r="P247" s="38"/>
      <c r="Q247" s="38"/>
      <c r="R247" s="38"/>
      <c r="S247" s="38"/>
    </row>
    <row r="248" spans="11:19" x14ac:dyDescent="0.25">
      <c r="K248" s="38"/>
      <c r="L248" s="38"/>
      <c r="M248" s="38"/>
      <c r="N248" s="38"/>
      <c r="O248" s="38"/>
      <c r="P248" s="38"/>
      <c r="Q248" s="38"/>
      <c r="R248" s="38"/>
      <c r="S248" s="38"/>
    </row>
    <row r="249" spans="11:19" x14ac:dyDescent="0.25">
      <c r="K249" s="38"/>
      <c r="L249" s="38"/>
      <c r="M249" s="38"/>
      <c r="N249" s="38"/>
      <c r="O249" s="38"/>
      <c r="P249" s="38"/>
      <c r="Q249" s="38"/>
      <c r="R249" s="38"/>
      <c r="S249" s="38"/>
    </row>
    <row r="250" spans="11:19" x14ac:dyDescent="0.25">
      <c r="K250" s="38"/>
      <c r="L250" s="38"/>
      <c r="M250" s="38"/>
      <c r="N250" s="38"/>
      <c r="O250" s="38"/>
      <c r="P250" s="38"/>
      <c r="Q250" s="38"/>
      <c r="R250" s="38"/>
      <c r="S250" s="38"/>
    </row>
    <row r="251" spans="11:19" x14ac:dyDescent="0.25">
      <c r="K251" s="38"/>
      <c r="L251" s="38"/>
      <c r="M251" s="38"/>
      <c r="N251" s="38"/>
      <c r="O251" s="38"/>
      <c r="P251" s="38"/>
      <c r="Q251" s="38"/>
      <c r="R251" s="38"/>
      <c r="S251" s="38"/>
    </row>
    <row r="252" spans="11:19" x14ac:dyDescent="0.25">
      <c r="K252" s="38"/>
      <c r="L252" s="38"/>
      <c r="M252" s="38"/>
      <c r="N252" s="38"/>
      <c r="O252" s="38"/>
      <c r="P252" s="38"/>
      <c r="Q252" s="38"/>
      <c r="R252" s="38"/>
      <c r="S252" s="38"/>
    </row>
    <row r="253" spans="11:19" x14ac:dyDescent="0.25">
      <c r="K253" s="38"/>
      <c r="L253" s="38"/>
      <c r="M253" s="38"/>
      <c r="N253" s="38"/>
      <c r="O253" s="38"/>
      <c r="P253" s="38"/>
      <c r="Q253" s="38"/>
      <c r="R253" s="38"/>
      <c r="S253" s="38"/>
    </row>
    <row r="254" spans="11:19" x14ac:dyDescent="0.25">
      <c r="K254" s="38"/>
      <c r="L254" s="38"/>
      <c r="M254" s="38"/>
      <c r="N254" s="38"/>
      <c r="O254" s="38"/>
      <c r="P254" s="38"/>
      <c r="Q254" s="38"/>
      <c r="R254" s="38"/>
      <c r="S254" s="38"/>
    </row>
    <row r="255" spans="11:19" x14ac:dyDescent="0.25">
      <c r="K255" s="38"/>
      <c r="L255" s="38"/>
      <c r="M255" s="38"/>
      <c r="N255" s="38"/>
      <c r="O255" s="38"/>
      <c r="P255" s="38"/>
      <c r="Q255" s="38"/>
      <c r="R255" s="38"/>
      <c r="S255" s="38"/>
    </row>
    <row r="256" spans="11:19" x14ac:dyDescent="0.25">
      <c r="K256" s="38"/>
      <c r="L256" s="38"/>
      <c r="M256" s="38"/>
      <c r="N256" s="38"/>
      <c r="O256" s="38"/>
      <c r="P256" s="38"/>
      <c r="Q256" s="38"/>
      <c r="R256" s="38"/>
      <c r="S256" s="38"/>
    </row>
    <row r="257" spans="11:19" x14ac:dyDescent="0.25">
      <c r="K257" s="38"/>
      <c r="L257" s="38"/>
      <c r="M257" s="38"/>
      <c r="N257" s="38"/>
      <c r="O257" s="38"/>
      <c r="P257" s="38"/>
      <c r="Q257" s="38"/>
      <c r="R257" s="38"/>
      <c r="S257" s="38"/>
    </row>
    <row r="258" spans="11:19" x14ac:dyDescent="0.25">
      <c r="K258" s="38"/>
      <c r="L258" s="38"/>
      <c r="M258" s="38"/>
      <c r="N258" s="38"/>
      <c r="O258" s="38"/>
      <c r="P258" s="38"/>
      <c r="Q258" s="38"/>
      <c r="R258" s="38"/>
      <c r="S258" s="38"/>
    </row>
    <row r="259" spans="11:19" x14ac:dyDescent="0.25">
      <c r="K259" s="38"/>
      <c r="L259" s="38"/>
      <c r="M259" s="38"/>
      <c r="N259" s="38"/>
      <c r="O259" s="38"/>
      <c r="P259" s="38"/>
      <c r="Q259" s="38"/>
      <c r="R259" s="38"/>
      <c r="S259" s="38"/>
    </row>
    <row r="260" spans="11:19" x14ac:dyDescent="0.25">
      <c r="K260" s="38"/>
      <c r="L260" s="38"/>
      <c r="M260" s="38"/>
      <c r="N260" s="38"/>
      <c r="O260" s="38"/>
      <c r="P260" s="38"/>
      <c r="Q260" s="38"/>
      <c r="R260" s="38"/>
      <c r="S260" s="38"/>
    </row>
    <row r="261" spans="11:19" x14ac:dyDescent="0.25">
      <c r="K261" s="38"/>
      <c r="L261" s="38"/>
      <c r="M261" s="38"/>
      <c r="N261" s="38"/>
      <c r="O261" s="38"/>
      <c r="P261" s="38"/>
      <c r="Q261" s="38"/>
      <c r="R261" s="38"/>
      <c r="S261" s="38"/>
    </row>
    <row r="262" spans="11:19" x14ac:dyDescent="0.25">
      <c r="K262" s="38"/>
      <c r="L262" s="38"/>
      <c r="M262" s="38"/>
      <c r="N262" s="38"/>
      <c r="O262" s="38"/>
      <c r="P262" s="38"/>
      <c r="Q262" s="38"/>
      <c r="R262" s="38"/>
      <c r="S262" s="38"/>
    </row>
    <row r="263" spans="11:19" x14ac:dyDescent="0.25">
      <c r="K263" s="38"/>
      <c r="L263" s="38"/>
      <c r="M263" s="38"/>
      <c r="N263" s="38"/>
      <c r="O263" s="38"/>
      <c r="P263" s="38"/>
      <c r="Q263" s="38"/>
      <c r="R263" s="38"/>
      <c r="S263" s="38"/>
    </row>
    <row r="264" spans="11:19" x14ac:dyDescent="0.25">
      <c r="K264" s="38"/>
      <c r="L264" s="38"/>
      <c r="M264" s="38"/>
      <c r="N264" s="38"/>
      <c r="O264" s="38"/>
      <c r="P264" s="38"/>
      <c r="Q264" s="38"/>
      <c r="R264" s="38"/>
      <c r="S264" s="38"/>
    </row>
    <row r="265" spans="11:19" x14ac:dyDescent="0.25">
      <c r="K265" s="38"/>
      <c r="L265" s="38"/>
      <c r="M265" s="38"/>
      <c r="N265" s="38"/>
      <c r="O265" s="38"/>
      <c r="P265" s="38"/>
      <c r="Q265" s="38"/>
      <c r="R265" s="38"/>
      <c r="S265" s="38"/>
    </row>
    <row r="266" spans="11:19" x14ac:dyDescent="0.25">
      <c r="K266" s="38"/>
      <c r="L266" s="38"/>
      <c r="M266" s="38"/>
      <c r="N266" s="38"/>
      <c r="O266" s="38"/>
      <c r="P266" s="38"/>
      <c r="Q266" s="38"/>
      <c r="R266" s="38"/>
      <c r="S266" s="38"/>
    </row>
    <row r="267" spans="11:19" x14ac:dyDescent="0.25">
      <c r="K267" s="38"/>
      <c r="L267" s="38"/>
      <c r="M267" s="38"/>
      <c r="N267" s="38"/>
      <c r="O267" s="38"/>
      <c r="P267" s="38"/>
      <c r="Q267" s="38"/>
      <c r="R267" s="38"/>
      <c r="S267" s="38"/>
    </row>
    <row r="268" spans="11:19" x14ac:dyDescent="0.25">
      <c r="K268" s="38"/>
      <c r="L268" s="38"/>
      <c r="M268" s="38"/>
      <c r="N268" s="38"/>
      <c r="O268" s="38"/>
      <c r="P268" s="38"/>
      <c r="Q268" s="38"/>
      <c r="R268" s="38"/>
      <c r="S268" s="38"/>
    </row>
    <row r="269" spans="11:19" x14ac:dyDescent="0.25">
      <c r="K269" s="38"/>
      <c r="L269" s="38"/>
      <c r="M269" s="38"/>
      <c r="N269" s="38"/>
      <c r="O269" s="38"/>
      <c r="P269" s="38"/>
      <c r="Q269" s="38"/>
      <c r="R269" s="38"/>
      <c r="S269" s="38"/>
    </row>
    <row r="270" spans="11:19" x14ac:dyDescent="0.25">
      <c r="K270" s="38"/>
      <c r="L270" s="38"/>
      <c r="M270" s="38"/>
      <c r="N270" s="38"/>
      <c r="O270" s="38"/>
      <c r="P270" s="38"/>
      <c r="Q270" s="38"/>
      <c r="R270" s="38"/>
      <c r="S270" s="38"/>
    </row>
    <row r="271" spans="11:19" x14ac:dyDescent="0.25">
      <c r="K271" s="38"/>
      <c r="L271" s="38"/>
      <c r="M271" s="38"/>
      <c r="N271" s="38"/>
      <c r="O271" s="38"/>
      <c r="P271" s="38"/>
      <c r="Q271" s="38"/>
      <c r="R271" s="38"/>
      <c r="S271" s="38"/>
    </row>
    <row r="272" spans="11:19" x14ac:dyDescent="0.25">
      <c r="K272" s="38"/>
      <c r="L272" s="38"/>
      <c r="M272" s="38"/>
      <c r="N272" s="38"/>
      <c r="O272" s="38"/>
      <c r="P272" s="38"/>
      <c r="Q272" s="38"/>
      <c r="R272" s="38"/>
      <c r="S272" s="38"/>
    </row>
    <row r="273" spans="11:19" x14ac:dyDescent="0.25">
      <c r="K273" s="38"/>
      <c r="L273" s="38"/>
      <c r="M273" s="38"/>
      <c r="N273" s="38"/>
      <c r="O273" s="38"/>
      <c r="P273" s="38"/>
      <c r="Q273" s="38"/>
      <c r="R273" s="38"/>
      <c r="S273" s="38"/>
    </row>
    <row r="274" spans="11:19" x14ac:dyDescent="0.25">
      <c r="K274" s="38"/>
      <c r="L274" s="38"/>
      <c r="M274" s="38"/>
      <c r="N274" s="38"/>
      <c r="O274" s="38"/>
      <c r="P274" s="38"/>
      <c r="Q274" s="38"/>
      <c r="R274" s="38"/>
      <c r="S274" s="38"/>
    </row>
    <row r="275" spans="11:19" x14ac:dyDescent="0.25">
      <c r="K275" s="38"/>
      <c r="L275" s="38"/>
      <c r="M275" s="38"/>
      <c r="N275" s="38"/>
      <c r="O275" s="38"/>
      <c r="P275" s="38"/>
      <c r="Q275" s="38"/>
      <c r="R275" s="38"/>
      <c r="S275" s="38"/>
    </row>
    <row r="276" spans="11:19" x14ac:dyDescent="0.25">
      <c r="K276" s="38"/>
      <c r="L276" s="38"/>
      <c r="M276" s="38"/>
      <c r="N276" s="38"/>
      <c r="O276" s="38"/>
      <c r="P276" s="38"/>
      <c r="Q276" s="38"/>
      <c r="R276" s="38"/>
      <c r="S276" s="38"/>
    </row>
    <row r="277" spans="11:19" x14ac:dyDescent="0.25">
      <c r="K277" s="38"/>
      <c r="L277" s="38"/>
      <c r="M277" s="38"/>
      <c r="N277" s="38"/>
      <c r="O277" s="38"/>
      <c r="P277" s="38"/>
      <c r="Q277" s="38"/>
      <c r="R277" s="38"/>
      <c r="S277" s="38"/>
    </row>
    <row r="278" spans="11:19" x14ac:dyDescent="0.25">
      <c r="K278" s="38"/>
      <c r="L278" s="38"/>
      <c r="M278" s="38"/>
      <c r="N278" s="38"/>
      <c r="O278" s="38"/>
      <c r="P278" s="38"/>
      <c r="Q278" s="38"/>
      <c r="R278" s="38"/>
      <c r="S278" s="38"/>
    </row>
    <row r="279" spans="11:19" x14ac:dyDescent="0.25">
      <c r="K279" s="38"/>
      <c r="L279" s="38"/>
      <c r="M279" s="38"/>
      <c r="N279" s="38"/>
      <c r="O279" s="38"/>
      <c r="P279" s="38"/>
      <c r="Q279" s="38"/>
      <c r="R279" s="38"/>
      <c r="S279" s="38"/>
    </row>
    <row r="280" spans="11:19" x14ac:dyDescent="0.25">
      <c r="K280" s="38"/>
      <c r="L280" s="38"/>
      <c r="M280" s="38"/>
      <c r="N280" s="38"/>
      <c r="O280" s="38"/>
      <c r="P280" s="38"/>
      <c r="Q280" s="38"/>
      <c r="R280" s="38"/>
      <c r="S280" s="38"/>
    </row>
    <row r="281" spans="11:19" x14ac:dyDescent="0.25">
      <c r="K281" s="38"/>
      <c r="L281" s="38"/>
      <c r="M281" s="38"/>
      <c r="N281" s="38"/>
      <c r="O281" s="38"/>
      <c r="P281" s="38"/>
      <c r="Q281" s="38"/>
      <c r="R281" s="38"/>
      <c r="S281" s="38"/>
    </row>
    <row r="282" spans="11:19" x14ac:dyDescent="0.25">
      <c r="K282" s="38"/>
      <c r="L282" s="38"/>
      <c r="M282" s="38"/>
      <c r="N282" s="38"/>
      <c r="O282" s="38"/>
      <c r="P282" s="38"/>
      <c r="Q282" s="38"/>
      <c r="R282" s="38"/>
      <c r="S282" s="38"/>
    </row>
    <row r="283" spans="11:19" x14ac:dyDescent="0.25">
      <c r="K283" s="38"/>
      <c r="L283" s="38"/>
      <c r="M283" s="38"/>
      <c r="N283" s="38"/>
      <c r="O283" s="38"/>
      <c r="P283" s="38"/>
      <c r="Q283" s="38"/>
      <c r="R283" s="38"/>
      <c r="S283" s="38"/>
    </row>
    <row r="284" spans="11:19" x14ac:dyDescent="0.25">
      <c r="K284" s="38"/>
      <c r="L284" s="38"/>
      <c r="M284" s="38"/>
      <c r="N284" s="38"/>
      <c r="O284" s="38"/>
      <c r="P284" s="38"/>
      <c r="Q284" s="38"/>
      <c r="R284" s="38"/>
      <c r="S284" s="38"/>
    </row>
    <row r="285" spans="11:19" x14ac:dyDescent="0.25">
      <c r="K285" s="38"/>
      <c r="L285" s="38"/>
      <c r="M285" s="38"/>
      <c r="N285" s="38"/>
      <c r="O285" s="38"/>
      <c r="P285" s="38"/>
      <c r="Q285" s="38"/>
      <c r="R285" s="38"/>
      <c r="S285" s="38"/>
    </row>
    <row r="286" spans="11:19" x14ac:dyDescent="0.25">
      <c r="K286" s="38"/>
      <c r="L286" s="38"/>
      <c r="M286" s="38"/>
      <c r="N286" s="38"/>
      <c r="O286" s="38"/>
      <c r="P286" s="38"/>
      <c r="Q286" s="38"/>
      <c r="R286" s="38"/>
      <c r="S286" s="38"/>
    </row>
    <row r="287" spans="11:19" x14ac:dyDescent="0.25">
      <c r="K287" s="38"/>
      <c r="L287" s="38"/>
      <c r="M287" s="38"/>
      <c r="N287" s="38"/>
      <c r="O287" s="38"/>
      <c r="P287" s="38"/>
      <c r="Q287" s="38"/>
      <c r="R287" s="38"/>
      <c r="S287" s="38"/>
    </row>
    <row r="288" spans="11:19" x14ac:dyDescent="0.25">
      <c r="K288" s="38"/>
      <c r="L288" s="38"/>
      <c r="M288" s="38"/>
      <c r="N288" s="38"/>
      <c r="O288" s="38"/>
      <c r="P288" s="38"/>
      <c r="Q288" s="38"/>
      <c r="R288" s="38"/>
      <c r="S288" s="38"/>
    </row>
    <row r="289" spans="11:19" x14ac:dyDescent="0.25">
      <c r="K289" s="38"/>
      <c r="L289" s="38"/>
      <c r="M289" s="38"/>
      <c r="N289" s="38"/>
      <c r="O289" s="38"/>
      <c r="P289" s="38"/>
      <c r="Q289" s="38"/>
      <c r="R289" s="38"/>
      <c r="S289" s="38"/>
    </row>
    <row r="290" spans="11:19" x14ac:dyDescent="0.25">
      <c r="K290" s="38"/>
      <c r="L290" s="38"/>
      <c r="M290" s="38"/>
      <c r="N290" s="38"/>
      <c r="O290" s="38"/>
      <c r="P290" s="38"/>
      <c r="Q290" s="38"/>
      <c r="R290" s="38"/>
      <c r="S290" s="38"/>
    </row>
    <row r="291" spans="11:19" x14ac:dyDescent="0.25">
      <c r="K291" s="38"/>
      <c r="L291" s="38"/>
      <c r="M291" s="38"/>
      <c r="N291" s="38"/>
      <c r="O291" s="38"/>
      <c r="P291" s="38"/>
      <c r="Q291" s="38"/>
      <c r="R291" s="38"/>
      <c r="S291" s="38"/>
    </row>
    <row r="292" spans="11:19" x14ac:dyDescent="0.25">
      <c r="K292" s="38"/>
      <c r="L292" s="38"/>
      <c r="M292" s="38"/>
      <c r="N292" s="38"/>
      <c r="O292" s="38"/>
      <c r="P292" s="38"/>
      <c r="Q292" s="38"/>
      <c r="R292" s="38"/>
      <c r="S292" s="38"/>
    </row>
    <row r="293" spans="11:19" x14ac:dyDescent="0.25">
      <c r="K293" s="38"/>
      <c r="L293" s="38"/>
      <c r="M293" s="38"/>
      <c r="N293" s="38"/>
      <c r="O293" s="38"/>
      <c r="P293" s="38"/>
      <c r="Q293" s="38"/>
      <c r="R293" s="38"/>
      <c r="S293" s="38"/>
    </row>
    <row r="294" spans="11:19" x14ac:dyDescent="0.25">
      <c r="K294" s="38"/>
      <c r="L294" s="38"/>
      <c r="M294" s="38"/>
      <c r="N294" s="38"/>
      <c r="O294" s="38"/>
      <c r="P294" s="38"/>
      <c r="Q294" s="38"/>
      <c r="R294" s="38"/>
      <c r="S294" s="38"/>
    </row>
    <row r="295" spans="11:19" x14ac:dyDescent="0.25">
      <c r="K295" s="38"/>
      <c r="L295" s="38"/>
      <c r="M295" s="38"/>
      <c r="N295" s="38"/>
      <c r="O295" s="38"/>
      <c r="P295" s="38"/>
      <c r="Q295" s="38"/>
      <c r="R295" s="38"/>
      <c r="S295" s="38"/>
    </row>
    <row r="296" spans="11:19" x14ac:dyDescent="0.25">
      <c r="K296" s="38"/>
      <c r="L296" s="38"/>
      <c r="M296" s="38"/>
      <c r="N296" s="38"/>
      <c r="O296" s="38"/>
      <c r="P296" s="38"/>
      <c r="Q296" s="38"/>
      <c r="R296" s="38"/>
      <c r="S296" s="38"/>
    </row>
    <row r="297" spans="11:19" x14ac:dyDescent="0.25">
      <c r="K297" s="38"/>
      <c r="L297" s="38"/>
      <c r="M297" s="38"/>
      <c r="N297" s="38"/>
      <c r="O297" s="38"/>
      <c r="P297" s="38"/>
      <c r="Q297" s="38"/>
      <c r="R297" s="38"/>
      <c r="S297" s="38"/>
    </row>
    <row r="298" spans="11:19" x14ac:dyDescent="0.25">
      <c r="K298" s="38"/>
      <c r="L298" s="38"/>
      <c r="M298" s="38"/>
      <c r="N298" s="38"/>
      <c r="O298" s="38"/>
      <c r="P298" s="38"/>
      <c r="Q298" s="38"/>
      <c r="R298" s="38"/>
      <c r="S298" s="38"/>
    </row>
    <row r="299" spans="11:19" x14ac:dyDescent="0.25">
      <c r="K299" s="38"/>
      <c r="L299" s="38"/>
      <c r="M299" s="38"/>
      <c r="N299" s="38"/>
      <c r="O299" s="38"/>
      <c r="P299" s="38"/>
      <c r="Q299" s="38"/>
      <c r="R299" s="38"/>
      <c r="S299" s="38"/>
    </row>
    <row r="300" spans="11:19" x14ac:dyDescent="0.25">
      <c r="K300" s="38"/>
      <c r="L300" s="38"/>
      <c r="M300" s="38"/>
      <c r="N300" s="38"/>
      <c r="O300" s="38"/>
      <c r="P300" s="38"/>
      <c r="Q300" s="38"/>
      <c r="R300" s="38"/>
      <c r="S300" s="38"/>
    </row>
    <row r="301" spans="11:19" x14ac:dyDescent="0.25">
      <c r="K301" s="38"/>
      <c r="L301" s="38"/>
      <c r="M301" s="38"/>
      <c r="N301" s="38"/>
      <c r="O301" s="38"/>
      <c r="P301" s="38"/>
      <c r="Q301" s="38"/>
      <c r="R301" s="38"/>
      <c r="S301" s="38"/>
    </row>
    <row r="302" spans="11:19" x14ac:dyDescent="0.25">
      <c r="K302" s="38"/>
      <c r="L302" s="38"/>
      <c r="M302" s="38"/>
      <c r="N302" s="38"/>
      <c r="O302" s="38"/>
      <c r="P302" s="38"/>
      <c r="Q302" s="38"/>
      <c r="R302" s="38"/>
      <c r="S302" s="38"/>
    </row>
    <row r="303" spans="11:19" x14ac:dyDescent="0.25">
      <c r="K303" s="38"/>
      <c r="L303" s="38"/>
      <c r="M303" s="38"/>
      <c r="N303" s="38"/>
      <c r="O303" s="38"/>
      <c r="P303" s="38"/>
      <c r="Q303" s="38"/>
      <c r="R303" s="38"/>
      <c r="S303" s="38"/>
    </row>
    <row r="304" spans="11:19" x14ac:dyDescent="0.25">
      <c r="K304" s="38"/>
      <c r="L304" s="38"/>
      <c r="M304" s="38"/>
      <c r="N304" s="38"/>
      <c r="O304" s="38"/>
      <c r="P304" s="38"/>
      <c r="Q304" s="38"/>
      <c r="R304" s="38"/>
      <c r="S304" s="38"/>
    </row>
    <row r="305" spans="11:19" x14ac:dyDescent="0.25">
      <c r="K305" s="38"/>
      <c r="L305" s="38"/>
      <c r="M305" s="38"/>
      <c r="N305" s="38"/>
      <c r="O305" s="38"/>
      <c r="P305" s="38"/>
      <c r="Q305" s="38"/>
      <c r="R305" s="38"/>
      <c r="S305" s="38"/>
    </row>
    <row r="306" spans="11:19" x14ac:dyDescent="0.25">
      <c r="K306" s="38"/>
      <c r="L306" s="38"/>
      <c r="M306" s="38"/>
      <c r="N306" s="38"/>
      <c r="O306" s="38"/>
      <c r="P306" s="38"/>
      <c r="Q306" s="38"/>
      <c r="R306" s="38"/>
      <c r="S306" s="38"/>
    </row>
    <row r="307" spans="11:19" x14ac:dyDescent="0.25">
      <c r="K307" s="38"/>
      <c r="L307" s="38"/>
      <c r="M307" s="38"/>
      <c r="N307" s="38"/>
      <c r="O307" s="38"/>
      <c r="P307" s="38"/>
      <c r="Q307" s="38"/>
      <c r="R307" s="38"/>
      <c r="S307" s="38"/>
    </row>
    <row r="308" spans="11:19" x14ac:dyDescent="0.25">
      <c r="K308" s="38"/>
      <c r="L308" s="38"/>
      <c r="M308" s="38"/>
      <c r="N308" s="38"/>
      <c r="O308" s="38"/>
      <c r="P308" s="38"/>
      <c r="Q308" s="38"/>
      <c r="R308" s="38"/>
      <c r="S308" s="38"/>
    </row>
    <row r="309" spans="11:19" x14ac:dyDescent="0.25">
      <c r="K309" s="38"/>
      <c r="L309" s="38"/>
      <c r="M309" s="38"/>
      <c r="N309" s="38"/>
      <c r="O309" s="38"/>
      <c r="P309" s="38"/>
      <c r="Q309" s="38"/>
      <c r="R309" s="38"/>
      <c r="S309" s="38"/>
    </row>
    <row r="310" spans="11:19" x14ac:dyDescent="0.25">
      <c r="K310" s="38"/>
      <c r="L310" s="38"/>
      <c r="M310" s="38"/>
      <c r="N310" s="38"/>
      <c r="O310" s="38"/>
      <c r="P310" s="38"/>
      <c r="Q310" s="38"/>
      <c r="R310" s="38"/>
      <c r="S310" s="38"/>
    </row>
    <row r="311" spans="11:19" x14ac:dyDescent="0.25">
      <c r="K311" s="38"/>
      <c r="L311" s="38"/>
      <c r="M311" s="38"/>
      <c r="N311" s="38"/>
      <c r="O311" s="38"/>
      <c r="P311" s="38"/>
      <c r="Q311" s="38"/>
      <c r="R311" s="38"/>
      <c r="S311" s="38"/>
    </row>
    <row r="312" spans="11:19" x14ac:dyDescent="0.25">
      <c r="K312" s="38"/>
      <c r="L312" s="38"/>
      <c r="M312" s="38"/>
      <c r="N312" s="38"/>
      <c r="O312" s="38"/>
      <c r="P312" s="38"/>
      <c r="Q312" s="38"/>
      <c r="R312" s="38"/>
      <c r="S312" s="38"/>
    </row>
    <row r="313" spans="11:19" x14ac:dyDescent="0.25">
      <c r="K313" s="38"/>
      <c r="L313" s="38"/>
      <c r="M313" s="38"/>
      <c r="N313" s="38"/>
      <c r="O313" s="38"/>
      <c r="P313" s="38"/>
      <c r="Q313" s="38"/>
      <c r="R313" s="38"/>
      <c r="S313" s="38"/>
    </row>
    <row r="314" spans="11:19" x14ac:dyDescent="0.25">
      <c r="K314" s="38"/>
      <c r="L314" s="38"/>
      <c r="M314" s="38"/>
      <c r="N314" s="38"/>
      <c r="O314" s="38"/>
      <c r="P314" s="38"/>
      <c r="Q314" s="38"/>
      <c r="R314" s="38"/>
      <c r="S314" s="38"/>
    </row>
    <row r="315" spans="11:19" x14ac:dyDescent="0.25">
      <c r="K315" s="38"/>
      <c r="L315" s="38"/>
      <c r="M315" s="38"/>
      <c r="N315" s="38"/>
      <c r="O315" s="38"/>
      <c r="P315" s="38"/>
      <c r="Q315" s="38"/>
      <c r="R315" s="38"/>
      <c r="S315" s="38"/>
    </row>
    <row r="316" spans="11:19" x14ac:dyDescent="0.25">
      <c r="K316" s="38"/>
      <c r="L316" s="38"/>
      <c r="M316" s="38"/>
      <c r="N316" s="38"/>
      <c r="O316" s="38"/>
      <c r="P316" s="38"/>
      <c r="Q316" s="38"/>
      <c r="R316" s="38"/>
      <c r="S316" s="38"/>
    </row>
    <row r="317" spans="11:19" x14ac:dyDescent="0.25">
      <c r="K317" s="38"/>
      <c r="L317" s="38"/>
      <c r="M317" s="38"/>
      <c r="N317" s="38"/>
      <c r="O317" s="38"/>
      <c r="P317" s="38"/>
      <c r="Q317" s="38"/>
      <c r="R317" s="38"/>
      <c r="S317" s="38"/>
    </row>
    <row r="318" spans="11:19" x14ac:dyDescent="0.25">
      <c r="K318" s="38"/>
      <c r="L318" s="38"/>
      <c r="M318" s="38"/>
      <c r="N318" s="38"/>
      <c r="O318" s="38"/>
      <c r="P318" s="38"/>
      <c r="Q318" s="38"/>
      <c r="R318" s="38"/>
      <c r="S318" s="38"/>
    </row>
    <row r="319" spans="11:19" x14ac:dyDescent="0.25">
      <c r="K319" s="38"/>
      <c r="L319" s="38"/>
      <c r="M319" s="38"/>
      <c r="N319" s="38"/>
      <c r="O319" s="38"/>
      <c r="P319" s="38"/>
      <c r="Q319" s="38"/>
      <c r="R319" s="38"/>
      <c r="S319" s="38"/>
    </row>
    <row r="320" spans="11:19" x14ac:dyDescent="0.25">
      <c r="K320" s="38"/>
      <c r="L320" s="38"/>
      <c r="M320" s="38"/>
      <c r="N320" s="38"/>
      <c r="O320" s="38"/>
      <c r="P320" s="38"/>
      <c r="Q320" s="38"/>
      <c r="R320" s="38"/>
      <c r="S320" s="38"/>
    </row>
    <row r="321" spans="11:19" x14ac:dyDescent="0.25">
      <c r="K321" s="38"/>
      <c r="L321" s="38"/>
      <c r="M321" s="38"/>
      <c r="N321" s="38"/>
      <c r="O321" s="38"/>
      <c r="P321" s="38"/>
      <c r="Q321" s="38"/>
      <c r="R321" s="38"/>
      <c r="S321" s="38"/>
    </row>
    <row r="322" spans="11:19" x14ac:dyDescent="0.25">
      <c r="K322" s="38"/>
      <c r="L322" s="38"/>
      <c r="M322" s="38"/>
      <c r="N322" s="38"/>
      <c r="O322" s="38"/>
      <c r="P322" s="38"/>
      <c r="Q322" s="38"/>
      <c r="R322" s="38"/>
      <c r="S322" s="38"/>
    </row>
    <row r="323" spans="11:19" x14ac:dyDescent="0.25">
      <c r="K323" s="38"/>
      <c r="L323" s="38"/>
      <c r="M323" s="38"/>
      <c r="N323" s="38"/>
      <c r="O323" s="38"/>
      <c r="P323" s="38"/>
      <c r="Q323" s="38"/>
      <c r="R323" s="38"/>
      <c r="S323" s="38"/>
    </row>
    <row r="324" spans="11:19" x14ac:dyDescent="0.25">
      <c r="K324" s="38"/>
      <c r="L324" s="38"/>
      <c r="M324" s="38"/>
      <c r="N324" s="38"/>
      <c r="O324" s="38"/>
      <c r="P324" s="38"/>
      <c r="Q324" s="38"/>
      <c r="R324" s="38"/>
      <c r="S324" s="38"/>
    </row>
    <row r="325" spans="11:19" x14ac:dyDescent="0.25">
      <c r="K325" s="38"/>
      <c r="L325" s="38"/>
      <c r="M325" s="38"/>
      <c r="N325" s="38"/>
      <c r="O325" s="38"/>
      <c r="P325" s="38"/>
      <c r="Q325" s="38"/>
      <c r="R325" s="38"/>
      <c r="S325" s="38"/>
    </row>
    <row r="326" spans="11:19" x14ac:dyDescent="0.25">
      <c r="K326" s="38"/>
      <c r="L326" s="38"/>
      <c r="M326" s="38"/>
      <c r="N326" s="38"/>
      <c r="O326" s="38"/>
      <c r="P326" s="38"/>
      <c r="Q326" s="38"/>
      <c r="R326" s="38"/>
      <c r="S326" s="38"/>
    </row>
    <row r="327" spans="11:19" x14ac:dyDescent="0.25">
      <c r="K327" s="38"/>
      <c r="L327" s="38"/>
      <c r="M327" s="38"/>
      <c r="N327" s="38"/>
      <c r="O327" s="38"/>
      <c r="P327" s="38"/>
      <c r="Q327" s="38"/>
      <c r="R327" s="38"/>
      <c r="S327" s="38"/>
    </row>
    <row r="328" spans="11:19" x14ac:dyDescent="0.25">
      <c r="K328" s="38"/>
      <c r="L328" s="38"/>
      <c r="M328" s="38"/>
      <c r="N328" s="38"/>
      <c r="O328" s="38"/>
      <c r="P328" s="38"/>
      <c r="Q328" s="38"/>
      <c r="R328" s="38"/>
      <c r="S328" s="38"/>
    </row>
    <row r="329" spans="11:19" x14ac:dyDescent="0.25">
      <c r="K329" s="38"/>
      <c r="L329" s="38"/>
      <c r="M329" s="38"/>
      <c r="N329" s="38"/>
      <c r="O329" s="38"/>
      <c r="P329" s="38"/>
      <c r="Q329" s="38"/>
      <c r="R329" s="38"/>
      <c r="S329" s="38"/>
    </row>
    <row r="330" spans="11:19" x14ac:dyDescent="0.25">
      <c r="K330" s="38"/>
      <c r="L330" s="38"/>
      <c r="M330" s="38"/>
      <c r="N330" s="38"/>
      <c r="O330" s="38"/>
      <c r="P330" s="38"/>
      <c r="Q330" s="38"/>
      <c r="R330" s="38"/>
      <c r="S330" s="38"/>
    </row>
    <row r="331" spans="11:19" x14ac:dyDescent="0.25">
      <c r="K331" s="38"/>
      <c r="L331" s="38"/>
      <c r="M331" s="38"/>
      <c r="N331" s="38"/>
      <c r="O331" s="38"/>
      <c r="P331" s="38"/>
      <c r="Q331" s="38"/>
      <c r="R331" s="38"/>
      <c r="S331" s="38"/>
    </row>
    <row r="332" spans="11:19" x14ac:dyDescent="0.25">
      <c r="K332" s="38"/>
      <c r="L332" s="38"/>
      <c r="M332" s="38"/>
      <c r="N332" s="38"/>
      <c r="O332" s="38"/>
      <c r="P332" s="38"/>
      <c r="Q332" s="38"/>
      <c r="R332" s="38"/>
      <c r="S332" s="38"/>
    </row>
    <row r="333" spans="11:19" x14ac:dyDescent="0.25">
      <c r="K333" s="38"/>
      <c r="L333" s="38"/>
      <c r="M333" s="38"/>
      <c r="N333" s="38"/>
      <c r="O333" s="38"/>
      <c r="P333" s="38"/>
      <c r="Q333" s="38"/>
      <c r="R333" s="38"/>
      <c r="S333" s="38"/>
    </row>
    <row r="334" spans="11:19" x14ac:dyDescent="0.25">
      <c r="K334" s="38"/>
      <c r="L334" s="38"/>
      <c r="M334" s="38"/>
      <c r="N334" s="38"/>
      <c r="O334" s="38"/>
      <c r="P334" s="38"/>
      <c r="Q334" s="38"/>
      <c r="R334" s="38"/>
      <c r="S334" s="38"/>
    </row>
    <row r="335" spans="11:19" x14ac:dyDescent="0.25">
      <c r="K335" s="38"/>
      <c r="L335" s="38"/>
      <c r="M335" s="38"/>
      <c r="N335" s="38"/>
      <c r="O335" s="38"/>
      <c r="P335" s="38"/>
      <c r="Q335" s="38"/>
      <c r="R335" s="38"/>
      <c r="S335" s="38"/>
    </row>
    <row r="336" spans="11:19" x14ac:dyDescent="0.25">
      <c r="K336" s="38"/>
      <c r="L336" s="38"/>
      <c r="M336" s="38"/>
      <c r="N336" s="38"/>
      <c r="O336" s="38"/>
      <c r="P336" s="38"/>
      <c r="Q336" s="38"/>
      <c r="R336" s="38"/>
      <c r="S336" s="38"/>
    </row>
    <row r="337" spans="11:19" x14ac:dyDescent="0.25">
      <c r="K337" s="38"/>
      <c r="L337" s="38"/>
      <c r="M337" s="38"/>
      <c r="N337" s="38"/>
      <c r="O337" s="38"/>
      <c r="P337" s="38"/>
      <c r="Q337" s="38"/>
      <c r="R337" s="38"/>
      <c r="S337" s="38"/>
    </row>
    <row r="338" spans="11:19" x14ac:dyDescent="0.25">
      <c r="K338" s="38"/>
      <c r="L338" s="38"/>
      <c r="M338" s="38"/>
      <c r="N338" s="38"/>
      <c r="O338" s="38"/>
      <c r="P338" s="38"/>
      <c r="Q338" s="38"/>
      <c r="R338" s="38"/>
      <c r="S338" s="38"/>
    </row>
    <row r="339" spans="11:19" x14ac:dyDescent="0.25">
      <c r="K339" s="38"/>
      <c r="L339" s="38"/>
      <c r="M339" s="38"/>
      <c r="N339" s="38"/>
      <c r="O339" s="38"/>
      <c r="P339" s="38"/>
      <c r="Q339" s="38"/>
      <c r="R339" s="38"/>
      <c r="S339" s="38"/>
    </row>
    <row r="340" spans="11:19" x14ac:dyDescent="0.25">
      <c r="K340" s="38"/>
      <c r="L340" s="38"/>
      <c r="M340" s="38"/>
      <c r="N340" s="38"/>
      <c r="O340" s="38"/>
      <c r="P340" s="38"/>
      <c r="Q340" s="38"/>
      <c r="R340" s="38"/>
      <c r="S340" s="38"/>
    </row>
    <row r="341" spans="11:19" x14ac:dyDescent="0.25">
      <c r="K341" s="38"/>
      <c r="L341" s="38"/>
      <c r="M341" s="38"/>
      <c r="N341" s="38"/>
      <c r="O341" s="38"/>
      <c r="P341" s="38"/>
      <c r="Q341" s="38"/>
      <c r="R341" s="38"/>
      <c r="S341" s="38"/>
    </row>
    <row r="342" spans="11:19" x14ac:dyDescent="0.25">
      <c r="K342" s="38"/>
      <c r="L342" s="38"/>
      <c r="M342" s="38"/>
      <c r="N342" s="38"/>
      <c r="O342" s="38"/>
      <c r="P342" s="38"/>
      <c r="Q342" s="38"/>
      <c r="R342" s="38"/>
      <c r="S342" s="38"/>
    </row>
    <row r="343" spans="11:19" x14ac:dyDescent="0.25">
      <c r="K343" s="38"/>
      <c r="L343" s="38"/>
      <c r="M343" s="38"/>
      <c r="N343" s="38"/>
      <c r="O343" s="38"/>
      <c r="P343" s="38"/>
      <c r="Q343" s="38"/>
      <c r="R343" s="38"/>
      <c r="S343" s="38"/>
    </row>
    <row r="344" spans="11:19" x14ac:dyDescent="0.25">
      <c r="K344" s="38"/>
      <c r="L344" s="38"/>
      <c r="M344" s="38"/>
      <c r="N344" s="38"/>
      <c r="O344" s="38"/>
      <c r="P344" s="38"/>
      <c r="Q344" s="38"/>
      <c r="R344" s="38"/>
      <c r="S344" s="38"/>
    </row>
    <row r="345" spans="11:19" x14ac:dyDescent="0.25">
      <c r="K345" s="38"/>
      <c r="L345" s="38"/>
      <c r="M345" s="38"/>
      <c r="N345" s="38"/>
      <c r="O345" s="38"/>
      <c r="P345" s="38"/>
      <c r="Q345" s="38"/>
      <c r="R345" s="38"/>
      <c r="S345" s="38"/>
    </row>
    <row r="346" spans="11:19" x14ac:dyDescent="0.25">
      <c r="K346" s="38"/>
      <c r="L346" s="38"/>
      <c r="M346" s="38"/>
      <c r="N346" s="38"/>
      <c r="O346" s="38"/>
      <c r="P346" s="38"/>
      <c r="Q346" s="38"/>
      <c r="R346" s="38"/>
      <c r="S346" s="38"/>
    </row>
    <row r="347" spans="11:19" x14ac:dyDescent="0.25">
      <c r="K347" s="38"/>
      <c r="L347" s="38"/>
      <c r="M347" s="38"/>
      <c r="N347" s="38"/>
      <c r="O347" s="38"/>
      <c r="P347" s="38"/>
      <c r="Q347" s="38"/>
      <c r="R347" s="38"/>
      <c r="S347" s="38"/>
    </row>
    <row r="348" spans="11:19" x14ac:dyDescent="0.25">
      <c r="K348" s="38"/>
      <c r="L348" s="38"/>
      <c r="M348" s="38"/>
      <c r="N348" s="38"/>
      <c r="O348" s="38"/>
      <c r="P348" s="38"/>
      <c r="Q348" s="38"/>
      <c r="R348" s="38"/>
      <c r="S348" s="38"/>
    </row>
    <row r="349" spans="11:19" x14ac:dyDescent="0.25">
      <c r="K349" s="38"/>
      <c r="L349" s="38"/>
      <c r="M349" s="38"/>
      <c r="N349" s="38"/>
      <c r="O349" s="38"/>
      <c r="P349" s="38"/>
      <c r="Q349" s="38"/>
      <c r="R349" s="38"/>
      <c r="S349" s="38"/>
    </row>
    <row r="350" spans="11:19" x14ac:dyDescent="0.25">
      <c r="K350" s="38"/>
      <c r="L350" s="38"/>
      <c r="M350" s="38"/>
      <c r="N350" s="38"/>
      <c r="O350" s="38"/>
      <c r="P350" s="38"/>
      <c r="Q350" s="38"/>
      <c r="R350" s="38"/>
      <c r="S350" s="38"/>
    </row>
    <row r="351" spans="11:19" x14ac:dyDescent="0.25">
      <c r="K351" s="38"/>
      <c r="L351" s="38"/>
      <c r="M351" s="38"/>
      <c r="N351" s="38"/>
      <c r="O351" s="38"/>
      <c r="P351" s="38"/>
      <c r="Q351" s="38"/>
      <c r="R351" s="38"/>
      <c r="S351" s="38"/>
    </row>
    <row r="352" spans="11:19" x14ac:dyDescent="0.25">
      <c r="K352" s="38"/>
      <c r="L352" s="38"/>
      <c r="M352" s="38"/>
      <c r="N352" s="38"/>
      <c r="O352" s="38"/>
      <c r="P352" s="38"/>
      <c r="Q352" s="38"/>
      <c r="R352" s="38"/>
      <c r="S352" s="38"/>
    </row>
    <row r="353" spans="11:19" x14ac:dyDescent="0.25">
      <c r="K353" s="38"/>
      <c r="L353" s="38"/>
      <c r="M353" s="38"/>
      <c r="N353" s="38"/>
      <c r="O353" s="38"/>
      <c r="P353" s="38"/>
      <c r="Q353" s="38"/>
      <c r="R353" s="38"/>
      <c r="S353" s="38"/>
    </row>
    <row r="354" spans="11:19" x14ac:dyDescent="0.25">
      <c r="K354" s="38"/>
      <c r="L354" s="38"/>
      <c r="M354" s="38"/>
      <c r="N354" s="38"/>
      <c r="O354" s="38"/>
      <c r="P354" s="38"/>
      <c r="Q354" s="38"/>
      <c r="R354" s="38"/>
      <c r="S354" s="38"/>
    </row>
    <row r="355" spans="11:19" x14ac:dyDescent="0.25">
      <c r="K355" s="38"/>
      <c r="L355" s="38"/>
      <c r="M355" s="38"/>
      <c r="N355" s="38"/>
      <c r="O355" s="38"/>
      <c r="P355" s="38"/>
      <c r="Q355" s="38"/>
      <c r="R355" s="38"/>
      <c r="S355" s="38"/>
    </row>
    <row r="356" spans="11:19" x14ac:dyDescent="0.25">
      <c r="K356" s="38"/>
      <c r="L356" s="38"/>
      <c r="M356" s="38"/>
      <c r="N356" s="38"/>
      <c r="O356" s="38"/>
      <c r="P356" s="38"/>
      <c r="Q356" s="38"/>
      <c r="R356" s="38"/>
      <c r="S356" s="38"/>
    </row>
    <row r="357" spans="11:19" x14ac:dyDescent="0.25">
      <c r="K357" s="38"/>
      <c r="L357" s="38"/>
      <c r="M357" s="38"/>
      <c r="N357" s="38"/>
      <c r="O357" s="38"/>
      <c r="P357" s="38"/>
      <c r="Q357" s="38"/>
      <c r="R357" s="38"/>
      <c r="S357" s="38"/>
    </row>
    <row r="358" spans="11:19" x14ac:dyDescent="0.25">
      <c r="K358" s="38"/>
      <c r="L358" s="38"/>
      <c r="M358" s="38"/>
      <c r="N358" s="38"/>
      <c r="O358" s="38"/>
      <c r="P358" s="38"/>
      <c r="Q358" s="38"/>
      <c r="R358" s="38"/>
      <c r="S358" s="38"/>
    </row>
    <row r="359" spans="11:19" x14ac:dyDescent="0.25">
      <c r="K359" s="38"/>
      <c r="L359" s="38"/>
      <c r="M359" s="38"/>
      <c r="N359" s="38"/>
      <c r="O359" s="38"/>
      <c r="P359" s="38"/>
      <c r="Q359" s="38"/>
      <c r="R359" s="38"/>
      <c r="S359" s="38"/>
    </row>
    <row r="360" spans="11:19" x14ac:dyDescent="0.25">
      <c r="K360" s="38"/>
      <c r="L360" s="38"/>
      <c r="M360" s="38"/>
      <c r="N360" s="38"/>
      <c r="O360" s="38"/>
      <c r="P360" s="38"/>
      <c r="Q360" s="38"/>
      <c r="R360" s="38"/>
      <c r="S360" s="38"/>
    </row>
    <row r="361" spans="11:19" x14ac:dyDescent="0.25">
      <c r="K361" s="38"/>
      <c r="L361" s="38"/>
      <c r="M361" s="38"/>
      <c r="N361" s="38"/>
      <c r="O361" s="38"/>
      <c r="P361" s="38"/>
      <c r="Q361" s="38"/>
      <c r="R361" s="38"/>
      <c r="S361" s="38"/>
    </row>
    <row r="362" spans="11:19" x14ac:dyDescent="0.25">
      <c r="K362" s="38"/>
      <c r="L362" s="38"/>
      <c r="M362" s="38"/>
      <c r="N362" s="38"/>
      <c r="O362" s="38"/>
      <c r="P362" s="38"/>
      <c r="Q362" s="38"/>
      <c r="R362" s="38"/>
      <c r="S362" s="38"/>
    </row>
    <row r="363" spans="11:19" x14ac:dyDescent="0.25">
      <c r="K363" s="38"/>
      <c r="L363" s="38"/>
      <c r="M363" s="38"/>
      <c r="N363" s="38"/>
      <c r="O363" s="38"/>
      <c r="P363" s="38"/>
      <c r="Q363" s="38"/>
      <c r="R363" s="38"/>
      <c r="S363" s="38"/>
    </row>
    <row r="364" spans="11:19" x14ac:dyDescent="0.25">
      <c r="K364" s="38"/>
      <c r="L364" s="38"/>
      <c r="M364" s="38"/>
      <c r="N364" s="38"/>
      <c r="O364" s="38"/>
      <c r="P364" s="38"/>
      <c r="Q364" s="38"/>
      <c r="R364" s="38"/>
      <c r="S364" s="38"/>
    </row>
    <row r="365" spans="11:19" x14ac:dyDescent="0.25">
      <c r="K365" s="38"/>
      <c r="L365" s="38"/>
      <c r="M365" s="38"/>
      <c r="N365" s="38"/>
      <c r="O365" s="38"/>
      <c r="P365" s="38"/>
      <c r="Q365" s="38"/>
      <c r="R365" s="38"/>
      <c r="S365" s="38"/>
    </row>
    <row r="366" spans="11:19" x14ac:dyDescent="0.25">
      <c r="K366" s="38"/>
      <c r="L366" s="38"/>
      <c r="M366" s="38"/>
      <c r="N366" s="38"/>
      <c r="O366" s="38"/>
      <c r="P366" s="38"/>
      <c r="Q366" s="38"/>
      <c r="R366" s="38"/>
      <c r="S366" s="38"/>
    </row>
  </sheetData>
  <mergeCells count="5">
    <mergeCell ref="B3:C3"/>
    <mergeCell ref="E3:F3"/>
    <mergeCell ref="H3:J3"/>
    <mergeCell ref="B4:C4"/>
    <mergeCell ref="E4:F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S53"/>
  <sheetViews>
    <sheetView topLeftCell="D1" zoomScale="70" zoomScaleNormal="70" workbookViewId="0">
      <selection activeCell="J53" sqref="J53:M53"/>
    </sheetView>
  </sheetViews>
  <sheetFormatPr defaultColWidth="11" defaultRowHeight="15.75" x14ac:dyDescent="0.25"/>
  <cols>
    <col min="1" max="1" width="12" bestFit="1" customWidth="1"/>
    <col min="2" max="2" width="36.375" bestFit="1" customWidth="1"/>
    <col min="3" max="3" width="21.125" bestFit="1" customWidth="1"/>
    <col min="4" max="4" width="19.5" customWidth="1"/>
    <col min="5" max="5" width="15.125" bestFit="1" customWidth="1"/>
    <col min="6" max="6" width="18.25" bestFit="1" customWidth="1"/>
    <col min="7" max="7" width="18.25" customWidth="1"/>
    <col min="11" max="11" width="16.125" bestFit="1" customWidth="1"/>
    <col min="12" max="12" width="14.25" bestFit="1" customWidth="1"/>
    <col min="13" max="13" width="12.25" bestFit="1" customWidth="1"/>
    <col min="14" max="14" width="2.25" customWidth="1"/>
    <col min="15" max="15" width="10.75" bestFit="1" customWidth="1"/>
    <col min="16" max="16" width="13.75" bestFit="1" customWidth="1"/>
    <col min="17" max="17" width="19.75" bestFit="1" customWidth="1"/>
    <col min="19" max="19" width="13.75" bestFit="1" customWidth="1"/>
    <col min="22" max="22" width="22.25" bestFit="1" customWidth="1"/>
    <col min="23" max="23" width="11.625" customWidth="1"/>
    <col min="25" max="25" width="18.875" customWidth="1"/>
    <col min="26" max="26" width="25.75" bestFit="1" customWidth="1"/>
    <col min="27" max="27" width="12.875" customWidth="1"/>
  </cols>
  <sheetData>
    <row r="1" spans="1:7" ht="16.5" thickBot="1" x14ac:dyDescent="0.3"/>
    <row r="2" spans="1:7" ht="19.5" thickBot="1" x14ac:dyDescent="0.35">
      <c r="B2" s="98" t="s">
        <v>56</v>
      </c>
    </row>
    <row r="3" spans="1:7" ht="16.5" thickBot="1" x14ac:dyDescent="0.3"/>
    <row r="4" spans="1:7" ht="18.75" x14ac:dyDescent="0.3">
      <c r="B4" s="108" t="s">
        <v>86</v>
      </c>
      <c r="C4" s="109"/>
      <c r="D4" s="109"/>
      <c r="E4" s="109"/>
      <c r="F4" s="110"/>
      <c r="G4" s="77"/>
    </row>
    <row r="5" spans="1:7" ht="15.75" customHeight="1" x14ac:dyDescent="0.25">
      <c r="B5" s="8"/>
      <c r="C5" s="76" t="s">
        <v>68</v>
      </c>
      <c r="D5" s="76" t="s">
        <v>69</v>
      </c>
      <c r="E5" s="76" t="s">
        <v>73</v>
      </c>
      <c r="F5" s="5" t="s">
        <v>74</v>
      </c>
      <c r="G5" s="82"/>
    </row>
    <row r="6" spans="1:7" x14ac:dyDescent="0.25">
      <c r="A6" t="s">
        <v>78</v>
      </c>
      <c r="B6" s="10" t="s">
        <v>50</v>
      </c>
      <c r="C6" s="39">
        <v>0.05</v>
      </c>
      <c r="D6" s="39">
        <v>0.05</v>
      </c>
      <c r="E6" s="39">
        <v>0.05</v>
      </c>
      <c r="F6" s="40">
        <v>0.05</v>
      </c>
      <c r="G6" s="83"/>
    </row>
    <row r="7" spans="1:7" x14ac:dyDescent="0.25">
      <c r="A7" t="s">
        <v>85</v>
      </c>
      <c r="B7" s="10" t="s">
        <v>51</v>
      </c>
      <c r="C7" s="44">
        <v>0.5</v>
      </c>
      <c r="D7" s="44">
        <v>0.40000000000000008</v>
      </c>
      <c r="E7" s="44">
        <v>0.05</v>
      </c>
      <c r="F7" s="78">
        <f>1-SUM(change3)</f>
        <v>4.9999999999999822E-2</v>
      </c>
      <c r="G7" s="84"/>
    </row>
    <row r="8" spans="1:7" ht="16.5" thickBot="1" x14ac:dyDescent="0.3">
      <c r="A8" t="s">
        <v>79</v>
      </c>
      <c r="B8" s="12" t="s">
        <v>52</v>
      </c>
      <c r="C8" s="41">
        <v>0.5</v>
      </c>
      <c r="D8" s="41">
        <v>0.5</v>
      </c>
      <c r="E8" s="41">
        <v>0.5</v>
      </c>
      <c r="F8" s="42">
        <v>0.5</v>
      </c>
      <c r="G8" s="83"/>
    </row>
    <row r="9" spans="1:7" x14ac:dyDescent="0.25">
      <c r="A9" s="44" t="s">
        <v>70</v>
      </c>
      <c r="B9" s="9"/>
      <c r="D9" s="24"/>
      <c r="E9" s="24"/>
      <c r="F9" s="24"/>
      <c r="G9" s="24"/>
    </row>
    <row r="10" spans="1:7" ht="16.5" thickBot="1" x14ac:dyDescent="0.3">
      <c r="D10" s="16"/>
      <c r="E10" s="16"/>
      <c r="F10" s="16"/>
      <c r="G10" s="16"/>
    </row>
    <row r="11" spans="1:7" ht="18.75" x14ac:dyDescent="0.3">
      <c r="B11" s="108" t="s">
        <v>87</v>
      </c>
      <c r="C11" s="110"/>
    </row>
    <row r="12" spans="1:7" x14ac:dyDescent="0.25">
      <c r="A12" t="s">
        <v>80</v>
      </c>
      <c r="B12" s="10" t="s">
        <v>48</v>
      </c>
      <c r="C12" s="25">
        <f>portfolioreturn(portwts1, C20:C23)</f>
        <v>8.8910785609836729E-3</v>
      </c>
    </row>
    <row r="13" spans="1:7" x14ac:dyDescent="0.25">
      <c r="A13" t="s">
        <v>81</v>
      </c>
      <c r="B13" s="10" t="s">
        <v>49</v>
      </c>
      <c r="C13" s="25">
        <f>SQRT(PortfolioVariance(portwts1,C28:F31))</f>
        <v>3.3896982756768022E-2</v>
      </c>
    </row>
    <row r="14" spans="1:7" x14ac:dyDescent="0.25">
      <c r="A14" t="s">
        <v>82</v>
      </c>
      <c r="B14" s="10" t="s">
        <v>46</v>
      </c>
      <c r="C14" s="43">
        <v>25</v>
      </c>
    </row>
    <row r="15" spans="1:7" ht="16.5" thickBot="1" x14ac:dyDescent="0.3">
      <c r="A15" t="s">
        <v>83</v>
      </c>
      <c r="B15" s="12" t="s">
        <v>47</v>
      </c>
      <c r="C15" s="95">
        <v>9.1087390979080265E-3</v>
      </c>
    </row>
    <row r="17" spans="2:17" ht="16.5" thickBot="1" x14ac:dyDescent="0.3"/>
    <row r="18" spans="2:17" ht="18.75" x14ac:dyDescent="0.3">
      <c r="B18" s="108" t="s">
        <v>76</v>
      </c>
      <c r="C18" s="109"/>
      <c r="D18" s="110"/>
    </row>
    <row r="19" spans="2:17" x14ac:dyDescent="0.25">
      <c r="B19" s="8"/>
      <c r="C19" s="76" t="s">
        <v>10</v>
      </c>
      <c r="D19" s="5" t="s">
        <v>11</v>
      </c>
    </row>
    <row r="20" spans="2:17" x14ac:dyDescent="0.25">
      <c r="B20" s="79" t="s">
        <v>68</v>
      </c>
      <c r="C20" s="85">
        <f>AVERAGE('Index Data 5 yrs'!$C$7:$C$66)</f>
        <v>1.0452033723284867E-2</v>
      </c>
      <c r="D20" s="87">
        <f>STDEV('Index Data 5 yrs'!$C$7:$C$66)</f>
        <v>3.373939370602462E-2</v>
      </c>
    </row>
    <row r="21" spans="2:17" x14ac:dyDescent="0.25">
      <c r="B21" s="79" t="s">
        <v>69</v>
      </c>
      <c r="C21" s="85">
        <f>AVERAGE('Index Data 5 yrs'!$F$7:$F$66)</f>
        <v>8.3870037507989617E-3</v>
      </c>
      <c r="D21" s="87">
        <f>STDEV('Index Data 5 yrs'!$F$7:$F$66)</f>
        <v>4.6021797654347225E-2</v>
      </c>
    </row>
    <row r="22" spans="2:17" x14ac:dyDescent="0.25">
      <c r="B22" s="79" t="s">
        <v>75</v>
      </c>
      <c r="C22" s="85">
        <f>AVERAGE('Index Data 5 yrs'!$H$7:$H$66)</f>
        <v>3.7732818912176043E-3</v>
      </c>
      <c r="D22" s="87">
        <f>STDEV('Index Data 5 yrs'!$H$7:$H$66)</f>
        <v>1.2185407681245245E-2</v>
      </c>
    </row>
    <row r="23" spans="2:17" ht="16.5" thickBot="1" x14ac:dyDescent="0.3">
      <c r="B23" s="80" t="s">
        <v>74</v>
      </c>
      <c r="C23" s="86">
        <f>AVERAGE('Index Data 5 yrs'!$J$7:$J$66)</f>
        <v>2.4319220892154666E-3</v>
      </c>
      <c r="D23" s="88">
        <f>STDEV('Index Data 5 yrs'!$J$7:$J$66)</f>
        <v>9.3382211426343877E-3</v>
      </c>
    </row>
    <row r="24" spans="2:17" x14ac:dyDescent="0.25">
      <c r="B24" s="9"/>
      <c r="C24" s="3"/>
      <c r="D24" s="3"/>
    </row>
    <row r="25" spans="2:17" ht="16.5" thickBot="1" x14ac:dyDescent="0.3"/>
    <row r="26" spans="2:17" ht="18.75" x14ac:dyDescent="0.3">
      <c r="B26" s="108" t="s">
        <v>15</v>
      </c>
      <c r="C26" s="109"/>
      <c r="D26" s="109"/>
      <c r="E26" s="109"/>
      <c r="F26" s="110"/>
      <c r="G26" s="77"/>
      <c r="J26" s="108" t="s">
        <v>55</v>
      </c>
      <c r="K26" s="109"/>
      <c r="L26" s="109"/>
      <c r="M26" s="109"/>
      <c r="N26" s="109"/>
      <c r="O26" s="109"/>
      <c r="P26" s="110"/>
      <c r="Q26" s="77"/>
    </row>
    <row r="27" spans="2:17" x14ac:dyDescent="0.25">
      <c r="B27" s="8"/>
      <c r="C27" s="76" t="s">
        <v>68</v>
      </c>
      <c r="D27" s="76" t="s">
        <v>69</v>
      </c>
      <c r="E27" s="76" t="s">
        <v>73</v>
      </c>
      <c r="F27" s="5" t="s">
        <v>74</v>
      </c>
      <c r="G27" s="76"/>
      <c r="J27" s="4" t="s">
        <v>71</v>
      </c>
      <c r="K27" s="76" t="s">
        <v>72</v>
      </c>
      <c r="L27" s="76" t="s">
        <v>73</v>
      </c>
      <c r="M27" s="5" t="s">
        <v>74</v>
      </c>
      <c r="N27" s="3"/>
      <c r="O27" s="27" t="s">
        <v>44</v>
      </c>
      <c r="P27" s="30" t="s">
        <v>45</v>
      </c>
    </row>
    <row r="28" spans="2:17" x14ac:dyDescent="0.25">
      <c r="B28" s="4" t="s">
        <v>68</v>
      </c>
      <c r="C28" s="3">
        <f>D20^2</f>
        <v>1.1383466876501338E-3</v>
      </c>
      <c r="D28" s="3">
        <f>C29</f>
        <v>1.3376464310288032E-3</v>
      </c>
      <c r="E28" s="3">
        <f>C30</f>
        <v>5.228971997129983E-5</v>
      </c>
      <c r="F28" s="11">
        <f>C31</f>
        <v>-1.3830056467505717E-4</v>
      </c>
      <c r="G28" s="3"/>
      <c r="I28" t="s">
        <v>84</v>
      </c>
      <c r="J28" s="8"/>
      <c r="K28" s="3"/>
      <c r="L28" s="3"/>
      <c r="M28" s="11"/>
      <c r="N28" s="3"/>
      <c r="O28" s="8"/>
      <c r="P28" s="11"/>
    </row>
    <row r="29" spans="2:17" x14ac:dyDescent="0.25">
      <c r="B29" s="4" t="s">
        <v>69</v>
      </c>
      <c r="C29" s="3">
        <f>COVAR('Index Data 5 yrs'!$C$7:$C$66, 'Index Data 5 yrs'!$F$7:$F$66 )</f>
        <v>1.3376464310288032E-3</v>
      </c>
      <c r="D29" s="3">
        <f>D21^2</f>
        <v>2.1180058593376796E-3</v>
      </c>
      <c r="E29" s="3">
        <f>D30</f>
        <v>3.5815711788837501E-5</v>
      </c>
      <c r="F29" s="11">
        <f>D31</f>
        <v>-1.9004863719858413E-4</v>
      </c>
      <c r="G29" s="3"/>
      <c r="J29" s="31">
        <v>0.05</v>
      </c>
      <c r="K29" s="32">
        <v>0.05</v>
      </c>
      <c r="L29" s="32">
        <v>0.4</v>
      </c>
      <c r="M29" s="29">
        <v>0.5</v>
      </c>
      <c r="N29" s="3"/>
      <c r="O29" s="28">
        <f t="shared" ref="O29:O53" si="0">portfolioreturn(J29:M29,$C$20:$C$23)</f>
        <v>3.6672256747989664E-3</v>
      </c>
      <c r="P29" s="33">
        <f t="shared" ref="P29:P53" si="1">SQRT(PortfolioVariance(J29:M29,$C$28:$F$31))</f>
        <v>8.7341867784181317E-3</v>
      </c>
    </row>
    <row r="30" spans="2:17" x14ac:dyDescent="0.25">
      <c r="B30" s="4" t="s">
        <v>73</v>
      </c>
      <c r="C30" s="3">
        <f>COVAR('Index Data 5 yrs'!$C$7:$C$66, 'Index Data 5 yrs'!$H$7:$H$66 )</f>
        <v>5.228971997129983E-5</v>
      </c>
      <c r="D30" s="3">
        <f>COVAR('Index Data 5 yrs'!$F$7:$F$66, 'Index Data 5 yrs'!$H$7:$H$66 )</f>
        <v>3.5815711788837501E-5</v>
      </c>
      <c r="E30" s="3">
        <f>D22^2</f>
        <v>1.4848416035815061E-4</v>
      </c>
      <c r="F30" s="11">
        <f>E31</f>
        <v>7.1980221991167648E-5</v>
      </c>
      <c r="G30" s="3"/>
      <c r="J30" s="31">
        <v>8.2591348409809764E-2</v>
      </c>
      <c r="K30" s="32">
        <v>0.05</v>
      </c>
      <c r="L30" s="32">
        <v>0.36740865159019021</v>
      </c>
      <c r="M30" s="29">
        <v>0.5</v>
      </c>
      <c r="N30" s="3"/>
      <c r="O30" s="28">
        <f t="shared" si="0"/>
        <v>3.8848952027005258E-3</v>
      </c>
      <c r="P30" s="33">
        <f t="shared" si="1"/>
        <v>8.7156657659508245E-3</v>
      </c>
    </row>
    <row r="31" spans="2:17" ht="16.5" thickBot="1" x14ac:dyDescent="0.3">
      <c r="B31" s="81" t="s">
        <v>74</v>
      </c>
      <c r="C31" s="7">
        <f>COVAR('Index Data 5 yrs'!$C$7:$C$66, 'Index Data 5 yrs'!$J$7:$J$66 )</f>
        <v>-1.3830056467505717E-4</v>
      </c>
      <c r="D31" s="7">
        <f>COVAR('Index Data 5 yrs'!$F$7:$F$66, 'Index Data 5 yrs'!$J$7:$J$66 )</f>
        <v>-1.9004863719858413E-4</v>
      </c>
      <c r="E31" s="7">
        <f>COVAR('Index Data 5 yrs'!$H$7:$H$66, 'Index Data 5 yrs'!$J$7:$J$66 )</f>
        <v>7.1980221991167648E-5</v>
      </c>
      <c r="F31" s="13">
        <f>D23^2</f>
        <v>8.7202374108743885E-5</v>
      </c>
      <c r="G31" s="3"/>
      <c r="J31" s="31">
        <v>0.11518150169295605</v>
      </c>
      <c r="K31" s="32">
        <v>0.05</v>
      </c>
      <c r="L31" s="32">
        <v>0.33481849830704391</v>
      </c>
      <c r="M31" s="29">
        <v>0.5</v>
      </c>
      <c r="N31" s="3"/>
      <c r="O31" s="28">
        <f t="shared" si="0"/>
        <v>4.1025567486476918E-3</v>
      </c>
      <c r="P31" s="33">
        <f t="shared" si="1"/>
        <v>8.8403099450083261E-3</v>
      </c>
    </row>
    <row r="32" spans="2:17" x14ac:dyDescent="0.25">
      <c r="J32" s="31">
        <v>0.14777150389655497</v>
      </c>
      <c r="K32" s="32">
        <v>0.05</v>
      </c>
      <c r="L32" s="32">
        <v>0.30222849610344499</v>
      </c>
      <c r="M32" s="29">
        <v>0.5</v>
      </c>
      <c r="N32" s="3"/>
      <c r="O32" s="28">
        <f t="shared" si="0"/>
        <v>4.3202172855720542E-3</v>
      </c>
      <c r="P32" s="33">
        <f t="shared" si="1"/>
        <v>9.1022350944055027E-3</v>
      </c>
    </row>
    <row r="33" spans="7:19" x14ac:dyDescent="0.25">
      <c r="J33" s="31">
        <v>0.18036150610015381</v>
      </c>
      <c r="K33" s="32">
        <v>0.05</v>
      </c>
      <c r="L33" s="32">
        <v>0.26963849389984612</v>
      </c>
      <c r="M33" s="29">
        <v>0.5</v>
      </c>
      <c r="N33" s="3"/>
      <c r="O33" s="28">
        <f t="shared" si="0"/>
        <v>4.5378778224964157E-3</v>
      </c>
      <c r="P33" s="33">
        <f t="shared" si="1"/>
        <v>9.4900814241471107E-3</v>
      </c>
    </row>
    <row r="34" spans="7:19" x14ac:dyDescent="0.25">
      <c r="J34" s="31">
        <v>0.21295150830375278</v>
      </c>
      <c r="K34" s="32">
        <v>0.05</v>
      </c>
      <c r="L34" s="32">
        <v>0.23704849169624714</v>
      </c>
      <c r="M34" s="29">
        <v>0.5</v>
      </c>
      <c r="N34" s="3"/>
      <c r="O34" s="28">
        <f t="shared" si="0"/>
        <v>4.7555383594207789E-3</v>
      </c>
      <c r="P34" s="33">
        <f t="shared" si="1"/>
        <v>9.9891924144626353E-3</v>
      </c>
    </row>
    <row r="35" spans="7:19" ht="18.75" x14ac:dyDescent="0.3">
      <c r="G35" s="77"/>
      <c r="J35" s="31">
        <v>0.24554151050735162</v>
      </c>
      <c r="K35" s="32">
        <v>0.05</v>
      </c>
      <c r="L35" s="32">
        <v>0.2044584894926483</v>
      </c>
      <c r="M35" s="29">
        <v>0.50000000000000011</v>
      </c>
      <c r="N35" s="3"/>
      <c r="O35" s="28">
        <f t="shared" si="0"/>
        <v>4.9731988963451412E-3</v>
      </c>
      <c r="P35" s="33">
        <f t="shared" si="1"/>
        <v>1.0583838749833372E-2</v>
      </c>
    </row>
    <row r="36" spans="7:19" x14ac:dyDescent="0.25">
      <c r="G36" s="82"/>
      <c r="J36" s="31">
        <v>0.27813151271095049</v>
      </c>
      <c r="K36" s="32">
        <v>0.05</v>
      </c>
      <c r="L36" s="32">
        <v>0.17186848728904947</v>
      </c>
      <c r="M36" s="29">
        <v>0.5</v>
      </c>
      <c r="N36" s="3"/>
      <c r="O36" s="28">
        <f t="shared" si="0"/>
        <v>5.1908594332695027E-3</v>
      </c>
      <c r="P36" s="33">
        <f t="shared" si="1"/>
        <v>1.1258893293965084E-2</v>
      </c>
    </row>
    <row r="37" spans="7:19" x14ac:dyDescent="0.25">
      <c r="G37" s="3"/>
      <c r="J37" s="31">
        <v>0.31072001762872881</v>
      </c>
      <c r="K37" s="32">
        <v>0.05</v>
      </c>
      <c r="L37" s="32">
        <v>0.13927998237127123</v>
      </c>
      <c r="M37" s="29">
        <v>0.5</v>
      </c>
      <c r="N37" s="3"/>
      <c r="O37" s="28">
        <f t="shared" si="0"/>
        <v>5.4085099701934479E-3</v>
      </c>
      <c r="P37" s="33">
        <f t="shared" si="1"/>
        <v>1.2000759191026826E-2</v>
      </c>
    </row>
    <row r="38" spans="7:19" x14ac:dyDescent="0.25">
      <c r="G38" s="3"/>
      <c r="J38" s="31">
        <v>0.34331151711814839</v>
      </c>
      <c r="K38" s="32">
        <v>0.05</v>
      </c>
      <c r="L38" s="32">
        <v>0.10668848288185162</v>
      </c>
      <c r="M38" s="29">
        <v>0.5</v>
      </c>
      <c r="N38" s="3"/>
      <c r="O38" s="28">
        <f t="shared" si="0"/>
        <v>5.6261805071182282E-3</v>
      </c>
      <c r="P38" s="33">
        <f t="shared" si="1"/>
        <v>1.2797922606776048E-2</v>
      </c>
    </row>
    <row r="39" spans="7:19" x14ac:dyDescent="0.25">
      <c r="G39" s="3"/>
      <c r="J39" s="31">
        <v>0.37590151932174742</v>
      </c>
      <c r="K39" s="32">
        <v>0.05</v>
      </c>
      <c r="L39" s="32">
        <v>7.4098480678252615E-2</v>
      </c>
      <c r="M39" s="29">
        <v>0.5</v>
      </c>
      <c r="N39" s="3"/>
      <c r="O39" s="28">
        <f t="shared" si="0"/>
        <v>5.8438410440425905E-3</v>
      </c>
      <c r="P39" s="33">
        <f t="shared" si="1"/>
        <v>1.3640598680803917E-2</v>
      </c>
    </row>
    <row r="40" spans="7:19" x14ac:dyDescent="0.25">
      <c r="G40" s="3"/>
      <c r="J40" s="31">
        <v>0.40707007178094995</v>
      </c>
      <c r="K40" s="32">
        <v>0.05</v>
      </c>
      <c r="L40" s="32">
        <v>0.05</v>
      </c>
      <c r="M40" s="29">
        <v>0.49292992821905002</v>
      </c>
      <c r="N40" s="3"/>
      <c r="O40" s="28">
        <f t="shared" si="0"/>
        <v>6.0614915809666103E-3</v>
      </c>
      <c r="P40" s="33">
        <f t="shared" si="1"/>
        <v>1.452318460875433E-2</v>
      </c>
    </row>
    <row r="41" spans="7:19" x14ac:dyDescent="0.25">
      <c r="G41" s="3"/>
      <c r="J41" s="31">
        <v>0.43420941183698375</v>
      </c>
      <c r="K41" s="32">
        <v>0.05</v>
      </c>
      <c r="L41" s="32">
        <v>0.05</v>
      </c>
      <c r="M41" s="29">
        <v>0.46579058816301622</v>
      </c>
      <c r="N41" s="3"/>
      <c r="O41" s="28">
        <f t="shared" si="0"/>
        <v>6.2791521178909727E-3</v>
      </c>
      <c r="P41" s="33">
        <f t="shared" si="1"/>
        <v>1.5436847541289425E-2</v>
      </c>
    </row>
    <row r="42" spans="7:19" x14ac:dyDescent="0.25">
      <c r="J42" s="31">
        <v>0.46134999875849747</v>
      </c>
      <c r="K42" s="32">
        <v>0.05</v>
      </c>
      <c r="L42" s="32">
        <v>0.05</v>
      </c>
      <c r="M42" s="29">
        <v>0.43865000124150244</v>
      </c>
      <c r="N42" s="3"/>
      <c r="O42" s="28">
        <f t="shared" si="0"/>
        <v>6.4968226548156767E-3</v>
      </c>
      <c r="P42" s="33">
        <f t="shared" si="1"/>
        <v>1.6367157410987494E-2</v>
      </c>
    </row>
    <row r="43" spans="7:19" x14ac:dyDescent="0.25">
      <c r="J43" s="31">
        <v>0.48848933881453127</v>
      </c>
      <c r="K43" s="32">
        <v>0.05</v>
      </c>
      <c r="L43" s="32">
        <v>0.05</v>
      </c>
      <c r="M43" s="29">
        <v>0.41151066118546864</v>
      </c>
      <c r="N43" s="3"/>
      <c r="O43" s="28">
        <f t="shared" si="0"/>
        <v>6.714483191740039E-3</v>
      </c>
      <c r="P43" s="33">
        <f t="shared" si="1"/>
        <v>1.7311352105584845E-2</v>
      </c>
      <c r="S43" s="57"/>
    </row>
    <row r="44" spans="7:19" x14ac:dyDescent="0.25">
      <c r="J44" s="31">
        <v>0.5</v>
      </c>
      <c r="K44" s="32">
        <v>0.05</v>
      </c>
      <c r="L44" s="32">
        <v>0.14344528149162719</v>
      </c>
      <c r="M44" s="29">
        <v>0.30655471850837279</v>
      </c>
      <c r="N44" s="3"/>
      <c r="O44" s="28">
        <f t="shared" si="0"/>
        <v>6.9321437237090909E-3</v>
      </c>
      <c r="P44" s="33">
        <f t="shared" si="1"/>
        <v>1.8279399763225797E-2</v>
      </c>
    </row>
    <row r="45" spans="7:19" x14ac:dyDescent="0.25">
      <c r="J45" s="31">
        <v>0.5</v>
      </c>
      <c r="K45" s="32">
        <v>0.05</v>
      </c>
      <c r="L45" s="32">
        <v>0.30570640006312111</v>
      </c>
      <c r="M45" s="29">
        <v>0.14429359993687885</v>
      </c>
      <c r="N45" s="3"/>
      <c r="O45" s="28">
        <f t="shared" si="0"/>
        <v>7.149794265588795E-3</v>
      </c>
      <c r="P45" s="33">
        <f t="shared" si="1"/>
        <v>1.9318094256163626E-2</v>
      </c>
    </row>
    <row r="46" spans="7:19" x14ac:dyDescent="0.25">
      <c r="J46" s="31">
        <v>0.5</v>
      </c>
      <c r="K46" s="32">
        <v>6.9762546412084486E-2</v>
      </c>
      <c r="L46" s="32">
        <v>0.38023745358791555</v>
      </c>
      <c r="M46" s="29">
        <v>5.0000000000000044E-2</v>
      </c>
      <c r="N46" s="3"/>
      <c r="O46" s="28">
        <f t="shared" si="0"/>
        <v>7.3674548025126213E-3</v>
      </c>
      <c r="P46" s="33">
        <f t="shared" si="1"/>
        <v>2.0644052054616936E-2</v>
      </c>
    </row>
    <row r="47" spans="7:19" x14ac:dyDescent="0.25">
      <c r="J47" s="31">
        <v>0.5</v>
      </c>
      <c r="K47" s="32">
        <v>0.11694149294368537</v>
      </c>
      <c r="L47" s="32">
        <v>0.33305850705631468</v>
      </c>
      <c r="M47" s="29">
        <v>4.9999999999999933E-2</v>
      </c>
      <c r="N47" s="3"/>
      <c r="O47" s="28">
        <f t="shared" si="0"/>
        <v>7.5851253394374893E-3</v>
      </c>
      <c r="P47" s="33">
        <f t="shared" si="1"/>
        <v>2.23636273240213E-2</v>
      </c>
    </row>
    <row r="48" spans="7:19" x14ac:dyDescent="0.25">
      <c r="J48" s="31">
        <v>0.5</v>
      </c>
      <c r="K48" s="32">
        <v>0.16411610458002862</v>
      </c>
      <c r="L48" s="32">
        <v>0.28588389541997139</v>
      </c>
      <c r="M48" s="29">
        <v>5.0000000000000044E-2</v>
      </c>
      <c r="N48" s="3"/>
      <c r="O48" s="28">
        <f t="shared" si="0"/>
        <v>7.8027758763613477E-3</v>
      </c>
      <c r="P48" s="33">
        <f t="shared" si="1"/>
        <v>2.4162977721496566E-2</v>
      </c>
    </row>
    <row r="49" spans="10:16" x14ac:dyDescent="0.25">
      <c r="J49" s="31">
        <v>0.5</v>
      </c>
      <c r="K49" s="32">
        <v>0.21129505111162949</v>
      </c>
      <c r="L49" s="32">
        <v>0.23870494888837052</v>
      </c>
      <c r="M49" s="29">
        <v>5.0000000000000044E-2</v>
      </c>
      <c r="N49" s="3"/>
      <c r="O49" s="28">
        <f t="shared" si="0"/>
        <v>8.0204464132862148E-3</v>
      </c>
      <c r="P49" s="33">
        <f t="shared" si="1"/>
        <v>2.6025857657019046E-2</v>
      </c>
    </row>
    <row r="50" spans="10:16" x14ac:dyDescent="0.25">
      <c r="J50" s="31">
        <v>0.5</v>
      </c>
      <c r="K50" s="32">
        <v>0.25846966274797273</v>
      </c>
      <c r="L50" s="32">
        <v>0.19153033725202723</v>
      </c>
      <c r="M50" s="29">
        <v>5.0000000000000044E-2</v>
      </c>
      <c r="N50" s="3"/>
      <c r="O50" s="28">
        <f t="shared" si="0"/>
        <v>8.2380969502100707E-3</v>
      </c>
      <c r="P50" s="33">
        <f t="shared" si="1"/>
        <v>2.7939254986034605E-2</v>
      </c>
    </row>
    <row r="51" spans="10:16" x14ac:dyDescent="0.25">
      <c r="J51" s="31">
        <v>0.5</v>
      </c>
      <c r="K51" s="32">
        <v>0.30564860927957399</v>
      </c>
      <c r="L51" s="32">
        <v>0.14435139072042596</v>
      </c>
      <c r="M51" s="29">
        <v>5.0000000000000044E-2</v>
      </c>
      <c r="N51" s="3"/>
      <c r="O51" s="28">
        <f t="shared" si="0"/>
        <v>8.4557674871349395E-3</v>
      </c>
      <c r="P51" s="33">
        <f t="shared" si="1"/>
        <v>2.9893788253555917E-2</v>
      </c>
    </row>
    <row r="52" spans="10:16" x14ac:dyDescent="0.25">
      <c r="J52" s="31">
        <v>0.5</v>
      </c>
      <c r="K52" s="32">
        <v>0.35282538836354599</v>
      </c>
      <c r="L52" s="32">
        <v>9.7174611636453939E-2</v>
      </c>
      <c r="M52" s="29">
        <v>5.0000000000000155E-2</v>
      </c>
      <c r="N52" s="3"/>
      <c r="O52" s="28">
        <f t="shared" si="0"/>
        <v>8.6734280240593018E-3</v>
      </c>
      <c r="P52" s="33">
        <f t="shared" si="1"/>
        <v>3.1881659021401949E-2</v>
      </c>
    </row>
    <row r="53" spans="10:16" ht="16.5" thickBot="1" x14ac:dyDescent="0.3">
      <c r="J53" s="34">
        <v>0.5</v>
      </c>
      <c r="K53" s="35">
        <v>0.40000000000000008</v>
      </c>
      <c r="L53" s="35">
        <v>0.05</v>
      </c>
      <c r="M53" s="36">
        <v>4.9999999999999822E-2</v>
      </c>
      <c r="N53" s="7"/>
      <c r="O53" s="37">
        <f t="shared" si="0"/>
        <v>8.8910785609836729E-3</v>
      </c>
      <c r="P53" s="26">
        <f t="shared" si="1"/>
        <v>3.3896982756768022E-2</v>
      </c>
    </row>
  </sheetData>
  <mergeCells count="5">
    <mergeCell ref="B4:F4"/>
    <mergeCell ref="B11:C11"/>
    <mergeCell ref="B18:D18"/>
    <mergeCell ref="B26:F26"/>
    <mergeCell ref="J26:P26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EffFrontier3">
                <anchor moveWithCells="1" sizeWithCells="1">
                  <from>
                    <xdr:col>7</xdr:col>
                    <xdr:colOff>0</xdr:colOff>
                    <xdr:row>3</xdr:row>
                    <xdr:rowOff>19050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I11"/>
  <sheetViews>
    <sheetView workbookViewId="0">
      <selection activeCell="C21" sqref="C21"/>
    </sheetView>
  </sheetViews>
  <sheetFormatPr defaultRowHeight="15.75" x14ac:dyDescent="0.25"/>
  <cols>
    <col min="2" max="2" width="9.625" bestFit="1" customWidth="1"/>
    <col min="3" max="3" width="22.25" bestFit="1" customWidth="1"/>
    <col min="4" max="4" width="9.25" customWidth="1"/>
    <col min="6" max="6" width="18.625" customWidth="1"/>
    <col min="7" max="7" width="25.75" bestFit="1" customWidth="1"/>
    <col min="8" max="8" width="14.875" customWidth="1"/>
  </cols>
  <sheetData>
    <row r="2" spans="2:9" ht="16.5" thickBot="1" x14ac:dyDescent="0.3"/>
    <row r="3" spans="2:9" x14ac:dyDescent="0.25">
      <c r="C3" s="122" t="s">
        <v>92</v>
      </c>
      <c r="D3" s="123"/>
      <c r="E3" s="123"/>
      <c r="F3" s="123"/>
      <c r="G3" s="123"/>
      <c r="H3" s="111"/>
    </row>
    <row r="4" spans="2:9" x14ac:dyDescent="0.25">
      <c r="C4" s="124"/>
      <c r="D4" s="125"/>
      <c r="E4" s="125"/>
      <c r="F4" s="125"/>
      <c r="G4" s="125"/>
      <c r="H4" s="126"/>
    </row>
    <row r="5" spans="2:9" ht="16.5" thickBot="1" x14ac:dyDescent="0.3">
      <c r="C5" s="103"/>
      <c r="D5" s="48"/>
      <c r="E5" s="48"/>
      <c r="F5" s="48"/>
      <c r="G5" s="48"/>
      <c r="H5" s="43"/>
    </row>
    <row r="6" spans="2:9" ht="18.75" x14ac:dyDescent="0.3">
      <c r="C6" s="108" t="s">
        <v>17</v>
      </c>
      <c r="D6" s="110"/>
      <c r="E6" s="48"/>
      <c r="F6" s="3"/>
      <c r="G6" s="108" t="s">
        <v>19</v>
      </c>
      <c r="H6" s="110"/>
    </row>
    <row r="7" spans="2:9" ht="16.5" thickBot="1" x14ac:dyDescent="0.3">
      <c r="B7" t="s">
        <v>88</v>
      </c>
      <c r="C7" s="12" t="s">
        <v>18</v>
      </c>
      <c r="D7" s="106">
        <v>0.1</v>
      </c>
      <c r="E7" s="48"/>
      <c r="F7" s="3"/>
      <c r="G7" s="79" t="s">
        <v>68</v>
      </c>
      <c r="H7" s="102">
        <v>10.799413655758324</v>
      </c>
    </row>
    <row r="8" spans="2:9" ht="16.5" thickBot="1" x14ac:dyDescent="0.3">
      <c r="C8" s="105"/>
      <c r="D8" s="48"/>
      <c r="E8" s="48"/>
      <c r="F8" s="3"/>
      <c r="G8" s="79" t="s">
        <v>69</v>
      </c>
      <c r="H8" s="102">
        <v>0</v>
      </c>
      <c r="I8" t="s">
        <v>91</v>
      </c>
    </row>
    <row r="9" spans="2:9" ht="18.75" x14ac:dyDescent="0.3">
      <c r="C9" s="108" t="s">
        <v>58</v>
      </c>
      <c r="D9" s="110"/>
      <c r="E9" s="48"/>
      <c r="F9" s="3"/>
      <c r="G9" s="79" t="s">
        <v>75</v>
      </c>
      <c r="H9" s="102">
        <v>8.1675211486810806</v>
      </c>
    </row>
    <row r="10" spans="2:9" ht="16.5" thickBot="1" x14ac:dyDescent="0.3">
      <c r="B10" s="15" t="s">
        <v>89</v>
      </c>
      <c r="C10" s="10" t="s">
        <v>10</v>
      </c>
      <c r="D10" s="33">
        <f>portfolioreturn(H7:H10,'EF 5 Yr Index'!C20:C23)</f>
        <v>0.10000000974173387</v>
      </c>
      <c r="E10" s="48"/>
      <c r="F10" s="3"/>
      <c r="G10" s="80" t="s">
        <v>74</v>
      </c>
      <c r="H10" s="101">
        <f>1-SUM(H7:H9)</f>
        <v>-17.966934804439404</v>
      </c>
    </row>
    <row r="11" spans="2:9" ht="16.5" thickBot="1" x14ac:dyDescent="0.3">
      <c r="B11" s="19" t="s">
        <v>90</v>
      </c>
      <c r="C11" s="45" t="s">
        <v>23</v>
      </c>
      <c r="D11" s="46">
        <f>SQRT(PortfolioVariance(H7:H10,'EF 5 Yr Index'!C28:F31))</f>
        <v>0.4610702386615777</v>
      </c>
      <c r="E11" s="52"/>
      <c r="F11" s="52"/>
      <c r="G11" s="52"/>
      <c r="H11" s="104"/>
    </row>
  </sheetData>
  <mergeCells count="4">
    <mergeCell ref="C3:H4"/>
    <mergeCell ref="C6:D6"/>
    <mergeCell ref="G6:H6"/>
    <mergeCell ref="C9:D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EffFrontier5">
                <anchor moveWithCells="1" sizeWithCells="1">
                  <from>
                    <xdr:col>5</xdr:col>
                    <xdr:colOff>9525</xdr:colOff>
                    <xdr:row>5</xdr:row>
                    <xdr:rowOff>9525</xdr:rowOff>
                  </from>
                  <to>
                    <xdr:col>5</xdr:col>
                    <xdr:colOff>1924050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S366"/>
  <sheetViews>
    <sheetView zoomScale="130" zoomScaleNormal="130" workbookViewId="0">
      <pane ySplit="5" topLeftCell="A176" activePane="bottomLeft" state="frozen"/>
      <selection pane="bottomLeft" activeCell="A5" sqref="A5"/>
    </sheetView>
  </sheetViews>
  <sheetFormatPr defaultRowHeight="15.75" x14ac:dyDescent="0.25"/>
  <cols>
    <col min="1" max="1" width="11.125" bestFit="1" customWidth="1"/>
    <col min="2" max="2" width="9.875" bestFit="1" customWidth="1"/>
    <col min="3" max="3" width="16.75" bestFit="1" customWidth="1"/>
    <col min="4" max="4" width="0.75" customWidth="1"/>
    <col min="5" max="5" width="9.875" bestFit="1" customWidth="1"/>
    <col min="6" max="6" width="16.75" bestFit="1" customWidth="1"/>
    <col min="7" max="7" width="1" customWidth="1"/>
    <col min="8" max="8" width="27.875" bestFit="1" customWidth="1"/>
    <col min="9" max="9" width="1.375" customWidth="1"/>
    <col min="10" max="10" width="16.375" customWidth="1"/>
  </cols>
  <sheetData>
    <row r="1" spans="1:19" x14ac:dyDescent="0.25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</row>
    <row r="2" spans="1:19" ht="16.5" thickBot="1" x14ac:dyDescent="0.3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</row>
    <row r="3" spans="1:19" ht="18.75" x14ac:dyDescent="0.3">
      <c r="A3" s="38"/>
      <c r="B3" s="108" t="s">
        <v>63</v>
      </c>
      <c r="C3" s="110"/>
      <c r="D3" s="38"/>
      <c r="E3" s="108" t="s">
        <v>66</v>
      </c>
      <c r="F3" s="110"/>
      <c r="G3" s="38"/>
      <c r="H3" s="108" t="s">
        <v>59</v>
      </c>
      <c r="I3" s="109"/>
      <c r="J3" s="110"/>
      <c r="K3" s="38"/>
      <c r="L3" s="38"/>
      <c r="M3" s="38"/>
      <c r="N3" s="38"/>
      <c r="O3" s="38"/>
      <c r="P3" s="38"/>
      <c r="Q3" s="38"/>
      <c r="R3" s="38"/>
      <c r="S3" s="38"/>
    </row>
    <row r="4" spans="1:19" ht="16.5" thickBot="1" x14ac:dyDescent="0.3">
      <c r="A4" s="38"/>
      <c r="B4" s="112" t="s">
        <v>64</v>
      </c>
      <c r="C4" s="113"/>
      <c r="D4" s="38"/>
      <c r="E4" s="114" t="s">
        <v>65</v>
      </c>
      <c r="F4" s="115"/>
      <c r="G4" s="38"/>
      <c r="H4" s="58" t="s">
        <v>60</v>
      </c>
      <c r="I4" s="68"/>
      <c r="J4" s="59" t="s">
        <v>67</v>
      </c>
      <c r="K4" s="38"/>
      <c r="L4" s="38"/>
      <c r="M4" s="38"/>
      <c r="N4" s="38"/>
      <c r="O4" s="38"/>
      <c r="P4" s="38"/>
      <c r="Q4" s="38"/>
      <c r="R4" s="38"/>
      <c r="S4" s="38"/>
    </row>
    <row r="5" spans="1:19" x14ac:dyDescent="0.25">
      <c r="A5" s="97" t="s">
        <v>0</v>
      </c>
      <c r="B5" s="4" t="s">
        <v>61</v>
      </c>
      <c r="C5" s="5" t="s">
        <v>62</v>
      </c>
      <c r="D5" s="64"/>
      <c r="E5" s="4" t="s">
        <v>61</v>
      </c>
      <c r="F5" s="5" t="s">
        <v>62</v>
      </c>
      <c r="G5" s="64"/>
      <c r="H5" s="65" t="s">
        <v>62</v>
      </c>
      <c r="I5" s="69"/>
      <c r="J5" s="66" t="s">
        <v>62</v>
      </c>
      <c r="K5" s="38"/>
      <c r="L5" s="38"/>
      <c r="M5" s="38"/>
      <c r="N5" s="38"/>
      <c r="O5" s="38"/>
      <c r="P5" s="38"/>
      <c r="Q5" s="38"/>
      <c r="R5" s="38"/>
      <c r="S5" s="38"/>
    </row>
    <row r="6" spans="1:19" x14ac:dyDescent="0.25">
      <c r="A6" s="67">
        <v>36889</v>
      </c>
      <c r="B6" s="8">
        <v>2620.0214999999998</v>
      </c>
      <c r="C6" s="75" t="s">
        <v>5</v>
      </c>
      <c r="D6" s="62"/>
      <c r="E6" s="8">
        <v>525.38879999999995</v>
      </c>
      <c r="F6" s="75" t="s">
        <v>5</v>
      </c>
      <c r="G6" s="38"/>
      <c r="H6" s="70">
        <v>1.8644391469192702E-2</v>
      </c>
      <c r="I6" s="72"/>
      <c r="J6" s="53">
        <v>1.90790671410196E-2</v>
      </c>
      <c r="K6" s="38"/>
      <c r="L6" s="38"/>
      <c r="M6" s="38"/>
      <c r="N6" s="38"/>
      <c r="O6" s="38"/>
      <c r="P6" s="38"/>
      <c r="Q6" s="38"/>
      <c r="R6" s="38"/>
      <c r="S6" s="38"/>
    </row>
    <row r="7" spans="1:19" x14ac:dyDescent="0.25">
      <c r="A7" s="67">
        <v>36922</v>
      </c>
      <c r="B7" s="8">
        <v>2712.9204</v>
      </c>
      <c r="C7" s="53">
        <f t="shared" ref="C7:C19" si="0">B7/B6-1</f>
        <v>3.545730445341766E-2</v>
      </c>
      <c r="D7" s="62"/>
      <c r="E7" s="8">
        <v>552.72619999999995</v>
      </c>
      <c r="F7" s="53">
        <f t="shared" ref="F7:F18" si="1">E7/E6-1</f>
        <v>5.2032704161184995E-2</v>
      </c>
      <c r="G7" s="38"/>
      <c r="H7" s="70">
        <v>2.8618963355580597E-2</v>
      </c>
      <c r="I7" s="72"/>
      <c r="J7" s="53">
        <v>8.1388906461129888E-3</v>
      </c>
      <c r="K7" s="38"/>
      <c r="L7" s="38"/>
      <c r="M7" s="38"/>
      <c r="N7" s="38"/>
      <c r="O7" s="38"/>
      <c r="P7" s="38"/>
      <c r="Q7" s="38"/>
      <c r="R7" s="38"/>
      <c r="S7" s="38"/>
    </row>
    <row r="8" spans="1:19" x14ac:dyDescent="0.25">
      <c r="A8" s="67">
        <v>36950</v>
      </c>
      <c r="B8" s="8">
        <v>2465.6884</v>
      </c>
      <c r="C8" s="53">
        <f t="shared" si="0"/>
        <v>-9.113131369427574E-2</v>
      </c>
      <c r="D8" s="62"/>
      <c r="E8" s="8">
        <v>516.4991</v>
      </c>
      <c r="F8" s="53">
        <f t="shared" si="1"/>
        <v>-6.5542577862239826E-2</v>
      </c>
      <c r="G8" s="38"/>
      <c r="H8" s="70">
        <v>8.4547904871592906E-3</v>
      </c>
      <c r="I8" s="72"/>
      <c r="J8" s="53">
        <v>1.20833766552457E-2</v>
      </c>
      <c r="K8" s="38"/>
      <c r="L8" s="38"/>
      <c r="M8" s="38"/>
      <c r="N8" s="38"/>
      <c r="O8" s="38"/>
      <c r="P8" s="38"/>
      <c r="Q8" s="38"/>
      <c r="R8" s="38"/>
      <c r="S8" s="38"/>
    </row>
    <row r="9" spans="1:19" x14ac:dyDescent="0.25">
      <c r="A9" s="67">
        <v>36980</v>
      </c>
      <c r="B9" s="8">
        <v>2309.5742</v>
      </c>
      <c r="C9" s="53">
        <f t="shared" si="0"/>
        <v>-6.3314650788802052E-2</v>
      </c>
      <c r="D9" s="62"/>
      <c r="E9" s="8">
        <v>491.24990000000003</v>
      </c>
      <c r="F9" s="53">
        <f t="shared" si="1"/>
        <v>-4.8885273953042652E-2</v>
      </c>
      <c r="G9" s="38"/>
      <c r="H9" s="70">
        <v>6.1318785020243408E-3</v>
      </c>
      <c r="I9" s="72"/>
      <c r="J9" s="53">
        <v>3.2130548315516799E-3</v>
      </c>
      <c r="K9" s="38"/>
      <c r="L9" s="38"/>
      <c r="M9" s="38"/>
      <c r="N9" s="38"/>
      <c r="O9" s="38"/>
      <c r="P9" s="38"/>
      <c r="Q9" s="38"/>
      <c r="R9" s="38"/>
      <c r="S9" s="38"/>
    </row>
    <row r="10" spans="1:19" x14ac:dyDescent="0.25">
      <c r="A10" s="67">
        <v>37011</v>
      </c>
      <c r="B10" s="8">
        <v>2488.8899000000001</v>
      </c>
      <c r="C10" s="53">
        <f t="shared" si="0"/>
        <v>7.7640155488401419E-2</v>
      </c>
      <c r="D10" s="62"/>
      <c r="E10" s="8">
        <v>529.63710000000003</v>
      </c>
      <c r="F10" s="53">
        <f t="shared" si="1"/>
        <v>7.8141898858401726E-2</v>
      </c>
      <c r="G10" s="38"/>
      <c r="H10" s="70">
        <v>-3.2659856522841602E-3</v>
      </c>
      <c r="I10" s="72"/>
      <c r="J10" s="53">
        <v>-1.2430071880029401E-2</v>
      </c>
      <c r="K10" s="38"/>
      <c r="L10" s="38"/>
      <c r="M10" s="38"/>
      <c r="N10" s="38"/>
      <c r="O10" s="38"/>
      <c r="P10" s="38"/>
      <c r="Q10" s="38"/>
      <c r="R10" s="38"/>
      <c r="S10" s="38"/>
    </row>
    <row r="11" spans="1:19" x14ac:dyDescent="0.25">
      <c r="A11" s="67">
        <v>37042</v>
      </c>
      <c r="B11" s="8">
        <v>2505.5846999999999</v>
      </c>
      <c r="C11" s="53">
        <f t="shared" si="0"/>
        <v>6.7077294178419233E-3</v>
      </c>
      <c r="D11" s="62"/>
      <c r="E11" s="8">
        <v>542.60969999999998</v>
      </c>
      <c r="F11" s="53">
        <f t="shared" si="1"/>
        <v>2.4493374803237877E-2</v>
      </c>
      <c r="G11" s="38"/>
      <c r="H11" s="70">
        <v>8.8703850033479709E-3</v>
      </c>
      <c r="I11" s="72"/>
      <c r="J11" s="53">
        <v>3.1142733971139301E-3</v>
      </c>
      <c r="K11" s="38"/>
      <c r="L11" s="38"/>
      <c r="M11" s="38"/>
      <c r="N11" s="38"/>
      <c r="O11" s="38"/>
      <c r="P11" s="38"/>
      <c r="Q11" s="38"/>
      <c r="R11" s="38"/>
      <c r="S11" s="38"/>
    </row>
    <row r="12" spans="1:19" x14ac:dyDescent="0.25">
      <c r="A12" s="67">
        <v>37071</v>
      </c>
      <c r="B12" s="8">
        <v>2444.6077</v>
      </c>
      <c r="C12" s="53">
        <f t="shared" si="0"/>
        <v>-2.4336435323858652E-2</v>
      </c>
      <c r="D12" s="62"/>
      <c r="E12" s="8">
        <v>561.11030000000005</v>
      </c>
      <c r="F12" s="53">
        <f t="shared" si="1"/>
        <v>3.4095593941649183E-2</v>
      </c>
      <c r="G12" s="38"/>
      <c r="H12" s="70">
        <v>5.0084507687976395E-3</v>
      </c>
      <c r="I12" s="72"/>
      <c r="J12" s="53">
        <v>5.3690999613001502E-3</v>
      </c>
      <c r="K12" s="38"/>
      <c r="L12" s="38"/>
      <c r="M12" s="38"/>
      <c r="N12" s="38"/>
      <c r="O12" s="38"/>
      <c r="P12" s="38"/>
      <c r="Q12" s="38"/>
      <c r="R12" s="38"/>
      <c r="S12" s="38"/>
    </row>
    <row r="13" spans="1:19" x14ac:dyDescent="0.25">
      <c r="A13" s="67">
        <v>37103</v>
      </c>
      <c r="B13" s="8">
        <v>2420.5095000000001</v>
      </c>
      <c r="C13" s="53">
        <f t="shared" si="0"/>
        <v>-9.8576961857724799E-3</v>
      </c>
      <c r="D13" s="62"/>
      <c r="E13" s="8">
        <v>531.04939999999999</v>
      </c>
      <c r="F13" s="53">
        <f t="shared" si="1"/>
        <v>-5.3573958631663032E-2</v>
      </c>
      <c r="G13" s="38"/>
      <c r="H13" s="70">
        <v>2.7101666495011202E-2</v>
      </c>
      <c r="I13" s="72"/>
      <c r="J13" s="53">
        <v>2.4952419440784999E-2</v>
      </c>
      <c r="K13" s="38"/>
      <c r="L13" s="38"/>
      <c r="M13" s="38"/>
      <c r="N13" s="38"/>
      <c r="O13" s="38"/>
      <c r="P13" s="38"/>
      <c r="Q13" s="38"/>
      <c r="R13" s="38"/>
      <c r="S13" s="38"/>
    </row>
    <row r="14" spans="1:19" x14ac:dyDescent="0.25">
      <c r="A14" s="67">
        <v>37134</v>
      </c>
      <c r="B14" s="8">
        <v>2269.1399000000001</v>
      </c>
      <c r="C14" s="53">
        <f t="shared" si="0"/>
        <v>-6.2536255280138286E-2</v>
      </c>
      <c r="D14" s="62"/>
      <c r="E14" s="8">
        <v>513.91459999999995</v>
      </c>
      <c r="F14" s="53">
        <f t="shared" si="1"/>
        <v>-3.2265924789671274E-2</v>
      </c>
      <c r="G14" s="38"/>
      <c r="H14" s="70">
        <v>1.2985146619740999E-2</v>
      </c>
      <c r="I14" s="72"/>
      <c r="J14" s="53">
        <v>1.32421937281274E-2</v>
      </c>
      <c r="K14" s="38"/>
      <c r="L14" s="38"/>
      <c r="M14" s="38"/>
      <c r="N14" s="38"/>
      <c r="O14" s="38"/>
      <c r="P14" s="38"/>
      <c r="Q14" s="38"/>
      <c r="R14" s="38"/>
      <c r="S14" s="38"/>
    </row>
    <row r="15" spans="1:19" x14ac:dyDescent="0.25">
      <c r="A15" s="67">
        <v>37162</v>
      </c>
      <c r="B15" s="8">
        <v>2085.9175</v>
      </c>
      <c r="C15" s="53">
        <f t="shared" si="0"/>
        <v>-8.0745307946856859E-2</v>
      </c>
      <c r="D15" s="62"/>
      <c r="E15" s="8">
        <v>444.71789999999999</v>
      </c>
      <c r="F15" s="53">
        <f t="shared" si="1"/>
        <v>-0.13464630115587295</v>
      </c>
      <c r="G15" s="38"/>
      <c r="H15" s="70">
        <v>-3.3535645486757197E-3</v>
      </c>
      <c r="I15" s="72"/>
      <c r="J15" s="53">
        <v>1.5871624458567501E-2</v>
      </c>
      <c r="K15" s="38"/>
      <c r="L15" s="38"/>
      <c r="M15" s="38"/>
      <c r="N15" s="38"/>
      <c r="O15" s="38"/>
      <c r="P15" s="38"/>
      <c r="Q15" s="38"/>
      <c r="R15" s="38"/>
      <c r="S15" s="38"/>
    </row>
    <row r="16" spans="1:19" x14ac:dyDescent="0.25">
      <c r="A16" s="67">
        <v>37195</v>
      </c>
      <c r="B16" s="8">
        <v>2125.6848</v>
      </c>
      <c r="C16" s="53">
        <f t="shared" si="0"/>
        <v>1.9064656200449059E-2</v>
      </c>
      <c r="D16" s="62"/>
      <c r="E16" s="8">
        <v>470.7527</v>
      </c>
      <c r="F16" s="53">
        <f t="shared" si="1"/>
        <v>5.8542280398427904E-2</v>
      </c>
      <c r="G16" s="38"/>
      <c r="H16" s="70">
        <v>2.46111517896196E-2</v>
      </c>
      <c r="I16" s="72"/>
      <c r="J16" s="53">
        <v>2.7704337569862802E-2</v>
      </c>
      <c r="K16" s="38"/>
      <c r="L16" s="38"/>
      <c r="M16" s="38"/>
      <c r="N16" s="38"/>
      <c r="O16" s="38"/>
      <c r="P16" s="38"/>
      <c r="Q16" s="38"/>
      <c r="R16" s="38"/>
      <c r="S16" s="38"/>
    </row>
    <row r="17" spans="1:19" x14ac:dyDescent="0.25">
      <c r="A17" s="67">
        <v>37225</v>
      </c>
      <c r="B17" s="8">
        <v>2288.7179000000001</v>
      </c>
      <c r="C17" s="53">
        <f t="shared" si="0"/>
        <v>7.6696742621483738E-2</v>
      </c>
      <c r="D17" s="62"/>
      <c r="E17" s="8">
        <v>507.18709999999999</v>
      </c>
      <c r="F17" s="53">
        <f t="shared" si="1"/>
        <v>7.7396051047609493E-2</v>
      </c>
      <c r="G17" s="38"/>
      <c r="H17" s="70">
        <v>-8.4510694576344601E-3</v>
      </c>
      <c r="I17" s="72"/>
      <c r="J17" s="53">
        <v>-2.4762182744683798E-2</v>
      </c>
      <c r="K17" s="38"/>
      <c r="L17" s="38"/>
      <c r="M17" s="38"/>
      <c r="N17" s="38"/>
      <c r="O17" s="38"/>
      <c r="P17" s="38"/>
      <c r="Q17" s="38"/>
      <c r="R17" s="38"/>
      <c r="S17" s="38"/>
    </row>
    <row r="18" spans="1:19" x14ac:dyDescent="0.25">
      <c r="A18" s="67">
        <v>37256</v>
      </c>
      <c r="B18" s="8">
        <v>2308.7838999999999</v>
      </c>
      <c r="C18" s="53">
        <f t="shared" si="0"/>
        <v>8.7673539845167792E-3</v>
      </c>
      <c r="D18" s="62"/>
      <c r="E18" s="8">
        <v>538.49609999999996</v>
      </c>
      <c r="F18" s="53">
        <f t="shared" si="1"/>
        <v>6.1730670989068814E-2</v>
      </c>
      <c r="G18" s="38"/>
      <c r="H18" s="70">
        <v>-7.23598025249485E-3</v>
      </c>
      <c r="I18" s="72"/>
      <c r="J18" s="53">
        <v>-9.7352342331481594E-3</v>
      </c>
      <c r="K18" s="38"/>
      <c r="L18" s="38"/>
      <c r="M18" s="38"/>
      <c r="N18" s="38"/>
      <c r="O18" s="38"/>
      <c r="P18" s="38"/>
      <c r="Q18" s="38"/>
      <c r="R18" s="38"/>
      <c r="S18" s="38"/>
    </row>
    <row r="19" spans="1:19" x14ac:dyDescent="0.25">
      <c r="A19" s="67">
        <v>37287</v>
      </c>
      <c r="B19" s="8">
        <v>2275.1138000000001</v>
      </c>
      <c r="C19" s="53">
        <f t="shared" si="0"/>
        <v>-1.4583478341130052E-2</v>
      </c>
      <c r="D19" s="62"/>
      <c r="E19" s="8">
        <v>532.92899999999997</v>
      </c>
      <c r="F19" s="53">
        <f t="shared" ref="F19:F82" si="2">E19/E18-1</f>
        <v>-1.0338236432910097E-2</v>
      </c>
      <c r="G19" s="38"/>
      <c r="H19" s="70">
        <v>8.4865751822106802E-3</v>
      </c>
      <c r="I19" s="72"/>
      <c r="J19" s="53">
        <v>6.7287545747760002E-3</v>
      </c>
      <c r="K19" s="38"/>
      <c r="L19" s="38"/>
      <c r="M19" s="38"/>
      <c r="N19" s="38"/>
      <c r="O19" s="38"/>
      <c r="P19" s="38"/>
      <c r="Q19" s="38"/>
      <c r="R19" s="38"/>
      <c r="S19" s="38"/>
    </row>
    <row r="20" spans="1:19" x14ac:dyDescent="0.25">
      <c r="A20" s="67">
        <v>37315</v>
      </c>
      <c r="B20" s="8">
        <v>2231.1968999999999</v>
      </c>
      <c r="C20" s="53">
        <f t="shared" ref="C20:C83" si="3">B20/B19-1</f>
        <v>-1.9303166285572271E-2</v>
      </c>
      <c r="D20" s="62"/>
      <c r="E20" s="8">
        <v>518.33349999999996</v>
      </c>
      <c r="F20" s="53">
        <f t="shared" si="2"/>
        <v>-2.7387325516156968E-2</v>
      </c>
      <c r="G20" s="38"/>
      <c r="H20" s="70">
        <v>6.60057461868828E-3</v>
      </c>
      <c r="I20" s="72"/>
      <c r="J20" s="53">
        <v>9.0083032423433195E-3</v>
      </c>
      <c r="K20" s="38"/>
      <c r="L20" s="38"/>
      <c r="M20" s="38"/>
      <c r="N20" s="38"/>
      <c r="O20" s="38"/>
      <c r="P20" s="38"/>
      <c r="Q20" s="38"/>
      <c r="R20" s="38"/>
      <c r="S20" s="38"/>
    </row>
    <row r="21" spans="1:19" x14ac:dyDescent="0.25">
      <c r="A21" s="67">
        <v>37344</v>
      </c>
      <c r="B21" s="8">
        <v>2315.1057000000001</v>
      </c>
      <c r="C21" s="53">
        <f t="shared" si="3"/>
        <v>3.7607079859245163E-2</v>
      </c>
      <c r="D21" s="62"/>
      <c r="E21" s="8">
        <v>559.98360000000002</v>
      </c>
      <c r="F21" s="53">
        <f t="shared" si="2"/>
        <v>8.0353864837985789E-2</v>
      </c>
      <c r="G21" s="38"/>
      <c r="H21" s="70">
        <v>-1.8578750751529899E-2</v>
      </c>
      <c r="I21" s="72"/>
      <c r="J21" s="53">
        <v>-2.40589439177759E-2</v>
      </c>
      <c r="K21" s="38"/>
      <c r="L21" s="38"/>
      <c r="M21" s="38"/>
      <c r="N21" s="38"/>
      <c r="O21" s="38"/>
      <c r="P21" s="38"/>
      <c r="Q21" s="38"/>
      <c r="R21" s="38"/>
      <c r="S21" s="38"/>
    </row>
    <row r="22" spans="1:19" x14ac:dyDescent="0.25">
      <c r="A22" s="67">
        <v>37376</v>
      </c>
      <c r="B22" s="8">
        <v>2174.7892999999999</v>
      </c>
      <c r="C22" s="53">
        <f t="shared" si="3"/>
        <v>-6.0609068518988174E-2</v>
      </c>
      <c r="D22" s="62"/>
      <c r="E22" s="8">
        <v>565.06769999999995</v>
      </c>
      <c r="F22" s="53">
        <f t="shared" si="2"/>
        <v>9.0790158854650027E-3</v>
      </c>
      <c r="G22" s="38"/>
      <c r="H22" s="70">
        <v>1.2610119145883001E-2</v>
      </c>
      <c r="I22" s="72"/>
      <c r="J22" s="53">
        <v>2.48816535613425E-2</v>
      </c>
      <c r="K22" s="38"/>
      <c r="L22" s="38"/>
      <c r="M22" s="38"/>
      <c r="N22" s="38"/>
      <c r="O22" s="38"/>
      <c r="P22" s="38"/>
      <c r="Q22" s="38"/>
      <c r="R22" s="38"/>
      <c r="S22" s="38"/>
    </row>
    <row r="23" spans="1:19" x14ac:dyDescent="0.25">
      <c r="A23" s="67">
        <v>37407</v>
      </c>
      <c r="B23" s="8">
        <v>2158.8110999999999</v>
      </c>
      <c r="C23" s="53">
        <f t="shared" si="3"/>
        <v>-7.3470105816687559E-3</v>
      </c>
      <c r="D23" s="62"/>
      <c r="E23" s="8">
        <v>540.01649999999995</v>
      </c>
      <c r="F23" s="53">
        <f t="shared" si="2"/>
        <v>-4.4333094954816965E-2</v>
      </c>
      <c r="G23" s="38"/>
      <c r="H23" s="70">
        <v>1.4065164906361999E-2</v>
      </c>
      <c r="I23" s="72"/>
      <c r="J23" s="53">
        <v>5.6002040789246196E-3</v>
      </c>
      <c r="K23" s="38"/>
      <c r="L23" s="38"/>
      <c r="M23" s="38"/>
      <c r="N23" s="38"/>
      <c r="O23" s="38"/>
      <c r="P23" s="38"/>
      <c r="Q23" s="38"/>
      <c r="R23" s="38"/>
      <c r="S23" s="38"/>
    </row>
    <row r="24" spans="1:19" x14ac:dyDescent="0.25">
      <c r="A24" s="67">
        <v>37435</v>
      </c>
      <c r="B24" s="8">
        <v>2005.2842000000001</v>
      </c>
      <c r="C24" s="53">
        <f t="shared" si="3"/>
        <v>-7.1116412177054222E-2</v>
      </c>
      <c r="D24" s="62"/>
      <c r="E24" s="8">
        <v>513.15779999999995</v>
      </c>
      <c r="F24" s="53">
        <f t="shared" si="2"/>
        <v>-4.9736813597362262E-2</v>
      </c>
      <c r="G24" s="38"/>
      <c r="H24" s="70">
        <v>9.5585494605870001E-5</v>
      </c>
      <c r="I24" s="72"/>
      <c r="J24" s="53">
        <v>1.41175484629395E-2</v>
      </c>
      <c r="K24" s="38"/>
      <c r="L24" s="38"/>
      <c r="M24" s="38"/>
      <c r="N24" s="38"/>
      <c r="O24" s="38"/>
      <c r="P24" s="38"/>
      <c r="Q24" s="38"/>
      <c r="R24" s="38"/>
      <c r="S24" s="38"/>
    </row>
    <row r="25" spans="1:19" x14ac:dyDescent="0.25">
      <c r="A25" s="67">
        <v>37468</v>
      </c>
      <c r="B25" s="8">
        <v>1849.0233000000001</v>
      </c>
      <c r="C25" s="53">
        <f t="shared" si="3"/>
        <v>-7.7924565505477994E-2</v>
      </c>
      <c r="D25" s="62"/>
      <c r="E25" s="8">
        <v>435.65839999999997</v>
      </c>
      <c r="F25" s="53">
        <f t="shared" si="2"/>
        <v>-0.15102449967631781</v>
      </c>
      <c r="G25" s="38"/>
      <c r="H25" s="70">
        <v>-3.6349877621620901E-3</v>
      </c>
      <c r="I25" s="72"/>
      <c r="J25" s="53">
        <v>2.36902564331989E-2</v>
      </c>
      <c r="K25" s="38"/>
      <c r="L25" s="38"/>
      <c r="M25" s="38"/>
      <c r="N25" s="38"/>
      <c r="O25" s="38"/>
      <c r="P25" s="38"/>
      <c r="Q25" s="38"/>
      <c r="R25" s="38"/>
      <c r="S25" s="38"/>
    </row>
    <row r="26" spans="1:19" x14ac:dyDescent="0.25">
      <c r="A26" s="67">
        <v>37498</v>
      </c>
      <c r="B26" s="8">
        <v>1861.1066000000001</v>
      </c>
      <c r="C26" s="53">
        <f t="shared" si="3"/>
        <v>6.5349636210640938E-3</v>
      </c>
      <c r="D26" s="62"/>
      <c r="E26" s="8">
        <v>434.52679999999998</v>
      </c>
      <c r="F26" s="53">
        <f t="shared" si="2"/>
        <v>-2.5974479087285118E-3</v>
      </c>
      <c r="G26" s="38"/>
      <c r="H26" s="70">
        <v>2.6521311103965498E-2</v>
      </c>
      <c r="I26" s="72"/>
      <c r="J26" s="53">
        <v>2.1620984782893302E-2</v>
      </c>
      <c r="K26" s="38"/>
      <c r="L26" s="38"/>
      <c r="M26" s="38"/>
      <c r="N26" s="38"/>
      <c r="O26" s="38"/>
      <c r="P26" s="38"/>
      <c r="Q26" s="38"/>
      <c r="R26" s="38"/>
      <c r="S26" s="38"/>
    </row>
    <row r="27" spans="1:19" x14ac:dyDescent="0.25">
      <c r="A27" s="67">
        <v>37529</v>
      </c>
      <c r="B27" s="8">
        <v>1659.027</v>
      </c>
      <c r="C27" s="53">
        <f t="shared" si="3"/>
        <v>-0.10858034676788531</v>
      </c>
      <c r="D27" s="62"/>
      <c r="E27" s="8">
        <v>403.3424</v>
      </c>
      <c r="F27" s="53">
        <f t="shared" si="2"/>
        <v>-7.1766344446418495E-2</v>
      </c>
      <c r="G27" s="38"/>
      <c r="H27" s="70">
        <v>1.9071815350789601E-2</v>
      </c>
      <c r="I27" s="72"/>
      <c r="J27" s="53">
        <v>2.6961840276647102E-2</v>
      </c>
      <c r="K27" s="38"/>
      <c r="L27" s="38"/>
      <c r="M27" s="38"/>
      <c r="N27" s="38"/>
      <c r="O27" s="38"/>
      <c r="P27" s="38"/>
      <c r="Q27" s="38"/>
      <c r="R27" s="38"/>
      <c r="S27" s="38"/>
    </row>
    <row r="28" spans="1:19" x14ac:dyDescent="0.25">
      <c r="A28" s="67">
        <v>37560</v>
      </c>
      <c r="B28" s="8">
        <v>1804.904</v>
      </c>
      <c r="C28" s="53">
        <f t="shared" si="3"/>
        <v>8.7929250096592693E-2</v>
      </c>
      <c r="D28" s="62"/>
      <c r="E28" s="8">
        <v>416.24489999999997</v>
      </c>
      <c r="F28" s="53">
        <f t="shared" si="2"/>
        <v>3.1988950331033772E-2</v>
      </c>
      <c r="G28" s="38"/>
      <c r="H28" s="70">
        <v>-1.34203982262924E-2</v>
      </c>
      <c r="I28" s="72"/>
      <c r="J28" s="53">
        <v>-1.10660394434587E-2</v>
      </c>
      <c r="K28" s="38"/>
      <c r="L28" s="38"/>
      <c r="M28" s="38"/>
      <c r="N28" s="38"/>
      <c r="O28" s="38"/>
      <c r="P28" s="38"/>
      <c r="Q28" s="38"/>
      <c r="R28" s="38"/>
      <c r="S28" s="38"/>
    </row>
    <row r="29" spans="1:19" x14ac:dyDescent="0.25">
      <c r="A29" s="67">
        <v>37589</v>
      </c>
      <c r="B29" s="8">
        <v>1911.038</v>
      </c>
      <c r="C29" s="53">
        <f t="shared" si="3"/>
        <v>5.8803127479356343E-2</v>
      </c>
      <c r="D29" s="62"/>
      <c r="E29" s="8">
        <v>453.3562</v>
      </c>
      <c r="F29" s="53">
        <f t="shared" si="2"/>
        <v>8.9157368654847247E-2</v>
      </c>
      <c r="G29" s="38"/>
      <c r="H29" s="70">
        <v>1.5634610546116999E-2</v>
      </c>
      <c r="I29" s="72"/>
      <c r="J29" s="53">
        <v>-9.9037212879510197E-3</v>
      </c>
      <c r="K29" s="38"/>
      <c r="L29" s="38"/>
      <c r="M29" s="38"/>
      <c r="N29" s="38"/>
      <c r="O29" s="38"/>
      <c r="P29" s="38"/>
      <c r="Q29" s="38"/>
      <c r="R29" s="38"/>
      <c r="S29" s="38"/>
    </row>
    <row r="30" spans="1:19" x14ac:dyDescent="0.25">
      <c r="A30" s="67">
        <v>37621</v>
      </c>
      <c r="B30" s="8">
        <v>1798.8</v>
      </c>
      <c r="C30" s="53">
        <f t="shared" si="3"/>
        <v>-5.8731432865280597E-2</v>
      </c>
      <c r="D30" s="62"/>
      <c r="E30" s="8">
        <v>428.16699999999997</v>
      </c>
      <c r="F30" s="53">
        <f t="shared" si="2"/>
        <v>-5.5561609171772774E-2</v>
      </c>
      <c r="G30" s="38"/>
      <c r="H30" s="70">
        <v>3.0530673217475202E-2</v>
      </c>
      <c r="I30" s="72"/>
      <c r="J30" s="53">
        <v>2.5980700631685099E-2</v>
      </c>
      <c r="K30" s="38"/>
      <c r="L30" s="38"/>
      <c r="M30" s="38"/>
      <c r="N30" s="38"/>
      <c r="O30" s="38"/>
      <c r="P30" s="38"/>
      <c r="Q30" s="38"/>
      <c r="R30" s="38"/>
      <c r="S30" s="38"/>
    </row>
    <row r="31" spans="1:19" x14ac:dyDescent="0.25">
      <c r="A31" s="67">
        <v>37652</v>
      </c>
      <c r="B31" s="8">
        <v>1751.7702999999999</v>
      </c>
      <c r="C31" s="53">
        <f t="shared" si="3"/>
        <v>-2.6145041138536884E-2</v>
      </c>
      <c r="D31" s="62"/>
      <c r="E31" s="8">
        <v>416.32940000000002</v>
      </c>
      <c r="F31" s="53">
        <f t="shared" si="2"/>
        <v>-2.764715636655779E-2</v>
      </c>
      <c r="G31" s="38"/>
      <c r="H31" s="70">
        <v>4.21152631038723E-3</v>
      </c>
      <c r="I31" s="72"/>
      <c r="J31" s="53">
        <v>-3.0381381484432799E-3</v>
      </c>
      <c r="K31" s="38"/>
      <c r="L31" s="38"/>
      <c r="M31" s="38"/>
      <c r="N31" s="38"/>
      <c r="O31" s="38"/>
      <c r="P31" s="38"/>
      <c r="Q31" s="38"/>
      <c r="R31" s="38"/>
      <c r="S31" s="38"/>
    </row>
    <row r="32" spans="1:19" x14ac:dyDescent="0.25">
      <c r="A32" s="67">
        <v>37680</v>
      </c>
      <c r="B32" s="8">
        <v>1725.4492</v>
      </c>
      <c r="C32" s="53">
        <f t="shared" si="3"/>
        <v>-1.502542884760627E-2</v>
      </c>
      <c r="D32" s="62"/>
      <c r="E32" s="8">
        <v>403.7491</v>
      </c>
      <c r="F32" s="53">
        <f t="shared" si="2"/>
        <v>-3.0217178993364402E-2</v>
      </c>
      <c r="G32" s="38"/>
      <c r="H32" s="70">
        <v>2.0542505761831503E-2</v>
      </c>
      <c r="I32" s="72"/>
      <c r="J32" s="53">
        <v>1.7203701982044E-2</v>
      </c>
      <c r="K32" s="38"/>
      <c r="L32" s="38"/>
      <c r="M32" s="38"/>
      <c r="N32" s="38"/>
      <c r="O32" s="38"/>
      <c r="P32" s="38"/>
      <c r="Q32" s="38"/>
      <c r="R32" s="38"/>
      <c r="S32" s="38"/>
    </row>
    <row r="33" spans="1:19" x14ac:dyDescent="0.25">
      <c r="A33" s="67">
        <v>37711</v>
      </c>
      <c r="B33" s="8">
        <v>1742.136</v>
      </c>
      <c r="C33" s="53">
        <f t="shared" si="3"/>
        <v>9.6709888648127684E-3</v>
      </c>
      <c r="D33" s="62"/>
      <c r="E33" s="8">
        <v>408.93729999999999</v>
      </c>
      <c r="F33" s="53">
        <f t="shared" si="2"/>
        <v>1.2850059603848107E-2</v>
      </c>
      <c r="G33" s="38"/>
      <c r="H33" s="70">
        <v>4.2933688021173E-4</v>
      </c>
      <c r="I33" s="72"/>
      <c r="J33" s="53">
        <v>-4.1598892626092095E-3</v>
      </c>
      <c r="K33" s="38"/>
      <c r="L33" s="38"/>
      <c r="M33" s="38"/>
      <c r="N33" s="38"/>
      <c r="O33" s="38"/>
      <c r="P33" s="38"/>
      <c r="Q33" s="38"/>
      <c r="R33" s="38"/>
      <c r="S33" s="38"/>
    </row>
    <row r="34" spans="1:19" x14ac:dyDescent="0.25">
      <c r="A34" s="67">
        <v>37741</v>
      </c>
      <c r="B34" s="8">
        <v>1885.5246</v>
      </c>
      <c r="C34" s="53">
        <f t="shared" si="3"/>
        <v>8.2306203419250767E-2</v>
      </c>
      <c r="D34" s="62"/>
      <c r="E34" s="8">
        <v>447.69540000000001</v>
      </c>
      <c r="F34" s="53">
        <f t="shared" si="2"/>
        <v>9.4777610161753456E-2</v>
      </c>
      <c r="G34" s="38"/>
      <c r="H34" s="70">
        <v>1.99603686237541E-2</v>
      </c>
      <c r="I34" s="72"/>
      <c r="J34" s="53">
        <v>4.6506858525877295E-3</v>
      </c>
      <c r="K34" s="38"/>
      <c r="L34" s="38"/>
      <c r="M34" s="38"/>
      <c r="N34" s="38"/>
      <c r="O34" s="38"/>
      <c r="P34" s="38"/>
      <c r="Q34" s="38"/>
      <c r="R34" s="38"/>
      <c r="S34" s="38"/>
    </row>
    <row r="35" spans="1:19" x14ac:dyDescent="0.25">
      <c r="A35" s="67">
        <v>37771</v>
      </c>
      <c r="B35" s="8">
        <v>1984.7654</v>
      </c>
      <c r="C35" s="53">
        <f t="shared" si="3"/>
        <v>5.2632991370147097E-2</v>
      </c>
      <c r="D35" s="62"/>
      <c r="E35" s="8">
        <v>495.70839999999998</v>
      </c>
      <c r="F35" s="53">
        <f t="shared" si="2"/>
        <v>0.10724479188305258</v>
      </c>
      <c r="G35" s="38"/>
      <c r="H35" s="70">
        <v>3.2407422029621796E-2</v>
      </c>
      <c r="I35" s="72"/>
      <c r="J35" s="53">
        <v>2.8840253070987001E-2</v>
      </c>
      <c r="K35" s="38"/>
      <c r="L35" s="38"/>
      <c r="M35" s="38"/>
      <c r="N35" s="38"/>
      <c r="O35" s="38"/>
      <c r="P35" s="38"/>
      <c r="Q35" s="38"/>
      <c r="R35" s="38"/>
      <c r="S35" s="38"/>
    </row>
    <row r="36" spans="1:19" x14ac:dyDescent="0.25">
      <c r="A36" s="67">
        <v>37802</v>
      </c>
      <c r="B36" s="8">
        <v>2010.1196</v>
      </c>
      <c r="C36" s="53">
        <f t="shared" si="3"/>
        <v>1.2774406486529832E-2</v>
      </c>
      <c r="D36" s="62"/>
      <c r="E36" s="8">
        <v>504.70339999999999</v>
      </c>
      <c r="F36" s="53">
        <f t="shared" si="2"/>
        <v>1.8145748589291522E-2</v>
      </c>
      <c r="G36" s="38"/>
      <c r="H36" s="70">
        <v>-2.28345768686937E-3</v>
      </c>
      <c r="I36" s="72"/>
      <c r="J36" s="53">
        <v>-6.1218595131379006E-3</v>
      </c>
      <c r="K36" s="38"/>
      <c r="L36" s="38"/>
      <c r="M36" s="38"/>
      <c r="N36" s="38"/>
      <c r="O36" s="38"/>
      <c r="P36" s="38"/>
      <c r="Q36" s="38"/>
      <c r="R36" s="38"/>
      <c r="S36" s="38"/>
    </row>
    <row r="37" spans="1:19" x14ac:dyDescent="0.25">
      <c r="A37" s="67">
        <v>37833</v>
      </c>
      <c r="B37" s="8">
        <v>2045.4984999999999</v>
      </c>
      <c r="C37" s="53">
        <f t="shared" si="3"/>
        <v>1.7600395518754253E-2</v>
      </c>
      <c r="D37" s="62"/>
      <c r="E37" s="8">
        <v>536.25390000000004</v>
      </c>
      <c r="F37" s="53">
        <f t="shared" si="2"/>
        <v>6.2512953152287221E-2</v>
      </c>
      <c r="G37" s="38"/>
      <c r="H37" s="70">
        <v>-4.3438745639011504E-2</v>
      </c>
      <c r="I37" s="72"/>
      <c r="J37" s="53">
        <v>-4.3926687831454904E-2</v>
      </c>
      <c r="K37" s="38"/>
      <c r="L37" s="38"/>
      <c r="M37" s="38"/>
      <c r="N37" s="38"/>
      <c r="O37" s="38"/>
      <c r="P37" s="38"/>
      <c r="Q37" s="38"/>
      <c r="R37" s="38"/>
      <c r="S37" s="38"/>
    </row>
    <row r="38" spans="1:19" x14ac:dyDescent="0.25">
      <c r="A38" s="67">
        <v>37862</v>
      </c>
      <c r="B38" s="8">
        <v>2085.3056000000001</v>
      </c>
      <c r="C38" s="53">
        <f t="shared" si="3"/>
        <v>1.9460830697260567E-2</v>
      </c>
      <c r="D38" s="62"/>
      <c r="E38" s="8">
        <v>560.81190000000004</v>
      </c>
      <c r="F38" s="53">
        <f t="shared" si="2"/>
        <v>4.5795471137832333E-2</v>
      </c>
      <c r="G38" s="38"/>
      <c r="H38" s="70">
        <v>8.3151860930943504E-3</v>
      </c>
      <c r="I38" s="72"/>
      <c r="J38" s="53">
        <v>5.9348006101100905E-3</v>
      </c>
      <c r="K38" s="38"/>
      <c r="L38" s="38"/>
      <c r="M38" s="38"/>
      <c r="N38" s="38"/>
      <c r="O38" s="38"/>
      <c r="P38" s="38"/>
      <c r="Q38" s="38"/>
      <c r="R38" s="38"/>
      <c r="S38" s="38"/>
    </row>
    <row r="39" spans="1:19" x14ac:dyDescent="0.25">
      <c r="A39" s="67">
        <v>37894</v>
      </c>
      <c r="B39" s="8">
        <v>2063.1981999999998</v>
      </c>
      <c r="C39" s="53">
        <f t="shared" si="3"/>
        <v>-1.0601515672331363E-2</v>
      </c>
      <c r="D39" s="62"/>
      <c r="E39" s="8">
        <v>550.46960000000001</v>
      </c>
      <c r="F39" s="53">
        <f t="shared" si="2"/>
        <v>-1.8441655749458996E-2</v>
      </c>
      <c r="G39" s="38"/>
      <c r="H39" s="70">
        <v>3.58088731560227E-2</v>
      </c>
      <c r="I39" s="72"/>
      <c r="J39" s="53">
        <v>3.0151717226249302E-2</v>
      </c>
      <c r="K39" s="38"/>
      <c r="L39" s="38"/>
      <c r="M39" s="38"/>
      <c r="N39" s="38"/>
      <c r="O39" s="38"/>
      <c r="P39" s="38"/>
      <c r="Q39" s="38"/>
      <c r="R39" s="38"/>
      <c r="S39" s="38"/>
    </row>
    <row r="40" spans="1:19" x14ac:dyDescent="0.25">
      <c r="A40" s="67">
        <v>37925</v>
      </c>
      <c r="B40" s="8">
        <v>2179.7968999999998</v>
      </c>
      <c r="C40" s="53">
        <f t="shared" si="3"/>
        <v>5.6513571987412581E-2</v>
      </c>
      <c r="D40" s="62"/>
      <c r="E40" s="8">
        <v>596.67319999999995</v>
      </c>
      <c r="F40" s="53">
        <f t="shared" si="2"/>
        <v>8.3934880327632966E-2</v>
      </c>
      <c r="G40" s="38"/>
      <c r="H40" s="70">
        <v>-1.05176297494947E-2</v>
      </c>
      <c r="I40" s="72"/>
      <c r="J40" s="53">
        <v>-1.52571834839152E-2</v>
      </c>
      <c r="K40" s="38"/>
      <c r="L40" s="38"/>
      <c r="M40" s="38"/>
      <c r="N40" s="38"/>
      <c r="O40" s="38"/>
      <c r="P40" s="38"/>
      <c r="Q40" s="38"/>
      <c r="R40" s="38"/>
      <c r="S40" s="38"/>
    </row>
    <row r="41" spans="1:19" x14ac:dyDescent="0.25">
      <c r="A41" s="67">
        <v>37953</v>
      </c>
      <c r="B41" s="8">
        <v>2198.9196000000002</v>
      </c>
      <c r="C41" s="53">
        <f t="shared" si="3"/>
        <v>8.7726980435656188E-3</v>
      </c>
      <c r="D41" s="62"/>
      <c r="E41" s="8">
        <v>617.77170000000001</v>
      </c>
      <c r="F41" s="53">
        <f t="shared" si="2"/>
        <v>3.5360227340527572E-2</v>
      </c>
      <c r="G41" s="38"/>
      <c r="H41" s="70">
        <v>5.0770224222570805E-3</v>
      </c>
      <c r="I41" s="72"/>
      <c r="J41" s="53">
        <v>1.2510305831174302E-3</v>
      </c>
      <c r="K41" s="38"/>
      <c r="L41" s="38"/>
      <c r="M41" s="38"/>
      <c r="N41" s="38"/>
      <c r="O41" s="38"/>
      <c r="P41" s="38"/>
      <c r="Q41" s="38"/>
      <c r="R41" s="38"/>
      <c r="S41" s="38"/>
    </row>
    <row r="42" spans="1:19" x14ac:dyDescent="0.25">
      <c r="A42" s="67">
        <v>37986</v>
      </c>
      <c r="B42" s="8">
        <v>2314.1095</v>
      </c>
      <c r="C42" s="53">
        <f t="shared" si="3"/>
        <v>5.2384771139426745E-2</v>
      </c>
      <c r="D42" s="62"/>
      <c r="E42" s="8">
        <v>630.48030000000006</v>
      </c>
      <c r="F42" s="53">
        <f t="shared" si="2"/>
        <v>2.0571677206968175E-2</v>
      </c>
      <c r="G42" s="38"/>
      <c r="H42" s="70">
        <v>1.1389488856173101E-2</v>
      </c>
      <c r="I42" s="72"/>
      <c r="J42" s="53">
        <v>8.8565100348615197E-3</v>
      </c>
      <c r="K42" s="38"/>
      <c r="L42" s="38"/>
      <c r="M42" s="38"/>
      <c r="N42" s="38"/>
      <c r="O42" s="38"/>
      <c r="P42" s="38"/>
      <c r="Q42" s="38"/>
      <c r="R42" s="38"/>
      <c r="S42" s="38"/>
    </row>
    <row r="43" spans="1:19" x14ac:dyDescent="0.25">
      <c r="A43" s="67">
        <v>38016</v>
      </c>
      <c r="B43" s="8">
        <v>2356.5801999999999</v>
      </c>
      <c r="C43" s="53">
        <f t="shared" si="3"/>
        <v>1.8352934465719839E-2</v>
      </c>
      <c r="D43" s="62"/>
      <c r="E43" s="8">
        <v>657.83960000000002</v>
      </c>
      <c r="F43" s="53">
        <f t="shared" si="2"/>
        <v>4.3394377270788542E-2</v>
      </c>
      <c r="G43" s="38"/>
      <c r="H43" s="70">
        <v>1.04806687890335E-2</v>
      </c>
      <c r="I43" s="72"/>
      <c r="J43" s="53">
        <v>8.5177966972323597E-3</v>
      </c>
      <c r="K43" s="38"/>
      <c r="L43" s="38"/>
      <c r="M43" s="38"/>
      <c r="N43" s="38"/>
      <c r="O43" s="38"/>
      <c r="P43" s="38"/>
      <c r="Q43" s="38"/>
      <c r="R43" s="38"/>
      <c r="S43" s="38"/>
    </row>
    <row r="44" spans="1:19" x14ac:dyDescent="0.25">
      <c r="A44" s="67">
        <v>38044</v>
      </c>
      <c r="B44" s="8">
        <v>2389.3231000000001</v>
      </c>
      <c r="C44" s="53">
        <f t="shared" si="3"/>
        <v>1.3894243870843148E-2</v>
      </c>
      <c r="D44" s="62"/>
      <c r="E44" s="8">
        <v>663.76430000000005</v>
      </c>
      <c r="F44" s="53">
        <f t="shared" si="2"/>
        <v>9.0062987998897892E-3</v>
      </c>
      <c r="G44" s="38"/>
      <c r="H44" s="70">
        <v>1.2451714197758701E-2</v>
      </c>
      <c r="I44" s="72"/>
      <c r="J44" s="53">
        <v>1.2390715785454001E-2</v>
      </c>
      <c r="K44" s="38"/>
      <c r="L44" s="38"/>
      <c r="M44" s="38"/>
      <c r="N44" s="38"/>
      <c r="O44" s="38"/>
      <c r="P44" s="38"/>
      <c r="Q44" s="38"/>
      <c r="R44" s="38"/>
      <c r="S44" s="38"/>
    </row>
    <row r="45" spans="1:19" x14ac:dyDescent="0.25">
      <c r="A45" s="67">
        <v>38077</v>
      </c>
      <c r="B45" s="8">
        <v>2353.2763</v>
      </c>
      <c r="C45" s="53">
        <f t="shared" si="3"/>
        <v>-1.5086615954116867E-2</v>
      </c>
      <c r="D45" s="62"/>
      <c r="E45" s="8">
        <v>669.85709999999995</v>
      </c>
      <c r="F45" s="53">
        <f t="shared" si="2"/>
        <v>9.1791619404657521E-3</v>
      </c>
      <c r="G45" s="38"/>
      <c r="H45" s="70">
        <v>9.4471873161083696E-3</v>
      </c>
      <c r="I45" s="72"/>
      <c r="J45" s="53">
        <v>9.3835242536525598E-3</v>
      </c>
      <c r="K45" s="38"/>
      <c r="L45" s="38"/>
      <c r="M45" s="38"/>
      <c r="N45" s="38"/>
      <c r="O45" s="38"/>
      <c r="P45" s="38"/>
      <c r="Q45" s="38"/>
      <c r="R45" s="38"/>
      <c r="S45" s="38"/>
    </row>
    <row r="46" spans="1:19" x14ac:dyDescent="0.25">
      <c r="A46" s="67">
        <v>38107</v>
      </c>
      <c r="B46" s="8">
        <v>2316.3895000000002</v>
      </c>
      <c r="C46" s="53">
        <f t="shared" si="3"/>
        <v>-1.5674657497719124E-2</v>
      </c>
      <c r="D46" s="62"/>
      <c r="E46" s="8">
        <v>635.71479999999997</v>
      </c>
      <c r="F46" s="53">
        <f t="shared" si="2"/>
        <v>-5.096952767985885E-2</v>
      </c>
      <c r="G46" s="38"/>
      <c r="H46" s="70">
        <v>-3.1440231819398597E-2</v>
      </c>
      <c r="I46" s="72"/>
      <c r="J46" s="53">
        <v>-3.21608461239467E-2</v>
      </c>
      <c r="K46" s="38"/>
      <c r="L46" s="38"/>
      <c r="M46" s="38"/>
      <c r="N46" s="38"/>
      <c r="O46" s="38"/>
      <c r="P46" s="38"/>
      <c r="Q46" s="38"/>
      <c r="R46" s="38"/>
      <c r="S46" s="38"/>
    </row>
    <row r="47" spans="1:19" x14ac:dyDescent="0.25">
      <c r="A47" s="67">
        <v>38138</v>
      </c>
      <c r="B47" s="8">
        <v>2348.0906</v>
      </c>
      <c r="C47" s="53">
        <f t="shared" si="3"/>
        <v>1.3685565402536959E-2</v>
      </c>
      <c r="D47" s="62"/>
      <c r="E47" s="8">
        <v>645.81899999999996</v>
      </c>
      <c r="F47" s="53">
        <f t="shared" si="2"/>
        <v>1.5894234332754165E-2</v>
      </c>
      <c r="G47" s="38"/>
      <c r="H47" s="70">
        <v>-7.2398300357922997E-3</v>
      </c>
      <c r="I47" s="72"/>
      <c r="J47" s="53">
        <v>-3.4344859216049102E-3</v>
      </c>
      <c r="K47" s="38"/>
      <c r="L47" s="38"/>
      <c r="M47" s="38"/>
      <c r="N47" s="38"/>
      <c r="O47" s="38"/>
      <c r="P47" s="38"/>
      <c r="Q47" s="38"/>
      <c r="R47" s="38"/>
      <c r="S47" s="38"/>
    </row>
    <row r="48" spans="1:19" x14ac:dyDescent="0.25">
      <c r="A48" s="67">
        <v>38168</v>
      </c>
      <c r="B48" s="8">
        <v>2393.7201</v>
      </c>
      <c r="C48" s="53">
        <f t="shared" si="3"/>
        <v>1.9432597703001653E-2</v>
      </c>
      <c r="D48" s="62"/>
      <c r="E48" s="8">
        <v>673.00729999999999</v>
      </c>
      <c r="F48" s="53">
        <f t="shared" si="2"/>
        <v>4.2098947228248251E-2</v>
      </c>
      <c r="G48" s="38"/>
      <c r="H48" s="70">
        <v>4.4130730836398598E-3</v>
      </c>
      <c r="I48" s="72"/>
      <c r="J48" s="53">
        <v>4.01191047193357E-3</v>
      </c>
      <c r="K48" s="38"/>
      <c r="L48" s="38"/>
      <c r="M48" s="38"/>
      <c r="N48" s="38"/>
      <c r="O48" s="38"/>
      <c r="P48" s="38"/>
      <c r="Q48" s="38"/>
      <c r="R48" s="38"/>
      <c r="S48" s="38"/>
    </row>
    <row r="49" spans="1:19" x14ac:dyDescent="0.25">
      <c r="A49" s="67">
        <v>38198</v>
      </c>
      <c r="B49" s="8">
        <v>2314.5109000000002</v>
      </c>
      <c r="C49" s="53">
        <f t="shared" si="3"/>
        <v>-3.3090418549771017E-2</v>
      </c>
      <c r="D49" s="62"/>
      <c r="E49" s="8">
        <v>627.70759999999996</v>
      </c>
      <c r="F49" s="53">
        <f t="shared" si="2"/>
        <v>-6.7309373910208747E-2</v>
      </c>
      <c r="G49" s="38"/>
      <c r="H49" s="70">
        <v>1.2441895787068599E-2</v>
      </c>
      <c r="I49" s="72"/>
      <c r="J49" s="53">
        <v>9.5235461715749807E-3</v>
      </c>
      <c r="K49" s="38"/>
      <c r="L49" s="38"/>
      <c r="M49" s="38"/>
      <c r="N49" s="38"/>
      <c r="O49" s="38"/>
      <c r="P49" s="38"/>
      <c r="Q49" s="38"/>
      <c r="R49" s="38"/>
      <c r="S49" s="38"/>
    </row>
    <row r="50" spans="1:19" x14ac:dyDescent="0.25">
      <c r="A50" s="67">
        <v>38230</v>
      </c>
      <c r="B50" s="8">
        <v>2323.7755999999999</v>
      </c>
      <c r="C50" s="53">
        <f t="shared" si="3"/>
        <v>4.0028759423857974E-3</v>
      </c>
      <c r="D50" s="62"/>
      <c r="E50" s="8">
        <v>624.44029999999998</v>
      </c>
      <c r="F50" s="53">
        <f t="shared" si="2"/>
        <v>-5.2051305416725979E-3</v>
      </c>
      <c r="G50" s="38"/>
      <c r="H50" s="70">
        <v>2.3777696985285299E-2</v>
      </c>
      <c r="I50" s="72"/>
      <c r="J50" s="53">
        <v>2.0677608151822603E-2</v>
      </c>
      <c r="K50" s="38"/>
      <c r="L50" s="38"/>
      <c r="M50" s="38"/>
      <c r="N50" s="38"/>
      <c r="O50" s="38"/>
      <c r="P50" s="38"/>
      <c r="Q50" s="38"/>
      <c r="R50" s="38"/>
      <c r="S50" s="38"/>
    </row>
    <row r="51" spans="1:19" x14ac:dyDescent="0.25">
      <c r="A51" s="67">
        <v>38260</v>
      </c>
      <c r="B51" s="8">
        <v>2348.9409999999998</v>
      </c>
      <c r="C51" s="53">
        <f t="shared" si="3"/>
        <v>1.0829531044219465E-2</v>
      </c>
      <c r="D51" s="62"/>
      <c r="E51" s="8">
        <v>653.74950000000001</v>
      </c>
      <c r="F51" s="53">
        <f t="shared" si="2"/>
        <v>4.6936752800868398E-2</v>
      </c>
      <c r="G51" s="38"/>
      <c r="H51" s="70">
        <v>6.1606727523855201E-3</v>
      </c>
      <c r="I51" s="72"/>
      <c r="J51" s="53">
        <v>2.5731259748143398E-3</v>
      </c>
      <c r="K51" s="38"/>
      <c r="L51" s="38"/>
      <c r="M51" s="38"/>
      <c r="N51" s="38"/>
      <c r="O51" s="38"/>
      <c r="P51" s="38"/>
      <c r="Q51" s="38"/>
      <c r="R51" s="38"/>
      <c r="S51" s="38"/>
    </row>
    <row r="52" spans="1:19" x14ac:dyDescent="0.25">
      <c r="A52" s="67">
        <v>38289</v>
      </c>
      <c r="B52" s="8">
        <v>2384.8198000000002</v>
      </c>
      <c r="C52" s="53">
        <f t="shared" si="3"/>
        <v>1.5274457723714718E-2</v>
      </c>
      <c r="D52" s="62"/>
      <c r="E52" s="8">
        <v>666.6087</v>
      </c>
      <c r="F52" s="53">
        <f t="shared" si="2"/>
        <v>1.9669919441620998E-2</v>
      </c>
      <c r="G52" s="38"/>
      <c r="H52" s="70">
        <v>9.7573969583956491E-3</v>
      </c>
      <c r="I52" s="72"/>
      <c r="J52" s="53">
        <v>7.9273296134704102E-3</v>
      </c>
      <c r="K52" s="38"/>
      <c r="L52" s="38"/>
      <c r="M52" s="38"/>
      <c r="N52" s="38"/>
      <c r="O52" s="38"/>
      <c r="P52" s="38"/>
      <c r="Q52" s="38"/>
      <c r="R52" s="38"/>
      <c r="S52" s="38"/>
    </row>
    <row r="53" spans="1:19" x14ac:dyDescent="0.25">
      <c r="A53" s="67">
        <v>38321</v>
      </c>
      <c r="B53" s="8">
        <v>2481.2934</v>
      </c>
      <c r="C53" s="53">
        <f t="shared" si="3"/>
        <v>4.0453203214766864E-2</v>
      </c>
      <c r="D53" s="62"/>
      <c r="E53" s="8">
        <v>724.25570000000005</v>
      </c>
      <c r="F53" s="53">
        <f t="shared" si="2"/>
        <v>8.6478019263775074E-2</v>
      </c>
      <c r="G53" s="38"/>
      <c r="H53" s="70">
        <v>-1.0169669423743899E-2</v>
      </c>
      <c r="I53" s="72"/>
      <c r="J53" s="53">
        <v>-1.3427413943176701E-2</v>
      </c>
      <c r="K53" s="38"/>
      <c r="L53" s="38"/>
      <c r="M53" s="38"/>
      <c r="N53" s="38"/>
      <c r="O53" s="38"/>
      <c r="P53" s="38"/>
      <c r="Q53" s="38"/>
      <c r="R53" s="38"/>
      <c r="S53" s="38"/>
    </row>
    <row r="54" spans="1:19" x14ac:dyDescent="0.25">
      <c r="A54" s="67">
        <v>38352</v>
      </c>
      <c r="B54" s="8">
        <v>2565.6055999999999</v>
      </c>
      <c r="C54" s="53">
        <f t="shared" si="3"/>
        <v>3.3979133624423286E-2</v>
      </c>
      <c r="D54" s="62"/>
      <c r="E54" s="8">
        <v>745.62440000000004</v>
      </c>
      <c r="F54" s="53">
        <f t="shared" si="2"/>
        <v>2.950435875064561E-2</v>
      </c>
      <c r="G54" s="38"/>
      <c r="H54" s="70">
        <v>1.3678610609097299E-2</v>
      </c>
      <c r="I54" s="72"/>
      <c r="J54" s="53">
        <v>9.9086020174835206E-3</v>
      </c>
      <c r="K54" s="38"/>
      <c r="L54" s="38"/>
      <c r="M54" s="38"/>
      <c r="N54" s="38"/>
      <c r="O54" s="38"/>
      <c r="P54" s="38"/>
      <c r="Q54" s="38"/>
      <c r="R54" s="38"/>
      <c r="S54" s="38"/>
    </row>
    <row r="55" spans="1:19" x14ac:dyDescent="0.25">
      <c r="A55" s="67">
        <v>38383</v>
      </c>
      <c r="B55" s="8">
        <v>2503.0729000000001</v>
      </c>
      <c r="C55" s="53">
        <f t="shared" si="3"/>
        <v>-2.4373465664402905E-2</v>
      </c>
      <c r="D55" s="62"/>
      <c r="E55" s="8">
        <v>714.48950000000002</v>
      </c>
      <c r="F55" s="53">
        <f t="shared" si="2"/>
        <v>-4.1756814825265942E-2</v>
      </c>
      <c r="G55" s="38"/>
      <c r="H55" s="70">
        <v>7.9664163543257897E-3</v>
      </c>
      <c r="I55" s="72"/>
      <c r="J55" s="53">
        <v>7.3013496216167498E-3</v>
      </c>
      <c r="K55" s="38"/>
      <c r="L55" s="38"/>
      <c r="M55" s="38"/>
      <c r="N55" s="38"/>
      <c r="O55" s="38"/>
      <c r="P55" s="38"/>
      <c r="Q55" s="38"/>
      <c r="R55" s="38"/>
      <c r="S55" s="38"/>
    </row>
    <row r="56" spans="1:19" x14ac:dyDescent="0.25">
      <c r="A56" s="67">
        <v>38411</v>
      </c>
      <c r="B56" s="8">
        <v>2555.7239</v>
      </c>
      <c r="C56" s="53">
        <f t="shared" si="3"/>
        <v>2.1034545178448383E-2</v>
      </c>
      <c r="D56" s="62"/>
      <c r="E56" s="8">
        <v>726.56600000000003</v>
      </c>
      <c r="F56" s="53">
        <f t="shared" si="2"/>
        <v>1.69022777801493E-2</v>
      </c>
      <c r="G56" s="38"/>
      <c r="H56" s="70">
        <v>-5.9551388569041193E-3</v>
      </c>
      <c r="I56" s="72"/>
      <c r="J56" s="53">
        <v>-8.1675444382707796E-3</v>
      </c>
      <c r="K56" s="38"/>
      <c r="L56" s="38"/>
      <c r="M56" s="38"/>
      <c r="N56" s="38"/>
      <c r="O56" s="38"/>
      <c r="P56" s="38"/>
      <c r="Q56" s="38"/>
      <c r="R56" s="38"/>
      <c r="S56" s="38"/>
    </row>
    <row r="57" spans="1:19" x14ac:dyDescent="0.25">
      <c r="A57" s="67">
        <v>38442</v>
      </c>
      <c r="B57" s="8">
        <v>2510.5158999999999</v>
      </c>
      <c r="C57" s="53">
        <f t="shared" si="3"/>
        <v>-1.7688921718030715E-2</v>
      </c>
      <c r="D57" s="62"/>
      <c r="E57" s="8">
        <v>705.72410000000002</v>
      </c>
      <c r="F57" s="53">
        <f t="shared" si="2"/>
        <v>-2.8685487622597261E-2</v>
      </c>
      <c r="G57" s="38"/>
      <c r="H57" s="70">
        <v>-1.3254755252576401E-2</v>
      </c>
      <c r="I57" s="72"/>
      <c r="J57" s="53">
        <v>-3.2503524701314999E-3</v>
      </c>
      <c r="K57" s="38"/>
      <c r="L57" s="38"/>
      <c r="M57" s="38"/>
      <c r="N57" s="38"/>
      <c r="O57" s="38"/>
      <c r="P57" s="38"/>
      <c r="Q57" s="38"/>
      <c r="R57" s="38"/>
      <c r="S57" s="38"/>
    </row>
    <row r="58" spans="1:19" x14ac:dyDescent="0.25">
      <c r="A58" s="67">
        <v>38471</v>
      </c>
      <c r="B58" s="8">
        <v>2462.9184</v>
      </c>
      <c r="C58" s="53">
        <f t="shared" si="3"/>
        <v>-1.8959250566785824E-2</v>
      </c>
      <c r="D58" s="62"/>
      <c r="E58" s="8">
        <v>665.32690000000002</v>
      </c>
      <c r="F58" s="53">
        <f t="shared" si="2"/>
        <v>-5.7242199890863876E-2</v>
      </c>
      <c r="G58" s="38"/>
      <c r="H58" s="70">
        <v>1.2971864661360698E-2</v>
      </c>
      <c r="I58" s="72"/>
      <c r="J58" s="53">
        <v>1.7577178180284102E-2</v>
      </c>
      <c r="K58" s="38"/>
      <c r="L58" s="38"/>
      <c r="M58" s="38"/>
      <c r="N58" s="38"/>
      <c r="O58" s="38"/>
      <c r="P58" s="38"/>
      <c r="Q58" s="38"/>
      <c r="R58" s="38"/>
      <c r="S58" s="38"/>
    </row>
    <row r="59" spans="1:19" x14ac:dyDescent="0.25">
      <c r="A59" s="67">
        <v>38503</v>
      </c>
      <c r="B59" s="8">
        <v>2541.2199999999998</v>
      </c>
      <c r="C59" s="53">
        <f t="shared" si="3"/>
        <v>3.1792202291395455E-2</v>
      </c>
      <c r="D59" s="62"/>
      <c r="E59" s="8">
        <v>708.85260000000005</v>
      </c>
      <c r="F59" s="53">
        <f t="shared" si="2"/>
        <v>6.542002134589775E-2</v>
      </c>
      <c r="G59" s="38"/>
      <c r="H59" s="70">
        <v>1.3747235276124901E-2</v>
      </c>
      <c r="I59" s="72"/>
      <c r="J59" s="53">
        <v>1.2215902603408999E-2</v>
      </c>
      <c r="K59" s="38"/>
      <c r="L59" s="38"/>
      <c r="M59" s="38"/>
      <c r="N59" s="38"/>
      <c r="O59" s="38"/>
      <c r="P59" s="38"/>
      <c r="Q59" s="38"/>
      <c r="R59" s="38"/>
      <c r="S59" s="38"/>
    </row>
    <row r="60" spans="1:19" x14ac:dyDescent="0.25">
      <c r="A60" s="67">
        <v>38533</v>
      </c>
      <c r="B60" s="8">
        <v>2544.8559</v>
      </c>
      <c r="C60" s="53">
        <f t="shared" si="3"/>
        <v>1.4307694729303044E-3</v>
      </c>
      <c r="D60" s="62"/>
      <c r="E60" s="8">
        <v>736.18039999999996</v>
      </c>
      <c r="F60" s="53">
        <f t="shared" si="2"/>
        <v>3.8552161620060144E-2</v>
      </c>
      <c r="G60" s="38"/>
      <c r="H60" s="70">
        <v>8.19468179552796E-3</v>
      </c>
      <c r="I60" s="72"/>
      <c r="J60" s="53">
        <v>6.12480115151336E-3</v>
      </c>
      <c r="K60" s="38"/>
      <c r="L60" s="38"/>
      <c r="M60" s="38"/>
      <c r="N60" s="38"/>
      <c r="O60" s="38"/>
      <c r="P60" s="38"/>
      <c r="Q60" s="38"/>
      <c r="R60" s="38"/>
      <c r="S60" s="38"/>
    </row>
    <row r="61" spans="1:19" x14ac:dyDescent="0.25">
      <c r="A61" s="67">
        <v>38562</v>
      </c>
      <c r="B61" s="8">
        <v>2639.4603000000002</v>
      </c>
      <c r="C61" s="53">
        <f t="shared" si="3"/>
        <v>3.7174757124755153E-2</v>
      </c>
      <c r="D61" s="62"/>
      <c r="E61" s="8">
        <v>782.80859999999996</v>
      </c>
      <c r="F61" s="53">
        <f t="shared" si="2"/>
        <v>6.3338007912191019E-2</v>
      </c>
      <c r="G61" s="38"/>
      <c r="H61" s="70">
        <v>-9.8732535641169704E-3</v>
      </c>
      <c r="I61" s="72"/>
      <c r="J61" s="53">
        <v>-1.3553585495736001E-2</v>
      </c>
      <c r="K61" s="38"/>
      <c r="L61" s="38"/>
      <c r="M61" s="38"/>
      <c r="N61" s="38"/>
      <c r="O61" s="38"/>
      <c r="P61" s="38"/>
      <c r="Q61" s="38"/>
      <c r="R61" s="38"/>
      <c r="S61" s="38"/>
    </row>
    <row r="62" spans="1:19" x14ac:dyDescent="0.25">
      <c r="A62" s="67">
        <v>38595</v>
      </c>
      <c r="B62" s="8">
        <v>2615.3989999999999</v>
      </c>
      <c r="C62" s="53">
        <f t="shared" si="3"/>
        <v>-9.115992386777072E-3</v>
      </c>
      <c r="D62" s="62"/>
      <c r="E62" s="8">
        <v>768.2527</v>
      </c>
      <c r="F62" s="53">
        <f t="shared" si="2"/>
        <v>-1.8594455911700503E-2</v>
      </c>
      <c r="G62" s="38"/>
      <c r="H62" s="70">
        <v>1.53101788062396E-2</v>
      </c>
      <c r="I62" s="72"/>
      <c r="J62" s="53">
        <v>1.5880677292403701E-2</v>
      </c>
      <c r="K62" s="38"/>
      <c r="L62" s="38"/>
      <c r="M62" s="38"/>
      <c r="N62" s="38"/>
      <c r="O62" s="38"/>
      <c r="P62" s="38"/>
      <c r="Q62" s="38"/>
      <c r="R62" s="38"/>
      <c r="S62" s="38"/>
    </row>
    <row r="63" spans="1:19" x14ac:dyDescent="0.25">
      <c r="A63" s="67">
        <v>38625</v>
      </c>
      <c r="B63" s="8">
        <v>2636.5729000000001</v>
      </c>
      <c r="C63" s="53">
        <f t="shared" si="3"/>
        <v>8.0958584139552148E-3</v>
      </c>
      <c r="D63" s="62"/>
      <c r="E63" s="8">
        <v>770.68280000000004</v>
      </c>
      <c r="F63" s="53">
        <f t="shared" si="2"/>
        <v>3.1631519160297827E-3</v>
      </c>
      <c r="G63" s="38"/>
      <c r="H63" s="70">
        <v>-1.6142101971342901E-2</v>
      </c>
      <c r="I63" s="72"/>
      <c r="J63" s="53">
        <v>-1.3273305282175001E-2</v>
      </c>
      <c r="K63" s="38"/>
      <c r="L63" s="38"/>
      <c r="M63" s="38"/>
      <c r="N63" s="38"/>
      <c r="O63" s="38"/>
      <c r="P63" s="38"/>
      <c r="Q63" s="38"/>
      <c r="R63" s="38"/>
      <c r="S63" s="38"/>
    </row>
    <row r="64" spans="1:19" x14ac:dyDescent="0.25">
      <c r="A64" s="67">
        <v>38656</v>
      </c>
      <c r="B64" s="8">
        <v>2592.5841</v>
      </c>
      <c r="C64" s="53">
        <f t="shared" si="3"/>
        <v>-1.6684082583113935E-2</v>
      </c>
      <c r="D64" s="62"/>
      <c r="E64" s="8">
        <v>746.74120000000005</v>
      </c>
      <c r="F64" s="53">
        <f t="shared" si="2"/>
        <v>-3.1065439633530145E-2</v>
      </c>
      <c r="G64" s="38"/>
      <c r="H64" s="70">
        <v>-1.15512309436052E-2</v>
      </c>
      <c r="I64" s="72"/>
      <c r="J64" s="53">
        <v>-7.8161945421586394E-3</v>
      </c>
      <c r="K64" s="38"/>
      <c r="L64" s="38"/>
      <c r="M64" s="38"/>
      <c r="N64" s="38"/>
      <c r="O64" s="38"/>
      <c r="P64" s="38"/>
      <c r="Q64" s="38"/>
      <c r="R64" s="38"/>
      <c r="S64" s="38"/>
    </row>
    <row r="65" spans="1:19" x14ac:dyDescent="0.25">
      <c r="A65" s="67">
        <v>38686</v>
      </c>
      <c r="B65" s="8">
        <v>2690.5504999999998</v>
      </c>
      <c r="C65" s="53">
        <f t="shared" si="3"/>
        <v>3.778716377995206E-2</v>
      </c>
      <c r="D65" s="62"/>
      <c r="E65" s="8">
        <v>782.88589999999999</v>
      </c>
      <c r="F65" s="53">
        <f t="shared" si="2"/>
        <v>4.840324867571244E-2</v>
      </c>
      <c r="G65" s="38"/>
      <c r="H65" s="70">
        <v>5.8806081948321398E-3</v>
      </c>
      <c r="I65" s="72"/>
      <c r="J65" s="53">
        <v>4.8473667704033606E-3</v>
      </c>
      <c r="K65" s="38"/>
      <c r="L65" s="38"/>
      <c r="M65" s="38"/>
      <c r="N65" s="38"/>
      <c r="O65" s="38"/>
      <c r="P65" s="38"/>
      <c r="Q65" s="38"/>
      <c r="R65" s="38"/>
      <c r="S65" s="38"/>
    </row>
    <row r="66" spans="1:19" x14ac:dyDescent="0.25">
      <c r="A66" s="67">
        <v>38716</v>
      </c>
      <c r="B66" s="8">
        <v>2691.4041999999999</v>
      </c>
      <c r="C66" s="53">
        <f t="shared" si="3"/>
        <v>3.1729566124116815E-4</v>
      </c>
      <c r="D66" s="62"/>
      <c r="E66" s="8">
        <v>779.22040000000004</v>
      </c>
      <c r="F66" s="53">
        <f t="shared" si="2"/>
        <v>-4.6820360412672679E-3</v>
      </c>
      <c r="G66" s="38"/>
      <c r="H66" s="70">
        <v>1.0110569911813101E-2</v>
      </c>
      <c r="I66" s="72"/>
      <c r="J66" s="53">
        <v>1.03618176545893E-2</v>
      </c>
      <c r="K66" s="38"/>
      <c r="L66" s="38"/>
      <c r="M66" s="38"/>
      <c r="N66" s="38"/>
      <c r="O66" s="38"/>
      <c r="P66" s="38"/>
      <c r="Q66" s="38"/>
      <c r="R66" s="38"/>
      <c r="S66" s="38"/>
    </row>
    <row r="67" spans="1:19" x14ac:dyDescent="0.25">
      <c r="A67" s="67">
        <v>38748</v>
      </c>
      <c r="B67" s="8">
        <v>2762.6687000000002</v>
      </c>
      <c r="C67" s="53">
        <f t="shared" si="3"/>
        <v>2.6478557178442497E-2</v>
      </c>
      <c r="D67" s="62"/>
      <c r="E67" s="8">
        <v>849.08519999999999</v>
      </c>
      <c r="F67" s="53">
        <f t="shared" si="2"/>
        <v>8.9659870301136868E-2</v>
      </c>
      <c r="G67" s="38"/>
      <c r="H67" s="70">
        <v>-2.10114817035407E-3</v>
      </c>
      <c r="I67" s="72"/>
      <c r="J67" s="53">
        <v>-2.9765829258164801E-3</v>
      </c>
      <c r="K67" s="38"/>
      <c r="L67" s="38"/>
      <c r="M67" s="38"/>
      <c r="N67" s="38"/>
      <c r="O67" s="38"/>
      <c r="P67" s="38"/>
      <c r="Q67" s="38"/>
      <c r="R67" s="38"/>
      <c r="S67" s="38"/>
    </row>
    <row r="68" spans="1:19" x14ac:dyDescent="0.25">
      <c r="A68" s="67">
        <v>38776</v>
      </c>
      <c r="B68" s="8">
        <v>2770.1343999999999</v>
      </c>
      <c r="C68" s="53">
        <f t="shared" si="3"/>
        <v>2.7023508102870242E-3</v>
      </c>
      <c r="D68" s="62"/>
      <c r="E68" s="8">
        <v>846.71540000000005</v>
      </c>
      <c r="F68" s="53">
        <f t="shared" si="2"/>
        <v>-2.7910037767705509E-3</v>
      </c>
      <c r="G68" s="38"/>
      <c r="H68" s="70">
        <v>4.5160357645831596E-3</v>
      </c>
      <c r="I68" s="72"/>
      <c r="J68" s="53">
        <v>1.45664462839357E-3</v>
      </c>
      <c r="K68" s="38"/>
      <c r="L68" s="38"/>
      <c r="M68" s="38"/>
      <c r="N68" s="38"/>
      <c r="O68" s="38"/>
      <c r="P68" s="38"/>
      <c r="Q68" s="38"/>
      <c r="R68" s="38"/>
      <c r="S68" s="38"/>
    </row>
    <row r="69" spans="1:19" x14ac:dyDescent="0.25">
      <c r="A69" s="67">
        <v>38807</v>
      </c>
      <c r="B69" s="8">
        <v>2804.5551999999998</v>
      </c>
      <c r="C69" s="53">
        <f t="shared" si="3"/>
        <v>1.2425678696311504E-2</v>
      </c>
      <c r="D69" s="62"/>
      <c r="E69" s="8">
        <v>887.78399999999999</v>
      </c>
      <c r="F69" s="53">
        <f t="shared" si="2"/>
        <v>4.8503428660917169E-2</v>
      </c>
      <c r="G69" s="38"/>
      <c r="H69" s="70">
        <v>-1.4095723326333E-2</v>
      </c>
      <c r="I69" s="72"/>
      <c r="J69" s="53">
        <v>-1.0791184519452499E-2</v>
      </c>
      <c r="K69" s="38"/>
      <c r="L69" s="38"/>
      <c r="M69" s="38"/>
      <c r="N69" s="38"/>
      <c r="O69" s="38"/>
      <c r="P69" s="38"/>
      <c r="Q69" s="38"/>
      <c r="R69" s="38"/>
      <c r="S69" s="38"/>
    </row>
    <row r="70" spans="1:19" x14ac:dyDescent="0.25">
      <c r="A70" s="67">
        <v>38835</v>
      </c>
      <c r="B70" s="8">
        <v>2842.1981000000001</v>
      </c>
      <c r="C70" s="53">
        <f t="shared" si="3"/>
        <v>1.3422057087697947E-2</v>
      </c>
      <c r="D70" s="62"/>
      <c r="E70" s="8">
        <v>887.59500000000003</v>
      </c>
      <c r="F70" s="53">
        <f t="shared" si="2"/>
        <v>-2.1288962179988324E-4</v>
      </c>
      <c r="G70" s="38"/>
      <c r="H70" s="70">
        <v>-3.4967952458320501E-3</v>
      </c>
      <c r="I70" s="72"/>
      <c r="J70" s="53">
        <v>-4.1264378970071094E-3</v>
      </c>
      <c r="K70" s="38"/>
      <c r="L70" s="38"/>
      <c r="M70" s="38"/>
      <c r="N70" s="38"/>
      <c r="O70" s="38"/>
      <c r="P70" s="38"/>
      <c r="Q70" s="38"/>
      <c r="R70" s="38"/>
      <c r="S70" s="38"/>
    </row>
    <row r="71" spans="1:19" x14ac:dyDescent="0.25">
      <c r="A71" s="67">
        <v>38868</v>
      </c>
      <c r="B71" s="8">
        <v>2760.4933999999998</v>
      </c>
      <c r="C71" s="53">
        <f t="shared" si="3"/>
        <v>-2.8747010984209842E-2</v>
      </c>
      <c r="D71" s="62"/>
      <c r="E71" s="8">
        <v>837.75480000000005</v>
      </c>
      <c r="F71" s="53">
        <f t="shared" si="2"/>
        <v>-5.6151961198519618E-2</v>
      </c>
      <c r="G71" s="38"/>
      <c r="H71" s="70">
        <v>-1.68971091263321E-3</v>
      </c>
      <c r="I71" s="72"/>
      <c r="J71" s="53">
        <v>3.3335272000424999E-4</v>
      </c>
      <c r="K71" s="38"/>
      <c r="L71" s="38"/>
      <c r="M71" s="38"/>
      <c r="N71" s="38"/>
      <c r="O71" s="38"/>
      <c r="P71" s="38"/>
      <c r="Q71" s="38"/>
      <c r="R71" s="38"/>
      <c r="S71" s="38"/>
    </row>
    <row r="72" spans="1:19" x14ac:dyDescent="0.25">
      <c r="A72" s="67">
        <v>38898</v>
      </c>
      <c r="B72" s="8">
        <v>2764.098</v>
      </c>
      <c r="C72" s="53">
        <f t="shared" si="3"/>
        <v>1.3057810607335352E-3</v>
      </c>
      <c r="D72" s="62"/>
      <c r="E72" s="8">
        <v>843.06150000000002</v>
      </c>
      <c r="F72" s="53">
        <f t="shared" si="2"/>
        <v>6.334431029222376E-3</v>
      </c>
      <c r="G72" s="38"/>
      <c r="H72" s="70">
        <v>1.25814419411072E-3</v>
      </c>
      <c r="I72" s="72"/>
      <c r="J72" s="53">
        <v>3.1847625140435198E-3</v>
      </c>
      <c r="K72" s="38"/>
      <c r="L72" s="38"/>
      <c r="M72" s="38"/>
      <c r="N72" s="38"/>
      <c r="O72" s="38"/>
      <c r="P72" s="38"/>
      <c r="Q72" s="38"/>
      <c r="R72" s="38"/>
      <c r="S72" s="38"/>
    </row>
    <row r="73" spans="1:19" x14ac:dyDescent="0.25">
      <c r="A73" s="67">
        <v>38929</v>
      </c>
      <c r="B73" s="8">
        <v>2781.1262000000002</v>
      </c>
      <c r="C73" s="53">
        <f t="shared" si="3"/>
        <v>6.1604906917194224E-3</v>
      </c>
      <c r="D73" s="62"/>
      <c r="E73" s="8">
        <v>815.60170000000005</v>
      </c>
      <c r="F73" s="53">
        <f t="shared" si="2"/>
        <v>-3.2571526513783366E-2</v>
      </c>
      <c r="G73" s="38"/>
      <c r="H73" s="70">
        <v>1.4608828653757599E-2</v>
      </c>
      <c r="I73" s="72"/>
      <c r="J73" s="53">
        <v>1.2384748749164599E-2</v>
      </c>
      <c r="K73" s="38"/>
      <c r="L73" s="38"/>
      <c r="M73" s="38"/>
      <c r="N73" s="38"/>
      <c r="O73" s="38"/>
      <c r="P73" s="38"/>
      <c r="Q73" s="38"/>
      <c r="R73" s="38"/>
      <c r="S73" s="38"/>
    </row>
    <row r="74" spans="1:19" x14ac:dyDescent="0.25">
      <c r="A74" s="67">
        <v>38960</v>
      </c>
      <c r="B74" s="8">
        <v>2847.1934999999999</v>
      </c>
      <c r="C74" s="53">
        <f t="shared" si="3"/>
        <v>2.3755592248924096E-2</v>
      </c>
      <c r="D74" s="62"/>
      <c r="E74" s="8">
        <v>839.69960000000003</v>
      </c>
      <c r="F74" s="53">
        <f t="shared" si="2"/>
        <v>2.9546162054345793E-2</v>
      </c>
      <c r="G74" s="38"/>
      <c r="H74" s="70">
        <v>1.86360514085946E-2</v>
      </c>
      <c r="I74" s="72"/>
      <c r="J74" s="53">
        <v>1.46829496034491E-2</v>
      </c>
      <c r="K74" s="38"/>
      <c r="L74" s="38"/>
      <c r="M74" s="38"/>
      <c r="N74" s="38"/>
      <c r="O74" s="38"/>
      <c r="P74" s="38"/>
      <c r="Q74" s="38"/>
      <c r="R74" s="38"/>
      <c r="S74" s="38"/>
    </row>
    <row r="75" spans="1:19" x14ac:dyDescent="0.25">
      <c r="A75" s="67">
        <v>38989</v>
      </c>
      <c r="B75" s="8">
        <v>2920.4454999999998</v>
      </c>
      <c r="C75" s="53">
        <f t="shared" si="3"/>
        <v>2.572779124425506E-2</v>
      </c>
      <c r="D75" s="62"/>
      <c r="E75" s="8">
        <v>846.76679999999999</v>
      </c>
      <c r="F75" s="53">
        <f t="shared" si="2"/>
        <v>8.4163431779649134E-3</v>
      </c>
      <c r="G75" s="38"/>
      <c r="H75" s="70">
        <v>1.1451914032669E-2</v>
      </c>
      <c r="I75" s="72"/>
      <c r="J75" s="53">
        <v>9.2847516536938707E-3</v>
      </c>
      <c r="K75" s="38"/>
      <c r="L75" s="38"/>
      <c r="M75" s="38"/>
      <c r="N75" s="38"/>
      <c r="O75" s="38"/>
      <c r="P75" s="38"/>
      <c r="Q75" s="38"/>
      <c r="R75" s="38"/>
      <c r="S75" s="38"/>
    </row>
    <row r="76" spans="1:19" x14ac:dyDescent="0.25">
      <c r="A76" s="67">
        <v>39021</v>
      </c>
      <c r="B76" s="8">
        <v>3015.5668000000001</v>
      </c>
      <c r="C76" s="53">
        <f t="shared" si="3"/>
        <v>3.2570818390550427E-2</v>
      </c>
      <c r="D76" s="62"/>
      <c r="E76" s="8">
        <v>895.50639999999999</v>
      </c>
      <c r="F76" s="53">
        <f t="shared" si="2"/>
        <v>5.7559649244632638E-2</v>
      </c>
      <c r="G76" s="38"/>
      <c r="H76" s="70">
        <v>8.0917082818143804E-3</v>
      </c>
      <c r="I76" s="72"/>
      <c r="J76" s="53">
        <v>5.0713331430561103E-3</v>
      </c>
      <c r="K76" s="38"/>
      <c r="L76" s="38"/>
      <c r="M76" s="38"/>
      <c r="N76" s="38"/>
      <c r="O76" s="38"/>
      <c r="P76" s="38"/>
      <c r="Q76" s="38"/>
      <c r="R76" s="38"/>
      <c r="S76" s="38"/>
    </row>
    <row r="77" spans="1:19" x14ac:dyDescent="0.25">
      <c r="A77" s="67">
        <v>39051</v>
      </c>
      <c r="B77" s="8">
        <v>3072.8366999999998</v>
      </c>
      <c r="C77" s="53">
        <f t="shared" si="3"/>
        <v>1.8991421446873602E-2</v>
      </c>
      <c r="D77" s="62"/>
      <c r="E77" s="8">
        <v>918.88909999999998</v>
      </c>
      <c r="F77" s="53">
        <f t="shared" si="2"/>
        <v>2.611114783769275E-2</v>
      </c>
      <c r="G77" s="38"/>
      <c r="H77" s="70">
        <v>1.4656852030043199E-2</v>
      </c>
      <c r="I77" s="72"/>
      <c r="J77" s="53">
        <v>1.04462848961995E-2</v>
      </c>
      <c r="K77" s="38"/>
      <c r="L77" s="38"/>
      <c r="M77" s="38"/>
      <c r="N77" s="38"/>
      <c r="O77" s="38"/>
      <c r="P77" s="38"/>
      <c r="Q77" s="38"/>
      <c r="R77" s="38"/>
      <c r="S77" s="38"/>
    </row>
    <row r="78" spans="1:19" x14ac:dyDescent="0.25">
      <c r="A78" s="67">
        <v>39080</v>
      </c>
      <c r="B78" s="8">
        <v>3115.6605</v>
      </c>
      <c r="C78" s="53">
        <f t="shared" si="3"/>
        <v>1.3936243341535315E-2</v>
      </c>
      <c r="D78" s="62"/>
      <c r="E78" s="8">
        <v>921.92330000000004</v>
      </c>
      <c r="F78" s="53">
        <f t="shared" si="2"/>
        <v>3.3020306803073218E-3</v>
      </c>
      <c r="G78" s="38"/>
      <c r="H78" s="70">
        <v>-9.0916412028008899E-3</v>
      </c>
      <c r="I78" s="72"/>
      <c r="J78" s="53">
        <v>-8.2183160468714406E-3</v>
      </c>
      <c r="K78" s="38"/>
      <c r="L78" s="38"/>
      <c r="M78" s="38"/>
      <c r="N78" s="38"/>
      <c r="O78" s="38"/>
      <c r="P78" s="38"/>
      <c r="Q78" s="38"/>
      <c r="R78" s="38"/>
      <c r="S78" s="38"/>
    </row>
    <row r="79" spans="1:19" x14ac:dyDescent="0.25">
      <c r="A79" s="67">
        <v>39113</v>
      </c>
      <c r="B79" s="8">
        <v>3162.7372999999998</v>
      </c>
      <c r="C79" s="53">
        <f t="shared" si="3"/>
        <v>1.5109733554089066E-2</v>
      </c>
      <c r="D79" s="62"/>
      <c r="E79" s="8">
        <v>937.33529999999996</v>
      </c>
      <c r="F79" s="53">
        <f t="shared" si="2"/>
        <v>1.6717225825618964E-2</v>
      </c>
      <c r="G79" s="38"/>
      <c r="H79" s="70">
        <v>7.4720079069019998E-5</v>
      </c>
      <c r="I79" s="72"/>
      <c r="J79" s="53">
        <v>-1.5954624180002E-3</v>
      </c>
      <c r="K79" s="38"/>
      <c r="L79" s="38"/>
      <c r="M79" s="38"/>
      <c r="N79" s="38"/>
      <c r="O79" s="38"/>
      <c r="P79" s="38"/>
      <c r="Q79" s="38"/>
      <c r="R79" s="38"/>
      <c r="S79" s="38"/>
    </row>
    <row r="80" spans="1:19" x14ac:dyDescent="0.25">
      <c r="A80" s="67">
        <v>39141</v>
      </c>
      <c r="B80" s="8">
        <v>3101.0596999999998</v>
      </c>
      <c r="C80" s="53">
        <f t="shared" si="3"/>
        <v>-1.9501335125114538E-2</v>
      </c>
      <c r="D80" s="62"/>
      <c r="E80" s="8">
        <v>929.89149999999995</v>
      </c>
      <c r="F80" s="53">
        <f t="shared" si="2"/>
        <v>-7.9414484870035107E-3</v>
      </c>
      <c r="G80" s="38"/>
      <c r="H80" s="70">
        <v>2.0593985571995897E-2</v>
      </c>
      <c r="I80" s="72"/>
      <c r="J80" s="53">
        <v>1.6583409234563598E-2</v>
      </c>
      <c r="K80" s="38"/>
      <c r="L80" s="38"/>
      <c r="M80" s="38"/>
      <c r="N80" s="38"/>
      <c r="O80" s="38"/>
      <c r="P80" s="38"/>
      <c r="Q80" s="38"/>
      <c r="R80" s="38"/>
      <c r="S80" s="38"/>
    </row>
    <row r="81" spans="1:19" x14ac:dyDescent="0.25">
      <c r="A81" s="67">
        <v>39171</v>
      </c>
      <c r="B81" s="8">
        <v>3135.6412</v>
      </c>
      <c r="C81" s="53">
        <f t="shared" si="3"/>
        <v>1.1151510562663614E-2</v>
      </c>
      <c r="D81" s="62"/>
      <c r="E81" s="8">
        <v>939.83280000000002</v>
      </c>
      <c r="F81" s="53">
        <f t="shared" si="2"/>
        <v>1.0690817154474619E-2</v>
      </c>
      <c r="G81" s="38"/>
      <c r="H81" s="70">
        <v>-5.7360529105746705E-3</v>
      </c>
      <c r="I81" s="72"/>
      <c r="J81" s="53">
        <v>-4.8500206554307997E-4</v>
      </c>
      <c r="K81" s="38"/>
      <c r="L81" s="38"/>
      <c r="M81" s="38"/>
      <c r="N81" s="38"/>
      <c r="O81" s="38"/>
      <c r="P81" s="38"/>
      <c r="Q81" s="38"/>
      <c r="R81" s="38"/>
      <c r="S81" s="38"/>
    </row>
    <row r="82" spans="1:19" x14ac:dyDescent="0.25">
      <c r="A82" s="67">
        <v>39202</v>
      </c>
      <c r="B82" s="8">
        <v>3274.4794000000002</v>
      </c>
      <c r="C82" s="53">
        <f t="shared" si="3"/>
        <v>4.4277451131845114E-2</v>
      </c>
      <c r="D82" s="62"/>
      <c r="E82" s="8">
        <v>956.78369999999995</v>
      </c>
      <c r="F82" s="53">
        <f t="shared" si="2"/>
        <v>1.8036080460269055E-2</v>
      </c>
      <c r="G82" s="38"/>
      <c r="H82" s="70">
        <v>7.3390868358460407E-3</v>
      </c>
      <c r="I82" s="72"/>
      <c r="J82" s="53">
        <v>5.1543947807628603E-3</v>
      </c>
      <c r="K82" s="38"/>
      <c r="L82" s="38"/>
      <c r="M82" s="38"/>
      <c r="N82" s="38"/>
      <c r="O82" s="38"/>
      <c r="P82" s="38"/>
      <c r="Q82" s="38"/>
      <c r="R82" s="38"/>
      <c r="S82" s="38"/>
    </row>
    <row r="83" spans="1:19" x14ac:dyDescent="0.25">
      <c r="A83" s="67">
        <v>39233</v>
      </c>
      <c r="B83" s="8">
        <v>3388.6127000000001</v>
      </c>
      <c r="C83" s="53">
        <f t="shared" si="3"/>
        <v>3.4855403274181462E-2</v>
      </c>
      <c r="D83" s="62"/>
      <c r="E83" s="8">
        <v>995.95410000000004</v>
      </c>
      <c r="F83" s="53">
        <f t="shared" ref="F83:F146" si="4">E83/E82-1</f>
        <v>4.0939660656844401E-2</v>
      </c>
      <c r="G83" s="38"/>
      <c r="H83" s="70">
        <v>-9.99608623375472E-3</v>
      </c>
      <c r="I83" s="72"/>
      <c r="J83" s="53">
        <v>-8.9817267568814401E-3</v>
      </c>
      <c r="K83" s="38"/>
      <c r="L83" s="38"/>
      <c r="M83" s="38"/>
      <c r="N83" s="38"/>
      <c r="O83" s="38"/>
      <c r="P83" s="38"/>
      <c r="Q83" s="38"/>
      <c r="R83" s="38"/>
      <c r="S83" s="38"/>
    </row>
    <row r="84" spans="1:19" x14ac:dyDescent="0.25">
      <c r="A84" s="67">
        <v>39262</v>
      </c>
      <c r="B84" s="8">
        <v>3332.31</v>
      </c>
      <c r="C84" s="53">
        <f t="shared" ref="C84:C147" si="5">B84/B83-1</f>
        <v>-1.6615265592317519E-2</v>
      </c>
      <c r="D84" s="62"/>
      <c r="E84" s="8">
        <v>981.54110000000003</v>
      </c>
      <c r="F84" s="53">
        <f t="shared" si="4"/>
        <v>-1.4471550445949277E-2</v>
      </c>
      <c r="G84" s="38"/>
      <c r="H84" s="70">
        <v>-4.8926029417905199E-3</v>
      </c>
      <c r="I84" s="72"/>
      <c r="J84" s="53">
        <v>-4.3454804643321999E-4</v>
      </c>
      <c r="K84" s="38"/>
      <c r="L84" s="38"/>
      <c r="M84" s="38"/>
      <c r="N84" s="38"/>
      <c r="O84" s="38"/>
      <c r="P84" s="38"/>
      <c r="Q84" s="38"/>
      <c r="R84" s="38"/>
      <c r="S84" s="38"/>
    </row>
    <row r="85" spans="1:19" x14ac:dyDescent="0.25">
      <c r="A85" s="67">
        <v>39294</v>
      </c>
      <c r="B85" s="8">
        <v>3229.1302999999998</v>
      </c>
      <c r="C85" s="53">
        <f t="shared" si="5"/>
        <v>-3.0963415768641034E-2</v>
      </c>
      <c r="D85" s="62"/>
      <c r="E85" s="8">
        <v>914.34460000000001</v>
      </c>
      <c r="F85" s="53">
        <f t="shared" si="4"/>
        <v>-6.846019998551256E-2</v>
      </c>
      <c r="G85" s="38"/>
      <c r="H85" s="70">
        <v>2.3131656939188098E-3</v>
      </c>
      <c r="I85" s="72"/>
      <c r="J85" s="53">
        <v>1.6585264595273999E-2</v>
      </c>
      <c r="K85" s="38"/>
      <c r="L85" s="38"/>
      <c r="M85" s="38"/>
      <c r="N85" s="38"/>
      <c r="O85" s="38"/>
      <c r="P85" s="38"/>
      <c r="Q85" s="38"/>
      <c r="R85" s="38"/>
      <c r="S85" s="38"/>
    </row>
    <row r="86" spans="1:19" x14ac:dyDescent="0.25">
      <c r="A86" s="67">
        <v>39325</v>
      </c>
      <c r="B86" s="8">
        <v>3277.4497999999999</v>
      </c>
      <c r="C86" s="53">
        <f t="shared" si="5"/>
        <v>1.4963626583913259E-2</v>
      </c>
      <c r="D86" s="62"/>
      <c r="E86" s="8">
        <v>935.01909999999998</v>
      </c>
      <c r="F86" s="53">
        <f t="shared" si="4"/>
        <v>2.2611278067371954E-2</v>
      </c>
      <c r="G86" s="38"/>
      <c r="H86" s="70">
        <v>8.0929647741188604E-3</v>
      </c>
      <c r="I86" s="72"/>
      <c r="J86" s="53">
        <v>1.5676948832776001E-2</v>
      </c>
      <c r="K86" s="38"/>
      <c r="L86" s="38"/>
      <c r="M86" s="38"/>
      <c r="N86" s="38"/>
      <c r="O86" s="38"/>
      <c r="P86" s="38"/>
      <c r="Q86" s="38"/>
      <c r="R86" s="38"/>
      <c r="S86" s="38"/>
    </row>
    <row r="87" spans="1:19" x14ac:dyDescent="0.25">
      <c r="A87" s="67">
        <v>39353</v>
      </c>
      <c r="B87" s="8">
        <v>3399.8560000000002</v>
      </c>
      <c r="C87" s="53">
        <f t="shared" si="5"/>
        <v>3.7348001485789428E-2</v>
      </c>
      <c r="D87" s="62"/>
      <c r="E87" s="8">
        <v>951.04750000000001</v>
      </c>
      <c r="F87" s="53">
        <f t="shared" si="4"/>
        <v>1.7142323616704758E-2</v>
      </c>
      <c r="G87" s="38"/>
      <c r="H87" s="70">
        <v>7.7013091396345304E-3</v>
      </c>
      <c r="I87" s="72"/>
      <c r="J87" s="53">
        <v>5.3929474167165306E-3</v>
      </c>
      <c r="K87" s="38"/>
      <c r="L87" s="38"/>
      <c r="M87" s="38"/>
      <c r="N87" s="38"/>
      <c r="O87" s="38"/>
      <c r="P87" s="38"/>
      <c r="Q87" s="38"/>
      <c r="R87" s="38"/>
      <c r="S87" s="38"/>
    </row>
    <row r="88" spans="1:19" x14ac:dyDescent="0.25">
      <c r="A88" s="67">
        <v>39386</v>
      </c>
      <c r="B88" s="8">
        <v>3453.9295000000002</v>
      </c>
      <c r="C88" s="53">
        <f t="shared" si="5"/>
        <v>1.5904644196695461E-2</v>
      </c>
      <c r="D88" s="62"/>
      <c r="E88" s="8">
        <v>978.33209999999997</v>
      </c>
      <c r="F88" s="53">
        <f t="shared" si="4"/>
        <v>2.8688998183581838E-2</v>
      </c>
      <c r="G88" s="38"/>
      <c r="H88" s="70">
        <v>1.2011046115045901E-2</v>
      </c>
      <c r="I88" s="72"/>
      <c r="J88" s="53">
        <v>7.8638008382183391E-3</v>
      </c>
      <c r="K88" s="38"/>
      <c r="L88" s="38"/>
      <c r="M88" s="38"/>
      <c r="N88" s="38"/>
      <c r="O88" s="38"/>
      <c r="P88" s="38"/>
      <c r="Q88" s="38"/>
      <c r="R88" s="38"/>
      <c r="S88" s="38"/>
    </row>
    <row r="89" spans="1:19" x14ac:dyDescent="0.25">
      <c r="A89" s="67">
        <v>39416</v>
      </c>
      <c r="B89" s="8">
        <v>3312.0754000000002</v>
      </c>
      <c r="C89" s="53">
        <f t="shared" si="5"/>
        <v>-4.1070351899191948E-2</v>
      </c>
      <c r="D89" s="62"/>
      <c r="E89" s="8">
        <v>908.05020000000002</v>
      </c>
      <c r="F89" s="53">
        <f t="shared" si="4"/>
        <v>-7.1838489200139688E-2</v>
      </c>
      <c r="G89" s="38"/>
      <c r="H89" s="70">
        <v>5.98608358855911E-3</v>
      </c>
      <c r="I89" s="72"/>
      <c r="J89" s="53">
        <v>3.0688297854051499E-2</v>
      </c>
      <c r="K89" s="38"/>
      <c r="L89" s="38"/>
      <c r="M89" s="38"/>
      <c r="N89" s="38"/>
      <c r="O89" s="38"/>
      <c r="P89" s="38"/>
      <c r="Q89" s="38"/>
      <c r="R89" s="38"/>
      <c r="S89" s="38"/>
    </row>
    <row r="90" spans="1:19" x14ac:dyDescent="0.25">
      <c r="A90" s="67">
        <v>39447</v>
      </c>
      <c r="B90" s="8">
        <v>3288.9938000000002</v>
      </c>
      <c r="C90" s="53">
        <f t="shared" si="5"/>
        <v>-6.9689234731793448E-3</v>
      </c>
      <c r="D90" s="62"/>
      <c r="E90" s="8">
        <v>907.32899999999995</v>
      </c>
      <c r="F90" s="53">
        <f t="shared" si="4"/>
        <v>-7.9422921772398514E-4</v>
      </c>
      <c r="G90" s="38"/>
      <c r="H90" s="70">
        <v>1.5804444540555402E-3</v>
      </c>
      <c r="I90" s="72"/>
      <c r="J90" s="53">
        <v>7.9827075757839998E-4</v>
      </c>
      <c r="K90" s="38"/>
      <c r="L90" s="38"/>
      <c r="M90" s="38"/>
      <c r="N90" s="38"/>
      <c r="O90" s="38"/>
      <c r="P90" s="38"/>
      <c r="Q90" s="38"/>
      <c r="R90" s="38"/>
      <c r="S90" s="38"/>
    </row>
    <row r="91" spans="1:19" x14ac:dyDescent="0.25">
      <c r="A91" s="67">
        <v>39478</v>
      </c>
      <c r="B91" s="8">
        <v>3091.7442000000001</v>
      </c>
      <c r="C91" s="53">
        <f t="shared" si="5"/>
        <v>-5.9972627494767616E-2</v>
      </c>
      <c r="D91" s="62"/>
      <c r="E91" s="8">
        <v>845.43470000000002</v>
      </c>
      <c r="F91" s="53">
        <f t="shared" si="4"/>
        <v>-6.8215939311980445E-2</v>
      </c>
      <c r="G91" s="38"/>
      <c r="H91" s="70">
        <v>1.0175751993089699E-2</v>
      </c>
      <c r="I91" s="72"/>
      <c r="J91" s="53">
        <v>2.53866739489121E-2</v>
      </c>
      <c r="K91" s="38"/>
      <c r="L91" s="38"/>
      <c r="M91" s="38"/>
      <c r="N91" s="38"/>
      <c r="O91" s="38"/>
      <c r="P91" s="38"/>
      <c r="Q91" s="38"/>
      <c r="R91" s="38"/>
      <c r="S91" s="38"/>
    </row>
    <row r="92" spans="1:19" x14ac:dyDescent="0.25">
      <c r="A92" s="67">
        <v>39507</v>
      </c>
      <c r="B92" s="8">
        <v>2991.4005000000002</v>
      </c>
      <c r="C92" s="53">
        <f t="shared" si="5"/>
        <v>-3.2455369367232922E-2</v>
      </c>
      <c r="D92" s="62"/>
      <c r="E92" s="8">
        <v>814.11490000000003</v>
      </c>
      <c r="F92" s="53">
        <f t="shared" si="4"/>
        <v>-3.7045794311494462E-2</v>
      </c>
      <c r="G92" s="38"/>
      <c r="H92" s="70">
        <v>1.1137253615106201E-3</v>
      </c>
      <c r="I92" s="72"/>
      <c r="J92" s="53">
        <v>1.1401255852191901E-2</v>
      </c>
      <c r="K92" s="38"/>
      <c r="L92" s="38"/>
      <c r="M92" s="38"/>
      <c r="N92" s="38"/>
      <c r="O92" s="38"/>
      <c r="P92" s="38"/>
      <c r="Q92" s="38"/>
      <c r="R92" s="38"/>
      <c r="S92" s="38"/>
    </row>
    <row r="93" spans="1:19" x14ac:dyDescent="0.25">
      <c r="A93" s="67">
        <v>39538</v>
      </c>
      <c r="B93" s="8">
        <v>2978.4416000000001</v>
      </c>
      <c r="C93" s="53">
        <f t="shared" si="5"/>
        <v>-4.3320511579777454E-3</v>
      </c>
      <c r="D93" s="62"/>
      <c r="E93" s="8">
        <v>817.48320000000001</v>
      </c>
      <c r="F93" s="53">
        <f t="shared" si="4"/>
        <v>4.1373766774197573E-3</v>
      </c>
      <c r="G93" s="38"/>
      <c r="H93" s="70">
        <v>-1.2706945102831999E-2</v>
      </c>
      <c r="I93" s="72"/>
      <c r="J93" s="53">
        <v>6.9316332323926099E-3</v>
      </c>
      <c r="K93" s="38"/>
      <c r="L93" s="38"/>
      <c r="M93" s="38"/>
      <c r="N93" s="38"/>
      <c r="O93" s="38"/>
      <c r="P93" s="38"/>
      <c r="Q93" s="38"/>
      <c r="R93" s="38"/>
      <c r="S93" s="38"/>
    </row>
    <row r="94" spans="1:19" x14ac:dyDescent="0.25">
      <c r="A94" s="67">
        <v>39568</v>
      </c>
      <c r="B94" s="8">
        <v>3123.4512</v>
      </c>
      <c r="C94" s="53">
        <f t="shared" si="5"/>
        <v>4.8686400297390353E-2</v>
      </c>
      <c r="D94" s="62"/>
      <c r="E94" s="8">
        <v>851.70039999999995</v>
      </c>
      <c r="F94" s="53">
        <f t="shared" si="4"/>
        <v>4.1856762316338614E-2</v>
      </c>
      <c r="G94" s="38"/>
      <c r="H94" s="70">
        <v>9.1495445498888002E-3</v>
      </c>
      <c r="I94" s="72"/>
      <c r="J94" s="53">
        <v>-1.71821429147292E-2</v>
      </c>
      <c r="K94" s="38"/>
      <c r="L94" s="38"/>
      <c r="M94" s="38"/>
      <c r="N94" s="38"/>
      <c r="O94" s="38"/>
      <c r="P94" s="38"/>
      <c r="Q94" s="38"/>
      <c r="R94" s="38"/>
      <c r="S94" s="38"/>
    </row>
    <row r="95" spans="1:19" x14ac:dyDescent="0.25">
      <c r="A95" s="67">
        <v>39598</v>
      </c>
      <c r="B95" s="8">
        <v>3163.9023000000002</v>
      </c>
      <c r="C95" s="53">
        <f t="shared" si="5"/>
        <v>1.2950770609126305E-2</v>
      </c>
      <c r="D95" s="62"/>
      <c r="E95" s="8">
        <v>890.80470000000003</v>
      </c>
      <c r="F95" s="53">
        <f t="shared" si="4"/>
        <v>4.5913210795721193E-2</v>
      </c>
      <c r="G95" s="38"/>
      <c r="H95" s="70">
        <v>-9.5433204051663702E-3</v>
      </c>
      <c r="I95" s="72"/>
      <c r="J95" s="53">
        <v>-1.1673904678349001E-2</v>
      </c>
      <c r="K95" s="38"/>
      <c r="L95" s="38"/>
      <c r="M95" s="38"/>
      <c r="N95" s="38"/>
      <c r="O95" s="38"/>
      <c r="P95" s="38"/>
      <c r="Q95" s="38"/>
      <c r="R95" s="38"/>
      <c r="S95" s="38"/>
    </row>
    <row r="96" spans="1:19" x14ac:dyDescent="0.25">
      <c r="A96" s="67">
        <v>39629</v>
      </c>
      <c r="B96" s="8">
        <v>2897.4186</v>
      </c>
      <c r="C96" s="53">
        <f t="shared" si="5"/>
        <v>-8.4226273358693815E-2</v>
      </c>
      <c r="D96" s="62"/>
      <c r="E96" s="8">
        <v>822.27</v>
      </c>
      <c r="F96" s="53">
        <f t="shared" si="4"/>
        <v>-7.6935718906736894E-2</v>
      </c>
      <c r="G96" s="38"/>
      <c r="H96" s="70">
        <v>-6.3985765505896594E-3</v>
      </c>
      <c r="I96" s="72"/>
      <c r="J96" s="53">
        <v>7.85188272683565E-3</v>
      </c>
      <c r="K96" s="38"/>
      <c r="L96" s="38"/>
      <c r="M96" s="38"/>
      <c r="N96" s="38"/>
      <c r="O96" s="38"/>
      <c r="P96" s="38"/>
      <c r="Q96" s="38"/>
      <c r="R96" s="38"/>
      <c r="S96" s="38"/>
    </row>
    <row r="97" spans="1:19" x14ac:dyDescent="0.25">
      <c r="A97" s="67">
        <v>39660</v>
      </c>
      <c r="B97" s="8">
        <v>2873.0513999999998</v>
      </c>
      <c r="C97" s="53">
        <f t="shared" si="5"/>
        <v>-8.4099687908403276E-3</v>
      </c>
      <c r="D97" s="62"/>
      <c r="E97" s="8">
        <v>852.66610000000003</v>
      </c>
      <c r="F97" s="53">
        <f t="shared" si="4"/>
        <v>3.6966081700658071E-2</v>
      </c>
      <c r="G97" s="38"/>
      <c r="H97" s="70">
        <v>-7.47616631377627E-3</v>
      </c>
      <c r="I97" s="72"/>
      <c r="J97" s="53">
        <v>4.2317057390696897E-3</v>
      </c>
      <c r="K97" s="38"/>
      <c r="L97" s="38"/>
      <c r="M97" s="38"/>
      <c r="N97" s="38"/>
      <c r="O97" s="38"/>
      <c r="P97" s="38"/>
      <c r="Q97" s="38"/>
      <c r="R97" s="38"/>
      <c r="S97" s="38"/>
    </row>
    <row r="98" spans="1:19" x14ac:dyDescent="0.25">
      <c r="A98" s="67">
        <v>39689</v>
      </c>
      <c r="B98" s="8">
        <v>2914.6279</v>
      </c>
      <c r="C98" s="53">
        <f t="shared" si="5"/>
        <v>1.4471199505863286E-2</v>
      </c>
      <c r="D98" s="62"/>
      <c r="E98" s="8">
        <v>883.44799999999998</v>
      </c>
      <c r="F98" s="53">
        <f t="shared" si="4"/>
        <v>3.6100766759696423E-2</v>
      </c>
      <c r="G98" s="38"/>
      <c r="H98" s="70">
        <v>7.1896774727840092E-3</v>
      </c>
      <c r="I98" s="72"/>
      <c r="J98" s="53">
        <v>1.2488385777685801E-2</v>
      </c>
      <c r="K98" s="38"/>
      <c r="L98" s="38"/>
      <c r="M98" s="38"/>
      <c r="N98" s="38"/>
      <c r="O98" s="38"/>
      <c r="P98" s="38"/>
      <c r="Q98" s="38"/>
      <c r="R98" s="38"/>
      <c r="S98" s="38"/>
    </row>
    <row r="99" spans="1:19" x14ac:dyDescent="0.25">
      <c r="A99" s="67">
        <v>39721</v>
      </c>
      <c r="B99" s="8">
        <v>2655.1963000000001</v>
      </c>
      <c r="C99" s="53">
        <f t="shared" si="5"/>
        <v>-8.9010195778335799E-2</v>
      </c>
      <c r="D99" s="62"/>
      <c r="E99" s="8">
        <v>813.10029999999995</v>
      </c>
      <c r="F99" s="53">
        <f t="shared" si="4"/>
        <v>-7.96285689706695E-2</v>
      </c>
      <c r="G99" s="38"/>
      <c r="H99" s="70">
        <v>-7.7687769645774007E-2</v>
      </c>
      <c r="I99" s="72"/>
      <c r="J99" s="53">
        <v>6.1225289612913802E-3</v>
      </c>
      <c r="K99" s="38"/>
      <c r="L99" s="38"/>
      <c r="M99" s="38"/>
      <c r="N99" s="38"/>
      <c r="O99" s="38"/>
      <c r="P99" s="38"/>
      <c r="Q99" s="38"/>
      <c r="R99" s="38"/>
      <c r="S99" s="38"/>
    </row>
    <row r="100" spans="1:19" x14ac:dyDescent="0.25">
      <c r="A100" s="67">
        <v>39752</v>
      </c>
      <c r="B100" s="8">
        <v>2209.3173999999999</v>
      </c>
      <c r="C100" s="53">
        <f t="shared" si="5"/>
        <v>-0.16792690619522188</v>
      </c>
      <c r="D100" s="62"/>
      <c r="E100" s="8">
        <v>643.8818</v>
      </c>
      <c r="F100" s="53">
        <f t="shared" si="4"/>
        <v>-0.20811516119229079</v>
      </c>
      <c r="G100" s="38"/>
      <c r="H100" s="70">
        <v>-6.4441874855279802E-2</v>
      </c>
      <c r="I100" s="72"/>
      <c r="J100" s="53">
        <v>-1.10436225730825E-3</v>
      </c>
      <c r="K100" s="38"/>
      <c r="L100" s="38"/>
      <c r="M100" s="38"/>
      <c r="N100" s="38"/>
      <c r="O100" s="38"/>
      <c r="P100" s="38"/>
      <c r="Q100" s="38"/>
      <c r="R100" s="38"/>
      <c r="S100" s="38"/>
    </row>
    <row r="101" spans="1:19" x14ac:dyDescent="0.25">
      <c r="A101" s="67">
        <v>39780</v>
      </c>
      <c r="B101" s="8">
        <v>2050.7224000000001</v>
      </c>
      <c r="C101" s="53">
        <f t="shared" si="5"/>
        <v>-7.1784615465392054E-2</v>
      </c>
      <c r="D101" s="62"/>
      <c r="E101" s="8">
        <v>567.68430000000001</v>
      </c>
      <c r="F101" s="53">
        <f t="shared" si="4"/>
        <v>-0.11834081969703136</v>
      </c>
      <c r="G101" s="38"/>
      <c r="H101" s="70">
        <v>4.0685470186914596E-2</v>
      </c>
      <c r="I101" s="72"/>
      <c r="J101" s="53">
        <v>5.3070497015210202E-2</v>
      </c>
      <c r="K101" s="38"/>
      <c r="L101" s="38"/>
      <c r="M101" s="38"/>
      <c r="N101" s="38"/>
      <c r="O101" s="38"/>
      <c r="P101" s="38"/>
      <c r="Q101" s="38"/>
      <c r="R101" s="38"/>
      <c r="S101" s="38"/>
    </row>
    <row r="102" spans="1:19" x14ac:dyDescent="0.25">
      <c r="A102" s="67">
        <v>39813</v>
      </c>
      <c r="B102" s="8">
        <v>2072.3364000000001</v>
      </c>
      <c r="C102" s="53">
        <f t="shared" si="5"/>
        <v>1.0539700546500219E-2</v>
      </c>
      <c r="D102" s="62"/>
      <c r="E102" s="8">
        <v>600.46019999999999</v>
      </c>
      <c r="F102" s="53">
        <f t="shared" si="4"/>
        <v>5.7736139611400228E-2</v>
      </c>
      <c r="G102" s="38"/>
      <c r="H102" s="70">
        <v>6.7968713367861505E-2</v>
      </c>
      <c r="I102" s="72"/>
      <c r="J102" s="53">
        <v>3.38785599608619E-2</v>
      </c>
      <c r="K102" s="38"/>
      <c r="L102" s="38"/>
      <c r="M102" s="38"/>
      <c r="N102" s="38"/>
      <c r="O102" s="38"/>
      <c r="P102" s="38"/>
      <c r="Q102" s="38"/>
      <c r="R102" s="38"/>
      <c r="S102" s="38"/>
    </row>
    <row r="103" spans="1:19" x14ac:dyDescent="0.25">
      <c r="A103" s="67">
        <v>39843</v>
      </c>
      <c r="B103" s="8">
        <v>1897.8671999999999</v>
      </c>
      <c r="C103" s="53">
        <f t="shared" si="5"/>
        <v>-8.4189613230747806E-2</v>
      </c>
      <c r="D103" s="62"/>
      <c r="E103" s="8">
        <v>533.68939999999998</v>
      </c>
      <c r="F103" s="53">
        <f t="shared" si="4"/>
        <v>-0.11119937674470348</v>
      </c>
      <c r="G103" s="38"/>
      <c r="H103" s="70">
        <v>4.5336087813613998E-3</v>
      </c>
      <c r="I103" s="72"/>
      <c r="J103" s="53">
        <v>-2.9158133446147899E-2</v>
      </c>
      <c r="K103" s="38"/>
      <c r="L103" s="38"/>
      <c r="M103" s="38"/>
      <c r="N103" s="38"/>
      <c r="O103" s="38"/>
      <c r="P103" s="38"/>
      <c r="Q103" s="38"/>
      <c r="R103" s="38"/>
      <c r="S103" s="38"/>
    </row>
    <row r="104" spans="1:19" x14ac:dyDescent="0.25">
      <c r="A104" s="67">
        <v>39871</v>
      </c>
      <c r="B104" s="8">
        <v>1696.4386</v>
      </c>
      <c r="C104" s="53">
        <f t="shared" si="5"/>
        <v>-0.10613419105404209</v>
      </c>
      <c r="D104" s="62"/>
      <c r="E104" s="8">
        <v>468.8664</v>
      </c>
      <c r="F104" s="53">
        <f t="shared" si="4"/>
        <v>-0.12146203390961108</v>
      </c>
      <c r="G104" s="38"/>
      <c r="H104" s="70">
        <v>-1.9672641788514598E-2</v>
      </c>
      <c r="I104" s="72"/>
      <c r="J104" s="53">
        <v>-5.2596653913522095E-3</v>
      </c>
      <c r="K104" s="38"/>
      <c r="L104" s="38"/>
      <c r="M104" s="38"/>
      <c r="N104" s="38"/>
      <c r="O104" s="38"/>
      <c r="P104" s="38"/>
      <c r="Q104" s="38"/>
      <c r="R104" s="38"/>
      <c r="S104" s="38"/>
    </row>
    <row r="105" spans="1:19" x14ac:dyDescent="0.25">
      <c r="A105" s="67">
        <v>39903</v>
      </c>
      <c r="B105" s="8">
        <v>1844.7554</v>
      </c>
      <c r="C105" s="53">
        <f t="shared" si="5"/>
        <v>8.7428333686818904E-2</v>
      </c>
      <c r="D105" s="62"/>
      <c r="E105" s="8">
        <v>510.5976</v>
      </c>
      <c r="F105" s="53">
        <f t="shared" si="4"/>
        <v>8.9004458412886844E-2</v>
      </c>
      <c r="G105" s="38"/>
      <c r="H105" s="70">
        <v>-4.1310122832072397E-3</v>
      </c>
      <c r="I105" s="72"/>
      <c r="J105" s="53">
        <v>2.1785886704055901E-2</v>
      </c>
      <c r="K105" s="38"/>
      <c r="L105" s="38"/>
      <c r="M105" s="38"/>
      <c r="N105" s="38"/>
      <c r="O105" s="38"/>
      <c r="P105" s="38"/>
      <c r="Q105" s="38"/>
      <c r="R105" s="38"/>
      <c r="S105" s="38"/>
    </row>
    <row r="106" spans="1:19" x14ac:dyDescent="0.25">
      <c r="A106" s="67">
        <v>39933</v>
      </c>
      <c r="B106" s="8">
        <v>2021.1279</v>
      </c>
      <c r="C106" s="53">
        <f t="shared" si="5"/>
        <v>9.5607526070935922E-2</v>
      </c>
      <c r="D106" s="62"/>
      <c r="E106" s="8">
        <v>589.48670000000004</v>
      </c>
      <c r="F106" s="53">
        <f t="shared" si="4"/>
        <v>0.15450346809307369</v>
      </c>
      <c r="G106" s="38"/>
      <c r="H106" s="70">
        <v>3.4718018029550504E-2</v>
      </c>
      <c r="I106" s="72"/>
      <c r="J106" s="53">
        <v>-1.8244108812672001E-2</v>
      </c>
      <c r="K106" s="38"/>
      <c r="L106" s="38"/>
      <c r="M106" s="38"/>
      <c r="N106" s="38"/>
      <c r="O106" s="38"/>
      <c r="P106" s="38"/>
      <c r="Q106" s="38"/>
      <c r="R106" s="38"/>
      <c r="S106" s="38"/>
    </row>
    <row r="107" spans="1:19" x14ac:dyDescent="0.25">
      <c r="A107" s="67">
        <v>39962</v>
      </c>
      <c r="B107" s="8">
        <v>2133.9881999999998</v>
      </c>
      <c r="C107" s="53">
        <f t="shared" si="5"/>
        <v>5.5840256324203752E-2</v>
      </c>
      <c r="D107" s="62"/>
      <c r="E107" s="8">
        <v>607.23440000000005</v>
      </c>
      <c r="F107" s="53">
        <f t="shared" si="4"/>
        <v>3.010704058293423E-2</v>
      </c>
      <c r="G107" s="38"/>
      <c r="H107" s="70">
        <v>3.9037407836129898E-2</v>
      </c>
      <c r="I107" s="72"/>
      <c r="J107" s="53">
        <v>-1.0088352586597999E-2</v>
      </c>
      <c r="K107" s="38"/>
      <c r="L107" s="38"/>
      <c r="M107" s="38"/>
      <c r="N107" s="38"/>
      <c r="O107" s="38"/>
      <c r="P107" s="38"/>
      <c r="Q107" s="38"/>
      <c r="R107" s="38"/>
      <c r="S107" s="38"/>
    </row>
    <row r="108" spans="1:19" x14ac:dyDescent="0.25">
      <c r="A108" s="67">
        <v>39994</v>
      </c>
      <c r="B108" s="8">
        <v>2138.259</v>
      </c>
      <c r="C108" s="53">
        <f t="shared" si="5"/>
        <v>2.0013231563325018E-3</v>
      </c>
      <c r="D108" s="62"/>
      <c r="E108" s="8">
        <v>616.15470000000005</v>
      </c>
      <c r="F108" s="53">
        <f t="shared" si="4"/>
        <v>1.4690043910555728E-2</v>
      </c>
      <c r="G108" s="38"/>
      <c r="H108" s="70">
        <v>2.7316884014802197E-2</v>
      </c>
      <c r="I108" s="72"/>
      <c r="J108" s="53">
        <v>-2.1206573147268901E-3</v>
      </c>
      <c r="K108" s="38"/>
      <c r="L108" s="38"/>
      <c r="M108" s="38"/>
      <c r="N108" s="38"/>
      <c r="O108" s="38"/>
      <c r="P108" s="38"/>
      <c r="Q108" s="38"/>
      <c r="R108" s="38"/>
      <c r="S108" s="38"/>
    </row>
    <row r="109" spans="1:19" x14ac:dyDescent="0.25">
      <c r="A109" s="67">
        <v>40025</v>
      </c>
      <c r="B109" s="8">
        <v>2299.7271000000001</v>
      </c>
      <c r="C109" s="53">
        <f t="shared" si="5"/>
        <v>7.5513817549698103E-2</v>
      </c>
      <c r="D109" s="62"/>
      <c r="E109" s="8">
        <v>675.44910000000004</v>
      </c>
      <c r="F109" s="53">
        <f t="shared" si="4"/>
        <v>9.6232975257674713E-2</v>
      </c>
      <c r="G109" s="38"/>
      <c r="H109" s="70">
        <v>4.3173669062316504E-2</v>
      </c>
      <c r="I109" s="72"/>
      <c r="J109" s="53">
        <v>4.1847378001132005E-3</v>
      </c>
      <c r="K109" s="38"/>
      <c r="L109" s="38"/>
      <c r="M109" s="38"/>
      <c r="N109" s="38"/>
      <c r="O109" s="38"/>
      <c r="P109" s="38"/>
      <c r="Q109" s="38"/>
      <c r="R109" s="38"/>
      <c r="S109" s="38"/>
    </row>
    <row r="110" spans="1:19" x14ac:dyDescent="0.25">
      <c r="A110" s="67">
        <v>40056</v>
      </c>
      <c r="B110" s="8">
        <v>2382.6152999999999</v>
      </c>
      <c r="C110" s="53">
        <f t="shared" si="5"/>
        <v>3.6042624361821041E-2</v>
      </c>
      <c r="D110" s="62"/>
      <c r="E110" s="8">
        <v>694.81460000000004</v>
      </c>
      <c r="F110" s="53">
        <f t="shared" si="4"/>
        <v>2.867055415426556E-2</v>
      </c>
      <c r="G110" s="38"/>
      <c r="H110" s="70">
        <v>1.8333987889202902E-2</v>
      </c>
      <c r="I110" s="72"/>
      <c r="J110" s="53">
        <v>8.9036712242319301E-3</v>
      </c>
      <c r="K110" s="38"/>
      <c r="L110" s="38"/>
      <c r="M110" s="38"/>
      <c r="N110" s="38"/>
      <c r="O110" s="38"/>
      <c r="P110" s="38"/>
      <c r="Q110" s="38"/>
      <c r="R110" s="38"/>
      <c r="S110" s="38"/>
    </row>
    <row r="111" spans="1:19" x14ac:dyDescent="0.25">
      <c r="A111" s="67">
        <v>40086</v>
      </c>
      <c r="B111" s="8">
        <v>2471.4452000000001</v>
      </c>
      <c r="C111" s="53">
        <f t="shared" si="5"/>
        <v>3.7282518919441232E-2</v>
      </c>
      <c r="D111" s="62"/>
      <c r="E111" s="8">
        <v>734.82050000000004</v>
      </c>
      <c r="F111" s="53">
        <f t="shared" si="4"/>
        <v>5.7577805647722524E-2</v>
      </c>
      <c r="G111" s="38"/>
      <c r="H111" s="70">
        <v>1.77512590520983E-2</v>
      </c>
      <c r="I111" s="72"/>
      <c r="J111" s="53">
        <v>7.7792116112539297E-3</v>
      </c>
      <c r="K111" s="38"/>
      <c r="L111" s="38"/>
      <c r="M111" s="38"/>
      <c r="N111" s="38"/>
      <c r="O111" s="38"/>
      <c r="P111" s="38"/>
      <c r="Q111" s="38"/>
      <c r="R111" s="38"/>
      <c r="S111" s="38"/>
    </row>
    <row r="112" spans="1:19" x14ac:dyDescent="0.25">
      <c r="A112" s="67">
        <v>40116</v>
      </c>
      <c r="B112" s="8">
        <v>2425.5708</v>
      </c>
      <c r="C112" s="53">
        <f t="shared" si="5"/>
        <v>-1.8561771064153132E-2</v>
      </c>
      <c r="D112" s="62"/>
      <c r="E112" s="8">
        <v>684.92169999999999</v>
      </c>
      <c r="F112" s="53">
        <f t="shared" si="4"/>
        <v>-6.7906107682080274E-2</v>
      </c>
      <c r="G112" s="38"/>
      <c r="H112" s="70">
        <v>7.0278624006094607E-3</v>
      </c>
      <c r="I112" s="72"/>
      <c r="J112" s="53">
        <v>-4.8574184135567001E-4</v>
      </c>
      <c r="K112" s="38"/>
      <c r="L112" s="38"/>
      <c r="M112" s="38"/>
      <c r="N112" s="38"/>
      <c r="O112" s="38"/>
      <c r="P112" s="38"/>
      <c r="Q112" s="38"/>
      <c r="R112" s="38"/>
      <c r="S112" s="38"/>
    </row>
    <row r="113" spans="1:19" x14ac:dyDescent="0.25">
      <c r="A113" s="67">
        <v>40147</v>
      </c>
      <c r="B113" s="8">
        <v>2570.9254000000001</v>
      </c>
      <c r="C113" s="53">
        <f t="shared" si="5"/>
        <v>5.992593578385752E-2</v>
      </c>
      <c r="D113" s="62"/>
      <c r="E113" s="8">
        <v>706.25990000000002</v>
      </c>
      <c r="F113" s="53">
        <f t="shared" si="4"/>
        <v>3.1154218066094419E-2</v>
      </c>
      <c r="G113" s="38"/>
      <c r="H113" s="70">
        <v>1.43095252622944E-2</v>
      </c>
      <c r="I113" s="72"/>
      <c r="J113" s="53">
        <v>1.39234297986916E-2</v>
      </c>
      <c r="K113" s="38"/>
      <c r="L113" s="38"/>
      <c r="M113" s="38"/>
      <c r="N113" s="38"/>
      <c r="O113" s="38"/>
      <c r="P113" s="38"/>
      <c r="Q113" s="38"/>
      <c r="R113" s="38"/>
      <c r="S113" s="38"/>
    </row>
    <row r="114" spans="1:19" x14ac:dyDescent="0.25">
      <c r="A114" s="67">
        <v>40178</v>
      </c>
      <c r="B114" s="8">
        <v>2620.5697</v>
      </c>
      <c r="C114" s="53">
        <f t="shared" si="5"/>
        <v>1.9309895184045356E-2</v>
      </c>
      <c r="D114" s="62"/>
      <c r="E114" s="8">
        <v>763.05330000000004</v>
      </c>
      <c r="F114" s="53">
        <f t="shared" si="4"/>
        <v>8.0414306404766878E-2</v>
      </c>
      <c r="G114" s="38"/>
      <c r="H114" s="70">
        <v>-7.8083774961948708E-3</v>
      </c>
      <c r="I114" s="72"/>
      <c r="J114" s="53">
        <v>-2.61237248990101E-2</v>
      </c>
      <c r="K114" s="38"/>
      <c r="L114" s="38"/>
      <c r="M114" s="38"/>
      <c r="N114" s="38"/>
      <c r="O114" s="38"/>
      <c r="P114" s="38"/>
      <c r="Q114" s="38"/>
      <c r="R114" s="38"/>
      <c r="S114" s="38"/>
    </row>
    <row r="115" spans="1:19" x14ac:dyDescent="0.25">
      <c r="A115" s="67">
        <v>40207</v>
      </c>
      <c r="B115" s="8">
        <v>2526.4351000000001</v>
      </c>
      <c r="C115" s="53">
        <f t="shared" si="5"/>
        <v>-3.5921425787682648E-2</v>
      </c>
      <c r="D115" s="62"/>
      <c r="E115" s="8">
        <v>734.94799999999998</v>
      </c>
      <c r="F115" s="53">
        <f t="shared" si="4"/>
        <v>-3.6832682592421895E-2</v>
      </c>
      <c r="G115" s="38"/>
      <c r="H115" s="70">
        <v>1.63147676968367E-2</v>
      </c>
      <c r="I115" s="72"/>
      <c r="J115" s="53">
        <v>1.5811589371444799E-2</v>
      </c>
      <c r="K115" s="38"/>
      <c r="L115" s="38"/>
      <c r="M115" s="38"/>
      <c r="N115" s="38"/>
      <c r="O115" s="38"/>
      <c r="P115" s="38"/>
      <c r="Q115" s="38"/>
      <c r="R115" s="38"/>
      <c r="S115" s="38"/>
    </row>
    <row r="116" spans="1:19" x14ac:dyDescent="0.25">
      <c r="A116" s="67">
        <v>40235</v>
      </c>
      <c r="B116" s="8">
        <v>2604.5495000000001</v>
      </c>
      <c r="C116" s="53">
        <f t="shared" si="5"/>
        <v>3.0918823127496831E-2</v>
      </c>
      <c r="D116" s="62"/>
      <c r="E116" s="8">
        <v>767.99749999999995</v>
      </c>
      <c r="F116" s="53">
        <f t="shared" si="4"/>
        <v>4.4968487566467319E-2</v>
      </c>
      <c r="G116" s="38"/>
      <c r="H116" s="70">
        <v>3.5550232216442603E-3</v>
      </c>
      <c r="I116" s="72"/>
      <c r="J116" s="53">
        <v>3.9512466707978099E-3</v>
      </c>
      <c r="K116" s="38"/>
      <c r="L116" s="38"/>
      <c r="M116" s="38"/>
      <c r="N116" s="38"/>
      <c r="O116" s="38"/>
      <c r="P116" s="38"/>
      <c r="Q116" s="38"/>
      <c r="R116" s="38"/>
      <c r="S116" s="38"/>
    </row>
    <row r="117" spans="1:19" x14ac:dyDescent="0.25">
      <c r="A117" s="67">
        <v>40268</v>
      </c>
      <c r="B117" s="8">
        <v>2761.6543000000001</v>
      </c>
      <c r="C117" s="53">
        <f t="shared" si="5"/>
        <v>6.0319375769206873E-2</v>
      </c>
      <c r="D117" s="62"/>
      <c r="E117" s="8">
        <v>830.32709999999997</v>
      </c>
      <c r="F117" s="53">
        <f t="shared" si="4"/>
        <v>8.1158597521476361E-2</v>
      </c>
      <c r="G117" s="38"/>
      <c r="H117" s="70">
        <v>2.9867099907305498E-3</v>
      </c>
      <c r="I117" s="72"/>
      <c r="J117" s="53">
        <v>-8.4744583436567808E-3</v>
      </c>
      <c r="K117" s="38"/>
      <c r="L117" s="38"/>
      <c r="M117" s="38"/>
      <c r="N117" s="38"/>
      <c r="O117" s="38"/>
      <c r="P117" s="38"/>
      <c r="Q117" s="38"/>
      <c r="R117" s="38"/>
      <c r="S117" s="38"/>
    </row>
    <row r="118" spans="1:19" x14ac:dyDescent="0.25">
      <c r="A118" s="67">
        <v>40298</v>
      </c>
      <c r="B118" s="8">
        <v>2805.2363</v>
      </c>
      <c r="C118" s="53">
        <f t="shared" si="5"/>
        <v>1.5781120757945688E-2</v>
      </c>
      <c r="D118" s="62"/>
      <c r="E118" s="8">
        <v>877.3143</v>
      </c>
      <c r="F118" s="53">
        <f t="shared" si="4"/>
        <v>5.658878290254532E-2</v>
      </c>
      <c r="G118" s="38"/>
      <c r="H118" s="70">
        <v>1.8202821762519601E-2</v>
      </c>
      <c r="I118" s="72"/>
      <c r="J118" s="53">
        <v>1.0482079068083201E-2</v>
      </c>
      <c r="K118" s="38"/>
      <c r="L118" s="38"/>
      <c r="M118" s="38"/>
      <c r="N118" s="38"/>
      <c r="O118" s="38"/>
      <c r="P118" s="38"/>
      <c r="Q118" s="38"/>
      <c r="R118" s="38"/>
      <c r="S118" s="38"/>
    </row>
    <row r="119" spans="1:19" x14ac:dyDescent="0.25">
      <c r="A119" s="67">
        <v>40329</v>
      </c>
      <c r="B119" s="8">
        <v>2581.4589000000001</v>
      </c>
      <c r="C119" s="53">
        <f t="shared" si="5"/>
        <v>-7.9771319086381354E-2</v>
      </c>
      <c r="D119" s="62"/>
      <c r="E119" s="8">
        <v>810.77909999999997</v>
      </c>
      <c r="F119" s="53">
        <f t="shared" si="4"/>
        <v>-7.5839639226215727E-2</v>
      </c>
      <c r="G119" s="38"/>
      <c r="H119" s="70">
        <v>-5.5123516995349295E-3</v>
      </c>
      <c r="I119" s="72"/>
      <c r="J119" s="53">
        <v>1.71029464228202E-2</v>
      </c>
      <c r="K119" s="38"/>
      <c r="L119" s="38"/>
      <c r="M119" s="38"/>
      <c r="N119" s="38"/>
      <c r="O119" s="38"/>
      <c r="P119" s="38"/>
      <c r="Q119" s="38"/>
      <c r="R119" s="38"/>
      <c r="S119" s="38"/>
    </row>
    <row r="120" spans="1:19" x14ac:dyDescent="0.25">
      <c r="A120" s="67">
        <v>40359</v>
      </c>
      <c r="B120" s="8">
        <v>2446.5061999999998</v>
      </c>
      <c r="C120" s="53">
        <f t="shared" si="5"/>
        <v>-5.2277686853740013E-2</v>
      </c>
      <c r="D120" s="62"/>
      <c r="E120" s="8">
        <v>747.99390000000005</v>
      </c>
      <c r="F120" s="53">
        <f t="shared" si="4"/>
        <v>-7.7438108604427458E-2</v>
      </c>
      <c r="G120" s="38"/>
      <c r="H120" s="70">
        <v>2.1312957102255101E-2</v>
      </c>
      <c r="I120" s="72"/>
      <c r="J120" s="53">
        <v>1.8570003282863099E-2</v>
      </c>
      <c r="K120" s="38"/>
      <c r="L120" s="38"/>
      <c r="M120" s="38"/>
      <c r="N120" s="38"/>
      <c r="O120" s="38"/>
      <c r="P120" s="38"/>
      <c r="Q120" s="38"/>
      <c r="R120" s="38"/>
      <c r="S120" s="38"/>
    </row>
    <row r="121" spans="1:19" x14ac:dyDescent="0.25">
      <c r="A121" s="67">
        <v>40389</v>
      </c>
      <c r="B121" s="8">
        <v>2617.8144000000002</v>
      </c>
      <c r="C121" s="53">
        <f t="shared" si="5"/>
        <v>7.0021567899562376E-2</v>
      </c>
      <c r="D121" s="62"/>
      <c r="E121" s="8">
        <v>799.34910000000002</v>
      </c>
      <c r="F121" s="53">
        <f t="shared" si="4"/>
        <v>6.865724439731391E-2</v>
      </c>
      <c r="G121" s="38"/>
      <c r="H121" s="70">
        <v>1.9591349902899499E-2</v>
      </c>
      <c r="I121" s="72"/>
      <c r="J121" s="53">
        <v>6.8186147589479598E-3</v>
      </c>
      <c r="K121" s="38"/>
      <c r="L121" s="38"/>
      <c r="M121" s="38"/>
      <c r="N121" s="38"/>
      <c r="O121" s="38"/>
      <c r="P121" s="38"/>
      <c r="Q121" s="38"/>
      <c r="R121" s="38"/>
      <c r="S121" s="38"/>
    </row>
    <row r="122" spans="1:19" x14ac:dyDescent="0.25">
      <c r="A122" s="67">
        <v>40421</v>
      </c>
      <c r="B122" s="8">
        <v>2499.8434000000002</v>
      </c>
      <c r="C122" s="53">
        <f t="shared" si="5"/>
        <v>-4.5064692134018314E-2</v>
      </c>
      <c r="D122" s="62"/>
      <c r="E122" s="8">
        <v>740.18780000000004</v>
      </c>
      <c r="F122" s="53">
        <f t="shared" si="4"/>
        <v>-7.4011842885667867E-2</v>
      </c>
      <c r="G122" s="38"/>
      <c r="H122" s="70">
        <v>1.98335728214044E-2</v>
      </c>
      <c r="I122" s="72"/>
      <c r="J122" s="53">
        <v>2.0080227676496996E-2</v>
      </c>
      <c r="K122" s="38"/>
      <c r="L122" s="38"/>
      <c r="M122" s="38"/>
      <c r="N122" s="38"/>
      <c r="O122" s="38"/>
      <c r="P122" s="38"/>
      <c r="Q122" s="38"/>
      <c r="R122" s="38"/>
      <c r="S122" s="38"/>
    </row>
    <row r="123" spans="1:19" x14ac:dyDescent="0.25">
      <c r="A123" s="67">
        <v>40451</v>
      </c>
      <c r="B123" s="8">
        <v>2722.8575000000001</v>
      </c>
      <c r="C123" s="53">
        <f t="shared" si="5"/>
        <v>8.9211228191333758E-2</v>
      </c>
      <c r="D123" s="62"/>
      <c r="E123" s="8">
        <v>832.37890000000004</v>
      </c>
      <c r="F123" s="53">
        <f t="shared" si="4"/>
        <v>0.12455095855403187</v>
      </c>
      <c r="G123" s="38"/>
      <c r="H123" s="70">
        <v>6.9912166633121298E-3</v>
      </c>
      <c r="I123" s="72"/>
      <c r="J123" s="53">
        <v>2.1091660957301E-4</v>
      </c>
      <c r="K123" s="38"/>
      <c r="L123" s="38"/>
      <c r="M123" s="38"/>
      <c r="N123" s="38"/>
      <c r="O123" s="38"/>
      <c r="P123" s="38"/>
      <c r="Q123" s="38"/>
      <c r="R123" s="38"/>
      <c r="S123" s="38"/>
    </row>
    <row r="124" spans="1:19" x14ac:dyDescent="0.25">
      <c r="A124" s="67">
        <v>40480</v>
      </c>
      <c r="B124" s="8">
        <v>2826.4059999999999</v>
      </c>
      <c r="C124" s="53">
        <f t="shared" si="5"/>
        <v>3.8029349681354851E-2</v>
      </c>
      <c r="D124" s="62"/>
      <c r="E124" s="8">
        <v>866.43169999999998</v>
      </c>
      <c r="F124" s="53">
        <f t="shared" si="4"/>
        <v>4.0910215287773388E-2</v>
      </c>
      <c r="G124" s="38"/>
      <c r="H124" s="70">
        <v>1.1800658131104701E-3</v>
      </c>
      <c r="I124" s="72"/>
      <c r="J124" s="53">
        <v>-1.5792659679843199E-3</v>
      </c>
      <c r="K124" s="38"/>
      <c r="L124" s="38"/>
      <c r="M124" s="38"/>
      <c r="N124" s="38"/>
      <c r="O124" s="38"/>
      <c r="P124" s="38"/>
      <c r="Q124" s="38"/>
      <c r="R124" s="38"/>
      <c r="S124" s="38"/>
    </row>
    <row r="125" spans="1:19" x14ac:dyDescent="0.25">
      <c r="A125" s="67">
        <v>40512</v>
      </c>
      <c r="B125" s="8">
        <v>2826.8591999999999</v>
      </c>
      <c r="C125" s="53">
        <f t="shared" si="5"/>
        <v>1.6034497520878155E-4</v>
      </c>
      <c r="D125" s="62"/>
      <c r="E125" s="8">
        <v>896.48069999999996</v>
      </c>
      <c r="F125" s="53">
        <f t="shared" si="4"/>
        <v>3.468132571788396E-2</v>
      </c>
      <c r="G125" s="38"/>
      <c r="H125" s="70">
        <v>-8.1126146393666904E-3</v>
      </c>
      <c r="I125" s="72"/>
      <c r="J125" s="53">
        <v>-6.9858346073008899E-3</v>
      </c>
      <c r="K125" s="38"/>
      <c r="L125" s="38"/>
      <c r="M125" s="38"/>
      <c r="N125" s="38"/>
      <c r="O125" s="38"/>
      <c r="P125" s="38"/>
      <c r="Q125" s="38"/>
      <c r="R125" s="38"/>
      <c r="S125" s="38"/>
    </row>
    <row r="126" spans="1:19" x14ac:dyDescent="0.25">
      <c r="A126" s="67">
        <v>40543</v>
      </c>
      <c r="B126" s="8">
        <v>3015.7188999999998</v>
      </c>
      <c r="C126" s="53">
        <f t="shared" si="5"/>
        <v>6.680902253638954E-2</v>
      </c>
      <c r="D126" s="62"/>
      <c r="E126" s="8">
        <v>967.72059999999999</v>
      </c>
      <c r="F126" s="53">
        <f t="shared" si="4"/>
        <v>7.9466183711484284E-2</v>
      </c>
      <c r="G126" s="38"/>
      <c r="H126" s="70">
        <v>-9.1751742359148201E-3</v>
      </c>
      <c r="I126" s="72"/>
      <c r="J126" s="53">
        <v>-1.7990281377527499E-2</v>
      </c>
      <c r="K126" s="38"/>
      <c r="L126" s="38"/>
      <c r="M126" s="38"/>
      <c r="N126" s="38"/>
      <c r="O126" s="38"/>
      <c r="P126" s="38"/>
      <c r="Q126" s="38"/>
      <c r="R126" s="38"/>
      <c r="S126" s="38"/>
    </row>
    <row r="127" spans="1:19" x14ac:dyDescent="0.25">
      <c r="A127" s="67">
        <v>40574</v>
      </c>
      <c r="B127" s="8">
        <v>3087.1797000000001</v>
      </c>
      <c r="C127" s="53">
        <f t="shared" si="5"/>
        <v>2.3696107750626361E-2</v>
      </c>
      <c r="D127" s="62"/>
      <c r="E127" s="8">
        <v>965.23339999999996</v>
      </c>
      <c r="F127" s="53">
        <f t="shared" si="4"/>
        <v>-2.5701633302008808E-3</v>
      </c>
      <c r="G127" s="38"/>
      <c r="H127" s="70">
        <v>1.9921965754026699E-3</v>
      </c>
      <c r="I127" s="72"/>
      <c r="J127" s="53">
        <v>-2.4818375513880003E-4</v>
      </c>
      <c r="K127" s="38"/>
      <c r="L127" s="38"/>
      <c r="M127" s="38"/>
      <c r="N127" s="38"/>
      <c r="O127" s="38"/>
      <c r="P127" s="38"/>
      <c r="Q127" s="38"/>
      <c r="R127" s="38"/>
      <c r="S127" s="38"/>
    </row>
    <row r="128" spans="1:19" x14ac:dyDescent="0.25">
      <c r="A128" s="67">
        <v>40602</v>
      </c>
      <c r="B128" s="8">
        <v>3192.8863999999999</v>
      </c>
      <c r="C128" s="53">
        <f t="shared" si="5"/>
        <v>3.4240539998368069E-2</v>
      </c>
      <c r="D128" s="62"/>
      <c r="E128" s="8">
        <v>1018.158</v>
      </c>
      <c r="F128" s="53">
        <f t="shared" si="4"/>
        <v>5.4830883390483587E-2</v>
      </c>
      <c r="G128" s="38"/>
      <c r="H128" s="70">
        <v>7.9233812827605998E-3</v>
      </c>
      <c r="I128" s="72"/>
      <c r="J128" s="53">
        <v>-7.4322379072336005E-4</v>
      </c>
      <c r="K128" s="38"/>
      <c r="L128" s="38"/>
      <c r="M128" s="38"/>
      <c r="N128" s="38"/>
      <c r="O128" s="38"/>
      <c r="P128" s="38"/>
      <c r="Q128" s="38"/>
      <c r="R128" s="38"/>
      <c r="S128" s="38"/>
    </row>
    <row r="129" spans="1:19" x14ac:dyDescent="0.25">
      <c r="A129" s="67">
        <v>40633</v>
      </c>
      <c r="B129" s="8">
        <v>3194.1001999999999</v>
      </c>
      <c r="C129" s="53">
        <f t="shared" si="5"/>
        <v>3.8015759032328234E-4</v>
      </c>
      <c r="D129" s="62"/>
      <c r="E129" s="8">
        <v>1044.4865</v>
      </c>
      <c r="F129" s="53">
        <f t="shared" si="4"/>
        <v>2.5858953129082041E-2</v>
      </c>
      <c r="G129" s="38"/>
      <c r="H129" s="70">
        <v>-1.3332528820876898E-3</v>
      </c>
      <c r="I129" s="72"/>
      <c r="J129" s="53">
        <v>-6.1011312463283001E-4</v>
      </c>
      <c r="K129" s="38"/>
      <c r="L129" s="38"/>
      <c r="M129" s="38"/>
      <c r="N129" s="38"/>
      <c r="O129" s="38"/>
      <c r="P129" s="38"/>
      <c r="Q129" s="38"/>
      <c r="R129" s="38"/>
      <c r="S129" s="38"/>
    </row>
    <row r="130" spans="1:19" x14ac:dyDescent="0.25">
      <c r="A130" s="67">
        <v>40662</v>
      </c>
      <c r="B130" s="8">
        <v>3288.6084000000001</v>
      </c>
      <c r="C130" s="53">
        <f t="shared" si="5"/>
        <v>2.9588364197215888E-2</v>
      </c>
      <c r="D130" s="62"/>
      <c r="E130" s="8">
        <v>1072.0535</v>
      </c>
      <c r="F130" s="53">
        <f t="shared" si="4"/>
        <v>2.6392873435894026E-2</v>
      </c>
      <c r="G130" s="38"/>
      <c r="H130" s="70">
        <v>1.7196125170153301E-2</v>
      </c>
      <c r="I130" s="72"/>
      <c r="J130" s="53">
        <v>1.1536573232504701E-2</v>
      </c>
      <c r="K130" s="38"/>
      <c r="L130" s="38"/>
      <c r="M130" s="38"/>
      <c r="N130" s="38"/>
      <c r="O130" s="38"/>
      <c r="P130" s="38"/>
      <c r="Q130" s="38"/>
      <c r="R130" s="38"/>
      <c r="S130" s="38"/>
    </row>
    <row r="131" spans="1:19" x14ac:dyDescent="0.25">
      <c r="A131" s="67">
        <v>40694</v>
      </c>
      <c r="B131" s="8">
        <v>3251.3112000000001</v>
      </c>
      <c r="C131" s="53">
        <f t="shared" si="5"/>
        <v>-1.1341332096579171E-2</v>
      </c>
      <c r="D131" s="62"/>
      <c r="E131" s="8">
        <v>1051.9381000000001</v>
      </c>
      <c r="F131" s="53">
        <f t="shared" si="4"/>
        <v>-1.876342925049912E-2</v>
      </c>
      <c r="G131" s="38"/>
      <c r="H131" s="70">
        <v>1.4440348363139E-2</v>
      </c>
      <c r="I131" s="72"/>
      <c r="J131" s="53">
        <v>1.5616768564037799E-2</v>
      </c>
      <c r="K131" s="38"/>
      <c r="L131" s="38"/>
      <c r="M131" s="38"/>
      <c r="N131" s="38"/>
      <c r="O131" s="38"/>
      <c r="P131" s="38"/>
      <c r="Q131" s="38"/>
      <c r="R131" s="38"/>
      <c r="S131" s="38"/>
    </row>
    <row r="132" spans="1:19" x14ac:dyDescent="0.25">
      <c r="A132" s="67">
        <v>40724</v>
      </c>
      <c r="B132" s="8">
        <v>3196.9796000000001</v>
      </c>
      <c r="C132" s="53">
        <f t="shared" si="5"/>
        <v>-1.6710673527652431E-2</v>
      </c>
      <c r="D132" s="62"/>
      <c r="E132" s="8">
        <v>1027.6302000000001</v>
      </c>
      <c r="F132" s="53">
        <f t="shared" si="4"/>
        <v>-2.3107728487065882E-2</v>
      </c>
      <c r="G132" s="38"/>
      <c r="H132" s="70">
        <v>-8.7605310949038593E-3</v>
      </c>
      <c r="I132" s="72"/>
      <c r="J132" s="53">
        <v>-3.3845812224138501E-3</v>
      </c>
      <c r="K132" s="38"/>
      <c r="L132" s="38"/>
      <c r="M132" s="38"/>
      <c r="N132" s="38"/>
      <c r="O132" s="38"/>
      <c r="P132" s="38"/>
      <c r="Q132" s="38"/>
      <c r="R132" s="38"/>
      <c r="S132" s="38"/>
    </row>
    <row r="133" spans="1:19" x14ac:dyDescent="0.25">
      <c r="A133" s="67">
        <v>40753</v>
      </c>
      <c r="B133" s="8">
        <v>3132.0648999999999</v>
      </c>
      <c r="C133" s="53">
        <f t="shared" si="5"/>
        <v>-2.0305009140502595E-2</v>
      </c>
      <c r="D133" s="62"/>
      <c r="E133" s="8">
        <v>990.50869999999998</v>
      </c>
      <c r="F133" s="53">
        <f t="shared" si="4"/>
        <v>-3.6123403146384847E-2</v>
      </c>
      <c r="G133" s="38"/>
      <c r="H133" s="70">
        <v>2.52136748480273E-2</v>
      </c>
      <c r="I133" s="72"/>
      <c r="J133" s="53">
        <v>1.8228367415115802E-2</v>
      </c>
      <c r="K133" s="38"/>
      <c r="L133" s="38"/>
      <c r="M133" s="38"/>
      <c r="N133" s="38"/>
      <c r="O133" s="38"/>
      <c r="P133" s="38"/>
      <c r="Q133" s="38"/>
      <c r="R133" s="38"/>
      <c r="S133" s="38"/>
    </row>
    <row r="134" spans="1:19" x14ac:dyDescent="0.25">
      <c r="A134" s="67">
        <v>40786</v>
      </c>
      <c r="B134" s="8">
        <v>2961.6801999999998</v>
      </c>
      <c r="C134" s="53">
        <f t="shared" si="5"/>
        <v>-5.4400117954133131E-2</v>
      </c>
      <c r="D134" s="62"/>
      <c r="E134" s="8">
        <v>904.2971</v>
      </c>
      <c r="F134" s="53">
        <f t="shared" si="4"/>
        <v>-8.7037700930844952E-2</v>
      </c>
      <c r="G134" s="38"/>
      <c r="H134" s="70">
        <v>6.5152465003513998E-4</v>
      </c>
      <c r="I134" s="72"/>
      <c r="J134" s="53">
        <v>2.7771850779778399E-2</v>
      </c>
      <c r="K134" s="38"/>
      <c r="L134" s="38"/>
      <c r="M134" s="38"/>
      <c r="N134" s="38"/>
      <c r="O134" s="38"/>
      <c r="P134" s="38"/>
      <c r="Q134" s="38"/>
      <c r="R134" s="38"/>
      <c r="S134" s="38"/>
    </row>
    <row r="135" spans="1:19" x14ac:dyDescent="0.25">
      <c r="A135" s="67">
        <v>40816</v>
      </c>
      <c r="B135" s="8">
        <v>2753.6457999999998</v>
      </c>
      <c r="C135" s="53">
        <f t="shared" si="5"/>
        <v>-7.0242020053346788E-2</v>
      </c>
      <c r="D135" s="62"/>
      <c r="E135" s="8">
        <v>802.99749999999995</v>
      </c>
      <c r="F135" s="53">
        <f t="shared" si="4"/>
        <v>-0.11202026413664279</v>
      </c>
      <c r="G135" s="38"/>
      <c r="H135" s="70">
        <v>2.5519619445856703E-3</v>
      </c>
      <c r="I135" s="72"/>
      <c r="J135" s="53">
        <v>1.7465744140595301E-2</v>
      </c>
      <c r="K135" s="38"/>
      <c r="L135" s="38"/>
      <c r="M135" s="38"/>
      <c r="N135" s="38"/>
      <c r="O135" s="38"/>
      <c r="P135" s="38"/>
      <c r="Q135" s="38"/>
      <c r="R135" s="38"/>
      <c r="S135" s="38"/>
    </row>
    <row r="136" spans="1:19" x14ac:dyDescent="0.25">
      <c r="A136" s="67">
        <v>40847</v>
      </c>
      <c r="B136" s="8">
        <v>3054.3132000000001</v>
      </c>
      <c r="C136" s="53">
        <f t="shared" si="5"/>
        <v>0.10918884338719237</v>
      </c>
      <c r="D136" s="62"/>
      <c r="E136" s="8">
        <v>924.49590000000001</v>
      </c>
      <c r="F136" s="53">
        <f t="shared" si="4"/>
        <v>0.15130607505004701</v>
      </c>
      <c r="G136" s="38"/>
      <c r="H136" s="70">
        <v>1.7878132155868101E-2</v>
      </c>
      <c r="I136" s="72"/>
      <c r="J136" s="53">
        <v>-8.1532515246265508E-3</v>
      </c>
      <c r="K136" s="38"/>
      <c r="L136" s="38"/>
      <c r="M136" s="38"/>
      <c r="N136" s="38"/>
      <c r="O136" s="38"/>
      <c r="P136" s="38"/>
      <c r="Q136" s="38"/>
      <c r="R136" s="38"/>
      <c r="S136" s="38"/>
    </row>
    <row r="137" spans="1:19" x14ac:dyDescent="0.25">
      <c r="A137" s="67">
        <v>40877</v>
      </c>
      <c r="B137" s="8">
        <v>3047.4431</v>
      </c>
      <c r="C137" s="53">
        <f t="shared" si="5"/>
        <v>-2.249310908914004E-3</v>
      </c>
      <c r="D137" s="62"/>
      <c r="E137" s="8">
        <v>921.09810000000004</v>
      </c>
      <c r="F137" s="53">
        <f t="shared" si="4"/>
        <v>-3.6753002365937926E-3</v>
      </c>
      <c r="G137" s="38"/>
      <c r="H137" s="70">
        <v>-1.9600157167118298E-2</v>
      </c>
      <c r="I137" s="72"/>
      <c r="J137" s="53">
        <v>7.4618284324518705E-3</v>
      </c>
      <c r="K137" s="38"/>
      <c r="L137" s="38"/>
      <c r="M137" s="38"/>
      <c r="N137" s="38"/>
      <c r="O137" s="38"/>
      <c r="P137" s="38"/>
      <c r="Q137" s="38"/>
      <c r="R137" s="38"/>
      <c r="S137" s="38"/>
    </row>
    <row r="138" spans="1:19" x14ac:dyDescent="0.25">
      <c r="A138" s="67">
        <v>40907</v>
      </c>
      <c r="B138" s="8">
        <v>3078.4886999999999</v>
      </c>
      <c r="C138" s="53">
        <f t="shared" si="5"/>
        <v>1.0187425648734871E-2</v>
      </c>
      <c r="D138" s="62"/>
      <c r="E138" s="8">
        <v>927.16179999999997</v>
      </c>
      <c r="F138" s="53">
        <f t="shared" si="4"/>
        <v>6.5831207338282738E-3</v>
      </c>
      <c r="G138" s="38"/>
      <c r="H138" s="70">
        <v>2.1376646808302101E-2</v>
      </c>
      <c r="I138" s="72"/>
      <c r="J138" s="53">
        <v>9.6621545968333701E-3</v>
      </c>
      <c r="K138" s="38"/>
      <c r="L138" s="38"/>
      <c r="M138" s="38"/>
      <c r="N138" s="38"/>
      <c r="O138" s="38"/>
      <c r="P138" s="38"/>
      <c r="Q138" s="38"/>
      <c r="R138" s="38"/>
      <c r="S138" s="38"/>
    </row>
    <row r="139" spans="1:19" x14ac:dyDescent="0.25">
      <c r="A139" s="67">
        <v>40939</v>
      </c>
      <c r="B139" s="8">
        <v>3216.3919999999998</v>
      </c>
      <c r="C139" s="53">
        <f t="shared" si="5"/>
        <v>4.4795779175671457E-2</v>
      </c>
      <c r="D139" s="63"/>
      <c r="E139" s="8">
        <v>992.65560000000005</v>
      </c>
      <c r="F139" s="53">
        <f t="shared" si="4"/>
        <v>7.0639018993232883E-2</v>
      </c>
      <c r="G139" s="38"/>
      <c r="H139" s="70">
        <v>2.2139555138519503E-2</v>
      </c>
      <c r="I139" s="72"/>
      <c r="J139" s="53">
        <v>4.2300465411935001E-3</v>
      </c>
      <c r="K139" s="38"/>
      <c r="L139" s="38"/>
      <c r="M139" s="38"/>
      <c r="N139" s="38"/>
      <c r="O139" s="38"/>
      <c r="P139" s="38"/>
      <c r="Q139" s="38"/>
      <c r="R139" s="38"/>
      <c r="S139" s="38"/>
    </row>
    <row r="140" spans="1:19" x14ac:dyDescent="0.25">
      <c r="A140" s="67">
        <v>40968</v>
      </c>
      <c r="B140" s="8">
        <v>3355.3876</v>
      </c>
      <c r="C140" s="53">
        <f t="shared" si="5"/>
        <v>4.3214757405191984E-2</v>
      </c>
      <c r="D140" s="38"/>
      <c r="E140" s="8">
        <v>1016.4256</v>
      </c>
      <c r="F140" s="53">
        <f t="shared" si="4"/>
        <v>2.3945868033182993E-2</v>
      </c>
      <c r="G140" s="38"/>
      <c r="H140" s="70">
        <v>8.4175655543281894E-3</v>
      </c>
      <c r="I140" s="72"/>
      <c r="J140" s="53">
        <v>-7.1261342323220098E-3</v>
      </c>
      <c r="K140" s="38"/>
      <c r="L140" s="38"/>
      <c r="M140" s="38"/>
      <c r="N140" s="38"/>
      <c r="O140" s="38"/>
      <c r="P140" s="38"/>
      <c r="Q140" s="38"/>
      <c r="R140" s="38"/>
      <c r="S140" s="38"/>
    </row>
    <row r="141" spans="1:19" x14ac:dyDescent="0.25">
      <c r="A141" s="67">
        <v>40998</v>
      </c>
      <c r="B141" s="8">
        <v>3465.5183000000002</v>
      </c>
      <c r="C141" s="53">
        <f t="shared" si="5"/>
        <v>3.2822050126191105E-2</v>
      </c>
      <c r="D141" s="38"/>
      <c r="E141" s="8">
        <v>1042.4532999999999</v>
      </c>
      <c r="F141" s="53">
        <f t="shared" si="4"/>
        <v>2.560708821186708E-2</v>
      </c>
      <c r="G141" s="38"/>
      <c r="H141" s="70">
        <v>-9.6574549960650805E-3</v>
      </c>
      <c r="I141" s="72"/>
      <c r="J141" s="53">
        <v>-1.00327543661502E-2</v>
      </c>
      <c r="K141" s="38"/>
      <c r="L141" s="38"/>
      <c r="M141" s="38"/>
      <c r="N141" s="38"/>
      <c r="O141" s="38"/>
      <c r="P141" s="38"/>
      <c r="Q141" s="38"/>
      <c r="R141" s="38"/>
      <c r="S141" s="38"/>
    </row>
    <row r="142" spans="1:19" x14ac:dyDescent="0.25">
      <c r="A142" s="67">
        <v>41029</v>
      </c>
      <c r="B142" s="8">
        <v>3443.7444</v>
      </c>
      <c r="C142" s="53">
        <f t="shared" si="5"/>
        <v>-6.2830140011091995E-3</v>
      </c>
      <c r="D142" s="38"/>
      <c r="E142" s="8">
        <v>1026.3492000000001</v>
      </c>
      <c r="F142" s="53">
        <f t="shared" si="4"/>
        <v>-1.5448269960870009E-2</v>
      </c>
      <c r="G142" s="38"/>
      <c r="H142" s="70">
        <v>1.3956763204863901E-2</v>
      </c>
      <c r="I142" s="72"/>
      <c r="J142" s="53">
        <v>1.4547669559341401E-2</v>
      </c>
      <c r="K142" s="38"/>
      <c r="L142" s="38"/>
      <c r="M142" s="38"/>
      <c r="N142" s="38"/>
      <c r="O142" s="38"/>
      <c r="P142" s="38"/>
      <c r="Q142" s="38"/>
      <c r="R142" s="38"/>
      <c r="S142" s="38"/>
    </row>
    <row r="143" spans="1:19" x14ac:dyDescent="0.25">
      <c r="A143" s="67">
        <v>41060</v>
      </c>
      <c r="B143" s="8">
        <v>3236.9661999999998</v>
      </c>
      <c r="C143" s="53">
        <f t="shared" si="5"/>
        <v>-6.0044584028942527E-2</v>
      </c>
      <c r="D143" s="38"/>
      <c r="E143" s="8">
        <v>958.48469999999998</v>
      </c>
      <c r="F143" s="53">
        <f t="shared" si="4"/>
        <v>-6.612223208241419E-2</v>
      </c>
      <c r="G143" s="38"/>
      <c r="H143" s="70">
        <v>7.5492837076162802E-3</v>
      </c>
      <c r="I143" s="72"/>
      <c r="J143" s="53">
        <v>1.7139075666036101E-2</v>
      </c>
      <c r="K143" s="38"/>
      <c r="L143" s="38"/>
      <c r="M143" s="38"/>
      <c r="N143" s="38"/>
      <c r="O143" s="38"/>
      <c r="P143" s="38"/>
      <c r="Q143" s="38"/>
      <c r="R143" s="38"/>
      <c r="S143" s="38"/>
    </row>
    <row r="144" spans="1:19" x14ac:dyDescent="0.25">
      <c r="A144" s="67">
        <v>41089</v>
      </c>
      <c r="B144" s="8">
        <v>3370.1743000000001</v>
      </c>
      <c r="C144" s="53">
        <f t="shared" si="5"/>
        <v>4.1152144251614509E-2</v>
      </c>
      <c r="D144" s="38"/>
      <c r="E144" s="8">
        <v>1006.2421000000001</v>
      </c>
      <c r="F144" s="53">
        <f t="shared" si="4"/>
        <v>4.9825938796936642E-2</v>
      </c>
      <c r="G144" s="38"/>
      <c r="H144" s="70">
        <v>3.5469654488165196E-3</v>
      </c>
      <c r="I144" s="72"/>
      <c r="J144" s="53">
        <v>-3.4776300114932501E-3</v>
      </c>
      <c r="K144" s="38"/>
      <c r="L144" s="38"/>
      <c r="M144" s="38"/>
      <c r="N144" s="38"/>
      <c r="O144" s="38"/>
      <c r="P144" s="38"/>
      <c r="Q144" s="38"/>
      <c r="R144" s="38"/>
      <c r="S144" s="38"/>
    </row>
    <row r="145" spans="1:19" x14ac:dyDescent="0.25">
      <c r="A145" s="67">
        <v>41121</v>
      </c>
      <c r="B145" s="8">
        <v>3416.9331999999999</v>
      </c>
      <c r="C145" s="53">
        <f t="shared" si="5"/>
        <v>1.3874326915376489E-2</v>
      </c>
      <c r="D145" s="38"/>
      <c r="E145" s="8">
        <v>992.34609999999998</v>
      </c>
      <c r="F145" s="53">
        <f t="shared" si="4"/>
        <v>-1.3809797860773299E-2</v>
      </c>
      <c r="G145" s="38"/>
      <c r="H145" s="70">
        <v>2.8773472168635399E-2</v>
      </c>
      <c r="I145" s="72"/>
      <c r="J145" s="53">
        <v>1.0068091988264001E-2</v>
      </c>
      <c r="K145" s="38"/>
      <c r="L145" s="38"/>
      <c r="M145" s="38"/>
      <c r="N145" s="38"/>
      <c r="O145" s="38"/>
      <c r="P145" s="38"/>
      <c r="Q145" s="38"/>
      <c r="R145" s="38"/>
      <c r="S145" s="38"/>
    </row>
    <row r="146" spans="1:19" x14ac:dyDescent="0.25">
      <c r="A146" s="67">
        <v>41152</v>
      </c>
      <c r="B146" s="8">
        <v>3493.8939999999998</v>
      </c>
      <c r="C146" s="53">
        <f t="shared" si="5"/>
        <v>2.2523355153679869E-2</v>
      </c>
      <c r="D146" s="38"/>
      <c r="E146" s="8">
        <v>1025.4418000000001</v>
      </c>
      <c r="F146" s="53">
        <f t="shared" si="4"/>
        <v>3.3350964950635831E-2</v>
      </c>
      <c r="G146" s="38"/>
      <c r="H146" s="70">
        <v>2.22282394338891E-3</v>
      </c>
      <c r="I146" s="72"/>
      <c r="J146" s="53">
        <v>-1.28603119497968E-3</v>
      </c>
      <c r="K146" s="38"/>
      <c r="L146" s="38"/>
      <c r="M146" s="38"/>
      <c r="N146" s="38"/>
      <c r="O146" s="38"/>
      <c r="P146" s="38"/>
      <c r="Q146" s="38"/>
      <c r="R146" s="38"/>
      <c r="S146" s="38"/>
    </row>
    <row r="147" spans="1:19" x14ac:dyDescent="0.25">
      <c r="A147" s="67">
        <v>41180</v>
      </c>
      <c r="B147" s="8">
        <v>3584.1605</v>
      </c>
      <c r="C147" s="53">
        <f t="shared" si="5"/>
        <v>2.5835500447351833E-2</v>
      </c>
      <c r="D147" s="38"/>
      <c r="E147" s="8">
        <v>1059.1246000000001</v>
      </c>
      <c r="F147" s="53">
        <f t="shared" ref="F147:F186" si="6">E147/E146-1</f>
        <v>3.2847110386957201E-2</v>
      </c>
      <c r="G147" s="38"/>
      <c r="H147" s="70">
        <v>7.0190917981169196E-3</v>
      </c>
      <c r="I147" s="72"/>
      <c r="J147" s="53">
        <v>-3.0596912846471004E-3</v>
      </c>
      <c r="K147" s="38"/>
      <c r="L147" s="38"/>
      <c r="M147" s="38"/>
      <c r="N147" s="38"/>
      <c r="O147" s="38"/>
      <c r="P147" s="38"/>
      <c r="Q147" s="38"/>
      <c r="R147" s="38"/>
      <c r="S147" s="38"/>
    </row>
    <row r="148" spans="1:19" x14ac:dyDescent="0.25">
      <c r="A148" s="67">
        <v>41213</v>
      </c>
      <c r="B148" s="8">
        <v>3518.0916000000002</v>
      </c>
      <c r="C148" s="53">
        <f t="shared" ref="C148:C186" si="7">B148/B147-1</f>
        <v>-1.8433577402574453E-2</v>
      </c>
      <c r="D148" s="38"/>
      <c r="E148" s="8">
        <v>1036.1555000000001</v>
      </c>
      <c r="F148" s="53">
        <f t="shared" si="6"/>
        <v>-2.1686872347219555E-2</v>
      </c>
      <c r="G148" s="38"/>
      <c r="H148" s="70">
        <v>1.2881743480744801E-2</v>
      </c>
      <c r="I148" s="72"/>
      <c r="J148" s="53">
        <v>-1.6939394470784899E-3</v>
      </c>
      <c r="K148" s="38"/>
      <c r="L148" s="38"/>
      <c r="M148" s="38"/>
      <c r="N148" s="38"/>
      <c r="O148" s="38"/>
      <c r="P148" s="38"/>
      <c r="Q148" s="38"/>
      <c r="R148" s="38"/>
      <c r="S148" s="38"/>
    </row>
    <row r="149" spans="1:19" x14ac:dyDescent="0.25">
      <c r="A149" s="67">
        <v>41243</v>
      </c>
      <c r="B149" s="8">
        <v>3538.2907</v>
      </c>
      <c r="C149" s="53">
        <f t="shared" si="7"/>
        <v>5.741493484706206E-3</v>
      </c>
      <c r="D149" s="38"/>
      <c r="E149" s="8">
        <v>1041.6341</v>
      </c>
      <c r="F149" s="53">
        <f t="shared" si="6"/>
        <v>5.2874303133070288E-3</v>
      </c>
      <c r="G149" s="38"/>
      <c r="H149" s="70">
        <v>-1.5916634997348899E-3</v>
      </c>
      <c r="I149" s="72"/>
      <c r="J149" s="53">
        <v>5.2021611845713004E-3</v>
      </c>
      <c r="K149" s="38"/>
      <c r="L149" s="38"/>
      <c r="M149" s="38"/>
      <c r="N149" s="38"/>
      <c r="O149" s="38"/>
      <c r="P149" s="38"/>
      <c r="Q149" s="38"/>
      <c r="R149" s="38"/>
      <c r="S149" s="38"/>
    </row>
    <row r="150" spans="1:19" x14ac:dyDescent="0.25">
      <c r="A150" s="67">
        <v>41274</v>
      </c>
      <c r="B150" s="8">
        <v>3570.3652999999999</v>
      </c>
      <c r="C150" s="53">
        <f t="shared" si="7"/>
        <v>9.0649985316355597E-3</v>
      </c>
      <c r="D150" s="38"/>
      <c r="E150" s="8">
        <v>1078.9536000000001</v>
      </c>
      <c r="F150" s="53">
        <f t="shared" si="6"/>
        <v>3.5827840121593679E-2</v>
      </c>
      <c r="G150" s="38"/>
      <c r="H150" s="70">
        <v>-6.3786621004115001E-4</v>
      </c>
      <c r="I150" s="72"/>
      <c r="J150" s="53">
        <v>-4.3534181807699697E-3</v>
      </c>
      <c r="K150" s="38"/>
      <c r="L150" s="38"/>
      <c r="M150" s="38"/>
      <c r="N150" s="38"/>
      <c r="O150" s="38"/>
      <c r="P150" s="38"/>
      <c r="Q150" s="38"/>
      <c r="R150" s="38"/>
      <c r="S150" s="38"/>
    </row>
    <row r="151" spans="1:19" x14ac:dyDescent="0.25">
      <c r="A151" s="67">
        <v>41305</v>
      </c>
      <c r="B151" s="8">
        <v>3755.2073</v>
      </c>
      <c r="C151" s="53">
        <f t="shared" si="7"/>
        <v>5.1771173106572643E-2</v>
      </c>
      <c r="D151" s="38"/>
      <c r="E151" s="8">
        <v>1146.4820999999999</v>
      </c>
      <c r="F151" s="53">
        <f t="shared" si="6"/>
        <v>6.2587028765648478E-2</v>
      </c>
      <c r="G151" s="38"/>
      <c r="H151" s="70">
        <v>-8.8959383230117796E-3</v>
      </c>
      <c r="I151" s="72"/>
      <c r="J151" s="53">
        <v>-8.0725604816361592E-3</v>
      </c>
      <c r="K151" s="38"/>
      <c r="L151" s="38"/>
      <c r="M151" s="38"/>
      <c r="N151" s="38"/>
      <c r="O151" s="38"/>
      <c r="P151" s="38"/>
      <c r="Q151" s="38"/>
      <c r="R151" s="38"/>
      <c r="S151" s="38"/>
    </row>
    <row r="152" spans="1:19" x14ac:dyDescent="0.25">
      <c r="A152" s="67">
        <v>41333</v>
      </c>
      <c r="B152" s="8">
        <v>3806.1453000000001</v>
      </c>
      <c r="C152" s="53">
        <f t="shared" si="7"/>
        <v>1.3564630639698594E-2</v>
      </c>
      <c r="D152" s="38"/>
      <c r="E152" s="8">
        <v>1159.1298999999999</v>
      </c>
      <c r="F152" s="53">
        <f t="shared" si="6"/>
        <v>1.10318338158093E-2</v>
      </c>
      <c r="G152" s="38"/>
      <c r="H152" s="70">
        <v>7.6992294271155705E-3</v>
      </c>
      <c r="I152" s="72"/>
      <c r="J152" s="53">
        <v>5.2852306598196001E-3</v>
      </c>
      <c r="K152" s="38"/>
      <c r="L152" s="38"/>
      <c r="M152" s="38"/>
      <c r="N152" s="38"/>
      <c r="O152" s="38"/>
      <c r="P152" s="38"/>
      <c r="Q152" s="38"/>
      <c r="R152" s="38"/>
      <c r="S152" s="38"/>
    </row>
    <row r="153" spans="1:19" x14ac:dyDescent="0.25">
      <c r="A153" s="67">
        <v>41362</v>
      </c>
      <c r="B153" s="8">
        <v>3948.8292000000001</v>
      </c>
      <c r="C153" s="53">
        <f t="shared" si="7"/>
        <v>3.7487770106937379E-2</v>
      </c>
      <c r="D153" s="38"/>
      <c r="E153" s="8">
        <v>1212.6419000000001</v>
      </c>
      <c r="F153" s="53">
        <f t="shared" si="6"/>
        <v>4.6165662709589439E-2</v>
      </c>
      <c r="G153" s="38"/>
      <c r="H153" s="70">
        <v>1.93690092929E-4</v>
      </c>
      <c r="I153" s="72"/>
      <c r="J153" s="53">
        <v>9.7918869540134E-4</v>
      </c>
      <c r="K153" s="38"/>
      <c r="L153" s="38"/>
      <c r="M153" s="38"/>
      <c r="N153" s="38"/>
      <c r="O153" s="38"/>
      <c r="P153" s="38"/>
      <c r="Q153" s="38"/>
      <c r="R153" s="38"/>
      <c r="S153" s="38"/>
    </row>
    <row r="154" spans="1:19" x14ac:dyDescent="0.25">
      <c r="A154" s="67">
        <v>41394</v>
      </c>
      <c r="B154" s="8">
        <v>4024.8155000000002</v>
      </c>
      <c r="C154" s="53">
        <f t="shared" si="7"/>
        <v>1.9242741620731474E-2</v>
      </c>
      <c r="D154" s="38"/>
      <c r="E154" s="8">
        <v>1208.1733999999999</v>
      </c>
      <c r="F154" s="53">
        <f t="shared" si="6"/>
        <v>-3.6849295740153387E-3</v>
      </c>
      <c r="G154" s="38"/>
      <c r="H154" s="70">
        <v>1.8257750353902199E-2</v>
      </c>
      <c r="I154" s="72"/>
      <c r="J154" s="53">
        <v>8.8917251505595887E-3</v>
      </c>
      <c r="K154" s="38"/>
      <c r="L154" s="38"/>
      <c r="M154" s="38"/>
      <c r="N154" s="38"/>
      <c r="O154" s="38"/>
      <c r="P154" s="38"/>
      <c r="Q154" s="38"/>
      <c r="R154" s="38"/>
      <c r="S154" s="38"/>
    </row>
    <row r="155" spans="1:19" x14ac:dyDescent="0.25">
      <c r="A155" s="67">
        <v>41425</v>
      </c>
      <c r="B155" s="8">
        <v>4118.9597999999996</v>
      </c>
      <c r="C155" s="53">
        <f t="shared" si="7"/>
        <v>2.3390960405514027E-2</v>
      </c>
      <c r="D155" s="38"/>
      <c r="E155" s="8">
        <v>1256.4468999999999</v>
      </c>
      <c r="F155" s="53">
        <f t="shared" si="6"/>
        <v>3.9955771249391869E-2</v>
      </c>
      <c r="G155" s="38"/>
      <c r="H155" s="70">
        <v>-2.34369231395728E-2</v>
      </c>
      <c r="I155" s="72"/>
      <c r="J155" s="53">
        <v>-1.70746991635446E-2</v>
      </c>
      <c r="K155" s="38"/>
      <c r="L155" s="38"/>
      <c r="M155" s="38"/>
      <c r="N155" s="38"/>
      <c r="O155" s="38"/>
      <c r="P155" s="38"/>
      <c r="Q155" s="38"/>
      <c r="R155" s="38"/>
      <c r="S155" s="38"/>
    </row>
    <row r="156" spans="1:19" x14ac:dyDescent="0.25">
      <c r="A156" s="67">
        <v>41453</v>
      </c>
      <c r="B156" s="8">
        <v>4063.6860000000001</v>
      </c>
      <c r="C156" s="53">
        <f t="shared" si="7"/>
        <v>-1.341935893620505E-2</v>
      </c>
      <c r="D156" s="38"/>
      <c r="E156" s="8">
        <v>1249.9958999999999</v>
      </c>
      <c r="F156" s="53">
        <f t="shared" si="6"/>
        <v>-5.1343196437509953E-3</v>
      </c>
      <c r="G156" s="38"/>
      <c r="H156" s="70">
        <v>-2.7603640871182403E-2</v>
      </c>
      <c r="I156" s="72"/>
      <c r="J156" s="53">
        <v>-1.1006516281491501E-2</v>
      </c>
      <c r="K156" s="38"/>
      <c r="L156" s="38"/>
      <c r="M156" s="38"/>
      <c r="N156" s="38"/>
      <c r="O156" s="38"/>
      <c r="P156" s="38"/>
      <c r="Q156" s="38"/>
      <c r="R156" s="38"/>
      <c r="S156" s="38"/>
    </row>
    <row r="157" spans="1:19" x14ac:dyDescent="0.25">
      <c r="A157" s="67">
        <v>41486</v>
      </c>
      <c r="B157" s="8">
        <v>4270.3549000000003</v>
      </c>
      <c r="C157" s="53">
        <f t="shared" si="7"/>
        <v>5.085749735584888E-2</v>
      </c>
      <c r="D157" s="38"/>
      <c r="E157" s="8">
        <v>1337.4546</v>
      </c>
      <c r="F157" s="53">
        <f t="shared" si="6"/>
        <v>6.9967189492381676E-2</v>
      </c>
      <c r="G157" s="38"/>
      <c r="H157" s="70">
        <v>8.335276440155321E-3</v>
      </c>
      <c r="I157" s="72"/>
      <c r="J157" s="53">
        <v>-1.0889829818511399E-3</v>
      </c>
      <c r="K157" s="38"/>
      <c r="L157" s="38"/>
      <c r="M157" s="38"/>
      <c r="N157" s="38"/>
      <c r="O157" s="38"/>
      <c r="P157" s="38"/>
      <c r="Q157" s="38"/>
      <c r="R157" s="38"/>
      <c r="S157" s="38"/>
    </row>
    <row r="158" spans="1:19" x14ac:dyDescent="0.25">
      <c r="A158" s="67">
        <v>41516</v>
      </c>
      <c r="B158" s="8">
        <v>4146.8806000000004</v>
      </c>
      <c r="C158" s="53">
        <f t="shared" si="7"/>
        <v>-2.891429468777873E-2</v>
      </c>
      <c r="D158" s="38"/>
      <c r="E158" s="8">
        <v>1294.9911</v>
      </c>
      <c r="F158" s="53">
        <f t="shared" si="6"/>
        <v>-3.1749488917231283E-2</v>
      </c>
      <c r="G158" s="38"/>
      <c r="H158" s="70">
        <v>-7.0248915924748098E-3</v>
      </c>
      <c r="I158" s="72"/>
      <c r="J158" s="53">
        <v>-4.8608274940603602E-3</v>
      </c>
      <c r="K158" s="38"/>
      <c r="L158" s="38"/>
      <c r="M158" s="38"/>
      <c r="N158" s="38"/>
      <c r="O158" s="38"/>
      <c r="P158" s="38"/>
      <c r="Q158" s="38"/>
      <c r="R158" s="38"/>
      <c r="S158" s="38"/>
    </row>
    <row r="159" spans="1:19" x14ac:dyDescent="0.25">
      <c r="A159" s="67">
        <v>41547</v>
      </c>
      <c r="B159" s="8">
        <v>4276.9353000000001</v>
      </c>
      <c r="C159" s="53">
        <f t="shared" si="7"/>
        <v>3.1362055613561646E-2</v>
      </c>
      <c r="D159" s="38"/>
      <c r="E159" s="8">
        <v>1377.5622000000001</v>
      </c>
      <c r="F159" s="53">
        <f t="shared" si="6"/>
        <v>6.3761905390701257E-2</v>
      </c>
      <c r="G159" s="38"/>
      <c r="H159" s="70">
        <v>6.9470496064188304E-3</v>
      </c>
      <c r="I159" s="72"/>
      <c r="J159" s="53">
        <v>6.9944907469097093E-3</v>
      </c>
      <c r="K159" s="38"/>
      <c r="L159" s="38"/>
      <c r="M159" s="38"/>
      <c r="N159" s="38"/>
      <c r="O159" s="38"/>
      <c r="P159" s="38"/>
      <c r="Q159" s="38"/>
      <c r="R159" s="38"/>
      <c r="S159" s="38"/>
    </row>
    <row r="160" spans="1:19" x14ac:dyDescent="0.25">
      <c r="A160" s="67">
        <v>41578</v>
      </c>
      <c r="B160" s="8">
        <v>4473.3233</v>
      </c>
      <c r="C160" s="53">
        <f t="shared" si="7"/>
        <v>4.5917926324487546E-2</v>
      </c>
      <c r="D160" s="38"/>
      <c r="E160" s="8">
        <v>1412.1949</v>
      </c>
      <c r="F160" s="53">
        <f t="shared" si="6"/>
        <v>2.5140570785115779E-2</v>
      </c>
      <c r="G160" s="38"/>
      <c r="H160" s="70">
        <v>1.47866381776082E-2</v>
      </c>
      <c r="I160" s="72"/>
      <c r="J160" s="53">
        <v>4.8262564122797599E-3</v>
      </c>
      <c r="K160" s="38"/>
      <c r="L160" s="38"/>
      <c r="M160" s="38"/>
      <c r="N160" s="38"/>
      <c r="O160" s="38"/>
      <c r="P160" s="38"/>
      <c r="Q160" s="38"/>
      <c r="R160" s="38"/>
      <c r="S160" s="38"/>
    </row>
    <row r="161" spans="1:19" x14ac:dyDescent="0.25">
      <c r="A161" s="67">
        <v>41607</v>
      </c>
      <c r="B161" s="8">
        <v>4609.4596000000001</v>
      </c>
      <c r="C161" s="53">
        <f t="shared" si="7"/>
        <v>3.0432922207970003E-2</v>
      </c>
      <c r="D161" s="38"/>
      <c r="E161" s="8">
        <v>1468.7372</v>
      </c>
      <c r="F161" s="53">
        <f t="shared" si="6"/>
        <v>4.0038595239226593E-2</v>
      </c>
      <c r="G161" s="38"/>
      <c r="H161" s="70">
        <v>-1.98379769606319E-3</v>
      </c>
      <c r="I161" s="72"/>
      <c r="J161" s="53">
        <v>-3.2726830834678001E-3</v>
      </c>
      <c r="K161" s="38"/>
      <c r="L161" s="38"/>
      <c r="M161" s="38"/>
      <c r="N161" s="38"/>
      <c r="O161" s="38"/>
      <c r="P161" s="38"/>
      <c r="Q161" s="38"/>
      <c r="R161" s="38"/>
      <c r="S161" s="38"/>
    </row>
    <row r="162" spans="1:19" x14ac:dyDescent="0.25">
      <c r="A162" s="67">
        <v>41639</v>
      </c>
      <c r="B162" s="8">
        <v>4725.6570000000002</v>
      </c>
      <c r="C162" s="53">
        <f t="shared" si="7"/>
        <v>2.5208464784028051E-2</v>
      </c>
      <c r="D162" s="38"/>
      <c r="E162" s="8">
        <v>1497.6494</v>
      </c>
      <c r="F162" s="53">
        <f t="shared" si="6"/>
        <v>1.9685073680982601E-2</v>
      </c>
      <c r="G162" s="38"/>
      <c r="H162" s="70">
        <v>-1.63319187324866E-3</v>
      </c>
      <c r="I162" s="72"/>
      <c r="J162" s="53">
        <v>-9.0714948192517995E-3</v>
      </c>
      <c r="K162" s="38"/>
      <c r="L162" s="38"/>
      <c r="M162" s="38"/>
      <c r="N162" s="38"/>
      <c r="O162" s="38"/>
      <c r="P162" s="38"/>
      <c r="Q162" s="38"/>
      <c r="R162" s="38"/>
      <c r="S162" s="38"/>
    </row>
    <row r="163" spans="1:19" x14ac:dyDescent="0.25">
      <c r="A163" s="67">
        <v>41670</v>
      </c>
      <c r="B163" s="8">
        <v>4562.3813</v>
      </c>
      <c r="C163" s="53">
        <f t="shared" si="7"/>
        <v>-3.4550899483394626E-2</v>
      </c>
      <c r="D163" s="38"/>
      <c r="E163" s="8">
        <v>1456.2070000000001</v>
      </c>
      <c r="F163" s="53">
        <f t="shared" si="6"/>
        <v>-2.7671629955582366E-2</v>
      </c>
      <c r="G163" s="38"/>
      <c r="H163" s="70">
        <v>1.8124262477127298E-2</v>
      </c>
      <c r="I163" s="72"/>
      <c r="J163" s="53">
        <v>1.3568818027513901E-2</v>
      </c>
      <c r="K163" s="38"/>
      <c r="L163" s="38"/>
      <c r="M163" s="38"/>
      <c r="N163" s="38"/>
      <c r="O163" s="38"/>
      <c r="P163" s="38"/>
      <c r="Q163" s="38"/>
      <c r="R163" s="38"/>
      <c r="S163" s="38"/>
    </row>
    <row r="164" spans="1:19" x14ac:dyDescent="0.25">
      <c r="A164" s="67">
        <v>41698</v>
      </c>
      <c r="B164" s="8">
        <v>4770.7098999999998</v>
      </c>
      <c r="C164" s="53">
        <f t="shared" si="7"/>
        <v>4.5662250982836383E-2</v>
      </c>
      <c r="D164" s="38"/>
      <c r="E164" s="8">
        <v>1524.7698</v>
      </c>
      <c r="F164" s="53">
        <f t="shared" si="6"/>
        <v>4.7083141339109069E-2</v>
      </c>
      <c r="G164" s="38"/>
      <c r="H164" s="70">
        <v>1.0398839999999999E-2</v>
      </c>
      <c r="I164" s="72"/>
      <c r="J164" s="53">
        <v>2.7192100000000001E-3</v>
      </c>
      <c r="K164" s="38"/>
      <c r="L164" s="38"/>
      <c r="M164" s="38"/>
      <c r="N164" s="38"/>
      <c r="O164" s="38"/>
      <c r="P164" s="38"/>
      <c r="Q164" s="38"/>
      <c r="R164" s="38"/>
      <c r="S164" s="38"/>
    </row>
    <row r="165" spans="1:19" x14ac:dyDescent="0.25">
      <c r="A165" s="67">
        <v>41729</v>
      </c>
      <c r="B165" s="8">
        <v>4810.7897999999996</v>
      </c>
      <c r="C165" s="53">
        <f t="shared" si="7"/>
        <v>8.4012444353407378E-3</v>
      </c>
      <c r="D165" s="38"/>
      <c r="E165" s="8">
        <v>1514.4001000000001</v>
      </c>
      <c r="F165" s="53">
        <f t="shared" si="6"/>
        <v>-6.8008298695317881E-3</v>
      </c>
      <c r="G165" s="38"/>
      <c r="H165" s="70">
        <v>6.6415000000000007E-4</v>
      </c>
      <c r="I165" s="72"/>
      <c r="J165" s="53">
        <v>-2.8543700000000002E-3</v>
      </c>
      <c r="K165" s="38"/>
      <c r="L165" s="38"/>
      <c r="M165" s="38"/>
      <c r="N165" s="38"/>
      <c r="O165" s="38"/>
      <c r="P165" s="38"/>
      <c r="Q165" s="38"/>
      <c r="R165" s="38"/>
      <c r="S165" s="38"/>
    </row>
    <row r="166" spans="1:19" x14ac:dyDescent="0.25">
      <c r="A166" s="67">
        <v>41759</v>
      </c>
      <c r="B166" s="8">
        <v>4846.2781000000004</v>
      </c>
      <c r="C166" s="53">
        <f t="shared" si="7"/>
        <v>7.3768136782863536E-3</v>
      </c>
      <c r="D166" s="38"/>
      <c r="E166" s="8">
        <v>1455.6792</v>
      </c>
      <c r="F166" s="53">
        <f t="shared" si="6"/>
        <v>-3.8775023852679391E-2</v>
      </c>
      <c r="G166" s="38"/>
      <c r="H166" s="70">
        <v>1.197876E-2</v>
      </c>
      <c r="I166" s="72"/>
      <c r="J166" s="53">
        <v>5.5166899999999994E-3</v>
      </c>
      <c r="K166" s="38"/>
      <c r="L166" s="38"/>
      <c r="M166" s="38"/>
      <c r="N166" s="38"/>
      <c r="O166" s="38"/>
      <c r="P166" s="38"/>
      <c r="Q166" s="38"/>
      <c r="R166" s="38"/>
      <c r="S166" s="38"/>
    </row>
    <row r="167" spans="1:19" x14ac:dyDescent="0.25">
      <c r="A167" s="67">
        <v>41789</v>
      </c>
      <c r="B167" s="8">
        <v>4959.7613000000001</v>
      </c>
      <c r="C167" s="53">
        <f t="shared" si="7"/>
        <v>2.3416567860601978E-2</v>
      </c>
      <c r="D167" s="38"/>
      <c r="E167" s="8">
        <v>1467.3185000000001</v>
      </c>
      <c r="F167" s="53">
        <f t="shared" si="6"/>
        <v>7.9957864342639073E-3</v>
      </c>
      <c r="G167" s="38"/>
      <c r="H167" s="70">
        <v>1.367086E-2</v>
      </c>
      <c r="I167" s="72"/>
      <c r="J167" s="53">
        <v>9.4210700000000001E-3</v>
      </c>
      <c r="K167" s="38"/>
      <c r="L167" s="38"/>
      <c r="M167" s="38"/>
      <c r="N167" s="38"/>
      <c r="O167" s="38"/>
      <c r="P167" s="38"/>
      <c r="Q167" s="38"/>
      <c r="R167" s="38"/>
      <c r="S167" s="38"/>
    </row>
    <row r="168" spans="1:19" x14ac:dyDescent="0.25">
      <c r="A168" s="67">
        <v>41820</v>
      </c>
      <c r="B168" s="8">
        <v>5062.1459000000004</v>
      </c>
      <c r="C168" s="53">
        <f t="shared" si="7"/>
        <v>2.0643049898389387E-2</v>
      </c>
      <c r="D168" s="38"/>
      <c r="E168" s="8">
        <v>1545.3420000000001</v>
      </c>
      <c r="F168" s="53">
        <f t="shared" si="6"/>
        <v>5.3174208598882888E-2</v>
      </c>
      <c r="G168" s="38"/>
      <c r="H168" s="70">
        <v>7.7846000000000002E-4</v>
      </c>
      <c r="I168" s="72"/>
      <c r="J168" s="53">
        <v>-1.42413E-3</v>
      </c>
      <c r="K168" s="38"/>
      <c r="L168" s="38"/>
      <c r="M168" s="38"/>
      <c r="N168" s="38"/>
      <c r="O168" s="38"/>
      <c r="P168" s="38"/>
      <c r="Q168" s="38"/>
      <c r="R168" s="38"/>
      <c r="S168" s="38"/>
    </row>
    <row r="169" spans="1:19" x14ac:dyDescent="0.25">
      <c r="A169" s="67">
        <v>41851</v>
      </c>
      <c r="B169" s="8">
        <v>4992.4507999999996</v>
      </c>
      <c r="C169" s="53">
        <f t="shared" si="7"/>
        <v>-1.3767896338191421E-2</v>
      </c>
      <c r="D169" s="38"/>
      <c r="E169" s="8">
        <v>1451.8362999999999</v>
      </c>
      <c r="F169" s="53">
        <f t="shared" si="6"/>
        <v>-6.0508094648304533E-2</v>
      </c>
      <c r="G169" s="38"/>
      <c r="H169" s="70">
        <v>-5.5816999999999998E-4</v>
      </c>
      <c r="I169" s="72"/>
      <c r="J169" s="53">
        <v>-1.6292300000000002E-3</v>
      </c>
      <c r="K169" s="38"/>
      <c r="L169" s="38"/>
      <c r="M169" s="38"/>
      <c r="N169" s="38"/>
      <c r="O169" s="38"/>
      <c r="P169" s="38"/>
      <c r="Q169" s="38"/>
      <c r="R169" s="38"/>
      <c r="S169" s="38"/>
    </row>
    <row r="170" spans="1:19" x14ac:dyDescent="0.25">
      <c r="A170" s="67">
        <v>41880</v>
      </c>
      <c r="B170" s="8">
        <v>5191.8648999999996</v>
      </c>
      <c r="C170" s="53">
        <f t="shared" si="7"/>
        <v>3.9943127731974837E-2</v>
      </c>
      <c r="D170" s="38"/>
      <c r="E170" s="8">
        <v>1523.7900999999999</v>
      </c>
      <c r="F170" s="53">
        <f t="shared" si="6"/>
        <v>4.9560546185544396E-2</v>
      </c>
      <c r="G170" s="38"/>
      <c r="H170" s="70">
        <v>1.4423689999999999E-2</v>
      </c>
      <c r="I170" s="72"/>
      <c r="J170" s="53">
        <v>1.054712E-2</v>
      </c>
      <c r="K170" s="38"/>
      <c r="L170" s="38"/>
      <c r="M170" s="38"/>
      <c r="N170" s="38"/>
      <c r="O170" s="38"/>
      <c r="P170" s="38"/>
      <c r="Q170" s="38"/>
      <c r="R170" s="38"/>
      <c r="S170" s="38"/>
    </row>
    <row r="171" spans="1:19" x14ac:dyDescent="0.25">
      <c r="A171" s="67">
        <v>41912</v>
      </c>
      <c r="B171" s="8">
        <v>5119.1532999999999</v>
      </c>
      <c r="C171" s="53">
        <f t="shared" si="7"/>
        <v>-1.4004909873521432E-2</v>
      </c>
      <c r="D171" s="38"/>
      <c r="E171" s="8">
        <v>1431.6867</v>
      </c>
      <c r="F171" s="53">
        <f t="shared" si="6"/>
        <v>-6.044362671735426E-2</v>
      </c>
      <c r="G171" s="38"/>
      <c r="H171" s="70">
        <v>-1.4424699999999999E-2</v>
      </c>
      <c r="I171" s="72"/>
      <c r="J171" s="53">
        <v>-5.4708599999999993E-3</v>
      </c>
      <c r="K171" s="38"/>
      <c r="L171" s="38"/>
      <c r="M171" s="38"/>
      <c r="N171" s="38"/>
      <c r="O171" s="38"/>
      <c r="P171" s="38"/>
      <c r="Q171" s="38"/>
      <c r="R171" s="38"/>
      <c r="S171" s="38"/>
    </row>
    <row r="172" spans="1:19" x14ac:dyDescent="0.25">
      <c r="A172" s="67">
        <v>41943</v>
      </c>
      <c r="B172" s="8">
        <v>5243.9317000000001</v>
      </c>
      <c r="C172" s="53">
        <f t="shared" si="7"/>
        <v>2.4374812139343449E-2</v>
      </c>
      <c r="D172" s="38"/>
      <c r="E172" s="8">
        <v>1525.9966999999999</v>
      </c>
      <c r="F172" s="53">
        <f t="shared" si="6"/>
        <v>6.5873350642986273E-2</v>
      </c>
      <c r="G172" s="38"/>
      <c r="H172" s="70">
        <v>1.0237389999999999E-2</v>
      </c>
      <c r="I172" s="72"/>
      <c r="J172" s="53">
        <v>9.7379099999999989E-3</v>
      </c>
      <c r="K172" s="38"/>
      <c r="L172" s="38"/>
      <c r="M172" s="38"/>
      <c r="N172" s="38"/>
      <c r="O172" s="38"/>
      <c r="P172" s="38"/>
      <c r="Q172" s="38"/>
      <c r="R172" s="38"/>
      <c r="S172" s="38"/>
    </row>
    <row r="173" spans="1:19" x14ac:dyDescent="0.25">
      <c r="A173" s="67">
        <v>41971</v>
      </c>
      <c r="B173" s="8">
        <v>5384.7443000000003</v>
      </c>
      <c r="C173" s="53">
        <f t="shared" si="7"/>
        <v>2.6852485511968061E-2</v>
      </c>
      <c r="D173" s="38"/>
      <c r="E173" s="8">
        <v>1527.3807999999999</v>
      </c>
      <c r="F173" s="53">
        <f t="shared" si="6"/>
        <v>9.0701375697599396E-4</v>
      </c>
      <c r="G173" s="38"/>
      <c r="H173" s="70">
        <v>6.7365400000000001E-3</v>
      </c>
      <c r="I173" s="72"/>
      <c r="J173" s="53">
        <v>8.0684099999999998E-3</v>
      </c>
      <c r="K173" s="38"/>
      <c r="L173" s="38"/>
      <c r="M173" s="38"/>
      <c r="N173" s="38"/>
      <c r="O173" s="38"/>
      <c r="P173" s="38"/>
      <c r="Q173" s="38"/>
      <c r="R173" s="38"/>
      <c r="S173" s="38"/>
    </row>
    <row r="174" spans="1:19" x14ac:dyDescent="0.25">
      <c r="A174" s="67">
        <v>42004</v>
      </c>
      <c r="B174" s="8">
        <v>5370.8888999999999</v>
      </c>
      <c r="C174" s="53">
        <f t="shared" si="7"/>
        <v>-2.5730841109763425E-3</v>
      </c>
      <c r="D174" s="38"/>
      <c r="E174" s="8">
        <v>1570.8797</v>
      </c>
      <c r="F174" s="53">
        <f t="shared" si="6"/>
        <v>2.8479407361936326E-2</v>
      </c>
      <c r="G174" s="38"/>
      <c r="H174" s="70">
        <v>6.0846000000000001E-4</v>
      </c>
      <c r="I174" s="72"/>
      <c r="J174" s="53">
        <v>1.42354E-3</v>
      </c>
      <c r="K174" s="38"/>
      <c r="L174" s="38"/>
      <c r="M174" s="38"/>
      <c r="N174" s="38"/>
      <c r="O174" s="38"/>
      <c r="P174" s="38"/>
      <c r="Q174" s="38"/>
      <c r="R174" s="38"/>
      <c r="S174" s="38"/>
    </row>
    <row r="175" spans="1:19" x14ac:dyDescent="0.25">
      <c r="A175" s="67">
        <v>42034</v>
      </c>
      <c r="B175" s="8">
        <v>5209.7503999999999</v>
      </c>
      <c r="C175" s="53">
        <f t="shared" si="7"/>
        <v>-3.0002203173482123E-2</v>
      </c>
      <c r="D175" s="38"/>
      <c r="E175" s="8">
        <v>1520.3685</v>
      </c>
      <c r="F175" s="53">
        <f t="shared" si="6"/>
        <v>-3.2154721968843281E-2</v>
      </c>
      <c r="G175" s="38"/>
      <c r="H175" s="70">
        <v>3.0337529999999998E-2</v>
      </c>
      <c r="I175" s="72"/>
      <c r="J175" s="53">
        <v>2.5865119999999998E-2</v>
      </c>
      <c r="K175" s="38"/>
      <c r="L175" s="38"/>
      <c r="M175" s="38"/>
      <c r="N175" s="38"/>
      <c r="O175" s="38"/>
      <c r="P175" s="38"/>
      <c r="Q175" s="38"/>
      <c r="R175" s="38"/>
      <c r="S175" s="38"/>
    </row>
    <row r="176" spans="1:19" x14ac:dyDescent="0.25">
      <c r="A176" s="67">
        <v>42062</v>
      </c>
      <c r="B176" s="8">
        <v>5508.9750999999997</v>
      </c>
      <c r="C176" s="53">
        <f t="shared" si="7"/>
        <v>5.7435515528728498E-2</v>
      </c>
      <c r="D176" s="38"/>
      <c r="E176" s="8">
        <v>1610.6072999999999</v>
      </c>
      <c r="F176" s="53">
        <f t="shared" si="6"/>
        <v>5.9353242322502719E-2</v>
      </c>
      <c r="G176" s="38"/>
      <c r="H176" s="70">
        <v>-1.013291E-2</v>
      </c>
      <c r="I176" s="72"/>
      <c r="J176" s="53">
        <v>-1.5443439999999999E-2</v>
      </c>
      <c r="K176" s="38"/>
      <c r="L176" s="38"/>
      <c r="M176" s="38"/>
      <c r="N176" s="38"/>
      <c r="O176" s="38"/>
      <c r="P176" s="38"/>
      <c r="Q176" s="38"/>
      <c r="R176" s="38"/>
      <c r="S176" s="38"/>
    </row>
    <row r="177" spans="1:19" x14ac:dyDescent="0.25">
      <c r="A177" s="67">
        <v>42094</v>
      </c>
      <c r="B177" s="8">
        <v>5421.8865999999998</v>
      </c>
      <c r="C177" s="53">
        <f t="shared" si="7"/>
        <v>-1.5808475881475603E-2</v>
      </c>
      <c r="D177" s="38"/>
      <c r="E177" s="8">
        <v>1638.6276</v>
      </c>
      <c r="F177" s="53">
        <f t="shared" si="6"/>
        <v>1.7397350676356726E-2</v>
      </c>
      <c r="G177" s="38"/>
      <c r="H177" s="70">
        <v>3.1904199999999998E-3</v>
      </c>
      <c r="I177" s="72"/>
      <c r="J177" s="53">
        <v>6.3069699999999994E-3</v>
      </c>
      <c r="K177" s="38"/>
      <c r="L177" s="38"/>
      <c r="M177" s="38"/>
      <c r="N177" s="38"/>
      <c r="O177" s="38"/>
      <c r="P177" s="38"/>
      <c r="Q177" s="38"/>
      <c r="R177" s="38"/>
      <c r="S177" s="38"/>
    </row>
    <row r="178" spans="1:19" x14ac:dyDescent="0.25">
      <c r="A178" s="67">
        <v>42124</v>
      </c>
      <c r="B178" s="8">
        <v>5473.8917000000001</v>
      </c>
      <c r="C178" s="53">
        <f t="shared" si="7"/>
        <v>9.5916982107298043E-3</v>
      </c>
      <c r="D178" s="38"/>
      <c r="E178" s="8">
        <v>1596.8662999999999</v>
      </c>
      <c r="F178" s="53">
        <f t="shared" si="6"/>
        <v>-2.548553435814227E-2</v>
      </c>
      <c r="G178" s="38"/>
      <c r="H178" s="70">
        <v>-7.0022300000000008E-3</v>
      </c>
      <c r="I178" s="72"/>
      <c r="J178" s="53">
        <v>-5.2599600000000002E-3</v>
      </c>
      <c r="K178" s="38"/>
      <c r="L178" s="38"/>
      <c r="M178" s="38"/>
      <c r="N178" s="38"/>
      <c r="O178" s="38"/>
      <c r="P178" s="38"/>
      <c r="Q178" s="38"/>
      <c r="R178" s="38"/>
      <c r="S178" s="38"/>
    </row>
    <row r="179" spans="1:19" x14ac:dyDescent="0.25">
      <c r="A179" s="67">
        <v>42153</v>
      </c>
      <c r="B179" s="8">
        <v>5544.2776999999996</v>
      </c>
      <c r="C179" s="53">
        <f t="shared" si="7"/>
        <v>1.2858493345785371E-2</v>
      </c>
      <c r="D179" s="38"/>
      <c r="E179" s="8">
        <v>1633.3155999999999</v>
      </c>
      <c r="F179" s="53">
        <f t="shared" si="6"/>
        <v>2.2825517703016107E-2</v>
      </c>
      <c r="G179" s="38"/>
      <c r="H179" s="70">
        <v>-6.52756E-3</v>
      </c>
      <c r="I179" s="72"/>
      <c r="J179" s="53">
        <v>-1.80258E-3</v>
      </c>
      <c r="K179" s="38"/>
      <c r="L179" s="38"/>
      <c r="M179" s="38"/>
      <c r="N179" s="38"/>
      <c r="O179" s="38"/>
      <c r="P179" s="38"/>
      <c r="Q179" s="38"/>
      <c r="R179" s="38"/>
      <c r="S179" s="38"/>
    </row>
    <row r="180" spans="1:19" x14ac:dyDescent="0.25">
      <c r="A180" s="67">
        <v>42185</v>
      </c>
      <c r="B180" s="8">
        <v>5437.1106</v>
      </c>
      <c r="C180" s="53">
        <f t="shared" si="7"/>
        <v>-1.9329316783681216E-2</v>
      </c>
      <c r="D180" s="38"/>
      <c r="E180" s="8">
        <v>1645.5786000000001</v>
      </c>
      <c r="F180" s="53">
        <f t="shared" si="6"/>
        <v>7.5080406995440274E-3</v>
      </c>
      <c r="G180" s="38"/>
      <c r="H180" s="70">
        <v>-1.837896E-2</v>
      </c>
      <c r="I180" s="72"/>
      <c r="J180" s="53">
        <v>-8.8263000000000005E-3</v>
      </c>
      <c r="K180" s="38"/>
      <c r="L180" s="38"/>
      <c r="M180" s="38"/>
      <c r="N180" s="38"/>
      <c r="O180" s="38"/>
      <c r="P180" s="38"/>
      <c r="Q180" s="38"/>
      <c r="R180" s="38"/>
      <c r="S180" s="38"/>
    </row>
    <row r="181" spans="1:19" x14ac:dyDescent="0.25">
      <c r="A181" s="67">
        <v>42216</v>
      </c>
      <c r="B181" s="8">
        <v>5550.9804999999997</v>
      </c>
      <c r="C181" s="53">
        <f t="shared" si="7"/>
        <v>2.094309061875621E-2</v>
      </c>
      <c r="D181" s="38"/>
      <c r="E181" s="8">
        <v>1626.4646</v>
      </c>
      <c r="F181" s="53">
        <f t="shared" si="6"/>
        <v>-1.1615367385064412E-2</v>
      </c>
      <c r="G181" s="38"/>
      <c r="H181" s="70">
        <v>6.7492100000000003E-3</v>
      </c>
      <c r="I181" s="72"/>
      <c r="J181" s="53">
        <v>8.3377099999999999E-3</v>
      </c>
      <c r="K181" s="38"/>
      <c r="L181" s="38"/>
      <c r="M181" s="38"/>
      <c r="N181" s="38"/>
      <c r="O181" s="38"/>
      <c r="P181" s="38"/>
      <c r="Q181" s="38"/>
      <c r="R181" s="38"/>
      <c r="S181" s="38"/>
    </row>
    <row r="182" spans="1:19" x14ac:dyDescent="0.25">
      <c r="A182" s="67">
        <v>42247</v>
      </c>
      <c r="B182" s="8">
        <v>5216.5784000000003</v>
      </c>
      <c r="C182" s="53">
        <f t="shared" si="7"/>
        <v>-6.0241987879438463E-2</v>
      </c>
      <c r="D182" s="38"/>
      <c r="E182" s="8">
        <v>1524.3067000000001</v>
      </c>
      <c r="F182" s="53">
        <f t="shared" si="6"/>
        <v>-6.2809790019407674E-2</v>
      </c>
      <c r="G182" s="38"/>
      <c r="H182" s="70">
        <v>-5.9183600000000001E-3</v>
      </c>
      <c r="I182" s="72"/>
      <c r="J182" s="53">
        <v>4.3669999999999999E-4</v>
      </c>
      <c r="K182" s="38"/>
      <c r="L182" s="38"/>
      <c r="M182" s="38"/>
      <c r="N182" s="38"/>
      <c r="O182" s="38"/>
      <c r="P182" s="38"/>
      <c r="Q182" s="38"/>
      <c r="R182" s="38"/>
      <c r="S182" s="38"/>
    </row>
    <row r="183" spans="1:19" x14ac:dyDescent="0.25">
      <c r="A183" s="67">
        <v>42277</v>
      </c>
      <c r="B183" s="8">
        <v>5087.6106</v>
      </c>
      <c r="C183" s="53">
        <f t="shared" si="7"/>
        <v>-2.472268029174074E-2</v>
      </c>
      <c r="D183" s="38"/>
      <c r="E183" s="8">
        <v>1449.5772999999999</v>
      </c>
      <c r="F183" s="53">
        <f t="shared" si="6"/>
        <v>-4.9025173214813145E-2</v>
      </c>
      <c r="G183" s="38"/>
      <c r="H183" s="70">
        <v>7.4533999999999998E-3</v>
      </c>
      <c r="I183" s="72"/>
      <c r="J183" s="53">
        <v>8.7779199999999998E-3</v>
      </c>
      <c r="K183" s="38"/>
      <c r="L183" s="38"/>
      <c r="M183" s="38"/>
      <c r="N183" s="38"/>
      <c r="O183" s="38"/>
      <c r="P183" s="38"/>
      <c r="Q183" s="38"/>
      <c r="R183" s="38"/>
      <c r="S183" s="38"/>
    </row>
    <row r="184" spans="1:19" x14ac:dyDescent="0.25">
      <c r="A184" s="67">
        <v>42307</v>
      </c>
      <c r="B184" s="8">
        <v>5516.5306</v>
      </c>
      <c r="C184" s="53">
        <f t="shared" si="7"/>
        <v>8.4306766716776727E-2</v>
      </c>
      <c r="D184" s="38"/>
      <c r="E184" s="8">
        <v>1531.2334000000001</v>
      </c>
      <c r="F184" s="53">
        <f t="shared" si="6"/>
        <v>5.6330973174042009E-2</v>
      </c>
      <c r="G184" s="38"/>
      <c r="H184" s="70">
        <v>4.1808599999999998E-3</v>
      </c>
      <c r="I184" s="72"/>
      <c r="J184" s="53">
        <v>-3.6627399999999998E-3</v>
      </c>
      <c r="K184" s="38"/>
      <c r="L184" s="38"/>
      <c r="M184" s="38"/>
      <c r="N184" s="38"/>
      <c r="O184" s="38"/>
      <c r="P184" s="38"/>
      <c r="Q184" s="38"/>
      <c r="R184" s="38"/>
      <c r="S184" s="38"/>
    </row>
    <row r="185" spans="1:19" x14ac:dyDescent="0.25">
      <c r="A185" s="67">
        <v>42338</v>
      </c>
      <c r="B185" s="8">
        <v>5532.9322000000002</v>
      </c>
      <c r="C185" s="53">
        <f t="shared" si="7"/>
        <v>2.9731730301649772E-3</v>
      </c>
      <c r="D185" s="38"/>
      <c r="E185" s="8">
        <v>1581.0127</v>
      </c>
      <c r="F185" s="53">
        <f t="shared" si="6"/>
        <v>3.2509283039411141E-2</v>
      </c>
      <c r="G185" s="38"/>
      <c r="H185" s="70">
        <v>-2.1880099999999998E-3</v>
      </c>
      <c r="I185" s="72"/>
      <c r="J185" s="53">
        <v>-4.09101E-3</v>
      </c>
      <c r="K185" s="38"/>
      <c r="L185" s="38"/>
      <c r="M185" s="38"/>
      <c r="N185" s="38"/>
      <c r="O185" s="38"/>
      <c r="P185" s="38"/>
      <c r="Q185" s="38"/>
      <c r="R185" s="38"/>
      <c r="S185" s="38"/>
    </row>
    <row r="186" spans="1:19" ht="16.5" thickBot="1" x14ac:dyDescent="0.3">
      <c r="A186" s="67">
        <v>42369</v>
      </c>
      <c r="B186" s="21">
        <v>5445.2114000000001</v>
      </c>
      <c r="C186" s="54">
        <f t="shared" si="7"/>
        <v>-1.5854305968180826E-2</v>
      </c>
      <c r="D186" s="38"/>
      <c r="E186" s="21">
        <v>1501.6605</v>
      </c>
      <c r="F186" s="54">
        <f t="shared" si="6"/>
        <v>-5.0190741668299066E-2</v>
      </c>
      <c r="G186" s="38"/>
      <c r="H186" s="73">
        <v>-7.7965999999999999E-3</v>
      </c>
      <c r="I186" s="74"/>
      <c r="J186" s="54">
        <v>-1.6377500000000001E-3</v>
      </c>
      <c r="K186" s="38"/>
      <c r="L186" s="38"/>
      <c r="M186" s="38"/>
      <c r="N186" s="38"/>
      <c r="O186" s="38"/>
      <c r="P186" s="38"/>
      <c r="Q186" s="38"/>
      <c r="R186" s="38"/>
      <c r="S186" s="38"/>
    </row>
    <row r="187" spans="1:19" x14ac:dyDescent="0.25">
      <c r="A187" s="50"/>
      <c r="H187" s="51"/>
      <c r="J187" s="51"/>
      <c r="K187" s="38"/>
      <c r="L187" s="38"/>
      <c r="M187" s="38"/>
      <c r="N187" s="38"/>
      <c r="O187" s="38"/>
      <c r="P187" s="38"/>
      <c r="Q187" s="38"/>
      <c r="R187" s="38"/>
      <c r="S187" s="38"/>
    </row>
    <row r="188" spans="1:19" x14ac:dyDescent="0.25">
      <c r="A188" s="50"/>
      <c r="H188" s="51"/>
      <c r="J188" s="51"/>
      <c r="K188" s="38"/>
      <c r="L188" s="38"/>
      <c r="M188" s="38"/>
      <c r="N188" s="38"/>
      <c r="O188" s="38"/>
      <c r="P188" s="38"/>
      <c r="Q188" s="38"/>
      <c r="R188" s="38"/>
      <c r="S188" s="38"/>
    </row>
    <row r="189" spans="1:19" x14ac:dyDescent="0.25">
      <c r="A189" s="50"/>
      <c r="H189" s="51"/>
      <c r="J189" s="51"/>
      <c r="K189" s="38"/>
      <c r="L189" s="38"/>
      <c r="M189" s="38"/>
      <c r="N189" s="38"/>
      <c r="O189" s="38"/>
      <c r="P189" s="38"/>
      <c r="Q189" s="38"/>
      <c r="R189" s="38"/>
      <c r="S189" s="38"/>
    </row>
    <row r="190" spans="1:19" x14ac:dyDescent="0.25">
      <c r="A190" s="50"/>
      <c r="H190" s="51"/>
      <c r="J190" s="51"/>
      <c r="K190" s="38"/>
      <c r="L190" s="38"/>
      <c r="M190" s="38"/>
      <c r="N190" s="38"/>
      <c r="O190" s="38"/>
      <c r="P190" s="38"/>
      <c r="Q190" s="38"/>
      <c r="R190" s="38"/>
      <c r="S190" s="38"/>
    </row>
    <row r="191" spans="1:19" x14ac:dyDescent="0.25">
      <c r="K191" s="38"/>
      <c r="L191" s="38"/>
      <c r="M191" s="38"/>
      <c r="N191" s="38"/>
      <c r="O191" s="38"/>
      <c r="P191" s="38"/>
      <c r="Q191" s="38"/>
      <c r="R191" s="38"/>
      <c r="S191" s="38"/>
    </row>
    <row r="192" spans="1:19" x14ac:dyDescent="0.25">
      <c r="K192" s="38"/>
      <c r="L192" s="38"/>
      <c r="M192" s="38"/>
      <c r="N192" s="38"/>
      <c r="O192" s="38"/>
      <c r="P192" s="38"/>
      <c r="Q192" s="38"/>
      <c r="R192" s="38"/>
      <c r="S192" s="38"/>
    </row>
    <row r="193" spans="11:19" x14ac:dyDescent="0.25">
      <c r="K193" s="38"/>
      <c r="L193" s="38"/>
      <c r="M193" s="38"/>
      <c r="N193" s="38"/>
      <c r="O193" s="38"/>
      <c r="P193" s="38"/>
      <c r="Q193" s="38"/>
      <c r="R193" s="38"/>
      <c r="S193" s="38"/>
    </row>
    <row r="194" spans="11:19" x14ac:dyDescent="0.25">
      <c r="K194" s="38"/>
      <c r="L194" s="38"/>
      <c r="M194" s="38"/>
      <c r="N194" s="38"/>
      <c r="O194" s="38"/>
      <c r="P194" s="38"/>
      <c r="Q194" s="38"/>
      <c r="R194" s="38"/>
      <c r="S194" s="38"/>
    </row>
    <row r="195" spans="11:19" x14ac:dyDescent="0.25">
      <c r="K195" s="38"/>
      <c r="L195" s="38"/>
      <c r="M195" s="38"/>
      <c r="N195" s="38"/>
      <c r="O195" s="38"/>
      <c r="P195" s="38"/>
      <c r="Q195" s="38"/>
      <c r="R195" s="38"/>
      <c r="S195" s="38"/>
    </row>
    <row r="196" spans="11:19" x14ac:dyDescent="0.25">
      <c r="K196" s="38"/>
      <c r="L196" s="38"/>
      <c r="M196" s="38"/>
      <c r="N196" s="38"/>
      <c r="O196" s="38"/>
      <c r="P196" s="38"/>
      <c r="Q196" s="38"/>
      <c r="R196" s="38"/>
      <c r="S196" s="38"/>
    </row>
    <row r="197" spans="11:19" x14ac:dyDescent="0.25">
      <c r="K197" s="38"/>
      <c r="L197" s="38"/>
      <c r="M197" s="38"/>
      <c r="N197" s="38"/>
      <c r="O197" s="38"/>
      <c r="P197" s="38"/>
      <c r="Q197" s="38"/>
      <c r="R197" s="38"/>
      <c r="S197" s="38"/>
    </row>
    <row r="198" spans="11:19" x14ac:dyDescent="0.25">
      <c r="K198" s="38"/>
      <c r="L198" s="38"/>
      <c r="M198" s="38"/>
      <c r="N198" s="38"/>
      <c r="O198" s="38"/>
      <c r="P198" s="38"/>
      <c r="Q198" s="38"/>
      <c r="R198" s="38"/>
      <c r="S198" s="38"/>
    </row>
    <row r="199" spans="11:19" x14ac:dyDescent="0.25">
      <c r="K199" s="38"/>
      <c r="L199" s="38"/>
      <c r="M199" s="38"/>
      <c r="N199" s="38"/>
      <c r="O199" s="38"/>
      <c r="P199" s="38"/>
      <c r="Q199" s="38"/>
      <c r="R199" s="38"/>
      <c r="S199" s="38"/>
    </row>
    <row r="200" spans="11:19" x14ac:dyDescent="0.25">
      <c r="K200" s="38"/>
      <c r="L200" s="38"/>
      <c r="M200" s="38"/>
      <c r="N200" s="38"/>
      <c r="O200" s="38"/>
      <c r="P200" s="38"/>
      <c r="Q200" s="38"/>
      <c r="R200" s="38"/>
      <c r="S200" s="38"/>
    </row>
    <row r="201" spans="11:19" x14ac:dyDescent="0.25">
      <c r="K201" s="38"/>
      <c r="L201" s="38"/>
      <c r="M201" s="38"/>
      <c r="N201" s="38"/>
      <c r="O201" s="38"/>
      <c r="P201" s="38"/>
      <c r="Q201" s="38"/>
      <c r="R201" s="38"/>
      <c r="S201" s="38"/>
    </row>
    <row r="202" spans="11:19" x14ac:dyDescent="0.25">
      <c r="K202" s="38"/>
      <c r="L202" s="38"/>
      <c r="M202" s="38"/>
      <c r="N202" s="38"/>
      <c r="O202" s="38"/>
      <c r="P202" s="38"/>
      <c r="Q202" s="38"/>
      <c r="R202" s="38"/>
      <c r="S202" s="38"/>
    </row>
    <row r="203" spans="11:19" x14ac:dyDescent="0.25">
      <c r="K203" s="38"/>
      <c r="L203" s="38"/>
      <c r="M203" s="38"/>
      <c r="N203" s="38"/>
      <c r="O203" s="38"/>
      <c r="P203" s="38"/>
      <c r="Q203" s="38"/>
      <c r="R203" s="38"/>
      <c r="S203" s="38"/>
    </row>
    <row r="204" spans="11:19" x14ac:dyDescent="0.25">
      <c r="K204" s="38"/>
      <c r="L204" s="38"/>
      <c r="M204" s="38"/>
      <c r="N204" s="38"/>
      <c r="O204" s="38"/>
      <c r="P204" s="38"/>
      <c r="Q204" s="38"/>
      <c r="R204" s="38"/>
      <c r="S204" s="38"/>
    </row>
    <row r="205" spans="11:19" x14ac:dyDescent="0.25">
      <c r="K205" s="38"/>
      <c r="L205" s="38"/>
      <c r="M205" s="38"/>
      <c r="N205" s="38"/>
      <c r="O205" s="38"/>
      <c r="P205" s="38"/>
      <c r="Q205" s="38"/>
      <c r="R205" s="38"/>
      <c r="S205" s="38"/>
    </row>
    <row r="206" spans="11:19" x14ac:dyDescent="0.25">
      <c r="K206" s="38"/>
      <c r="L206" s="38"/>
      <c r="M206" s="38"/>
      <c r="N206" s="38"/>
      <c r="O206" s="38"/>
      <c r="P206" s="38"/>
      <c r="Q206" s="38"/>
      <c r="R206" s="38"/>
      <c r="S206" s="38"/>
    </row>
    <row r="207" spans="11:19" x14ac:dyDescent="0.25">
      <c r="K207" s="38"/>
      <c r="L207" s="38"/>
      <c r="M207" s="38"/>
      <c r="N207" s="38"/>
      <c r="O207" s="38"/>
      <c r="P207" s="38"/>
      <c r="Q207" s="38"/>
      <c r="R207" s="38"/>
      <c r="S207" s="38"/>
    </row>
    <row r="208" spans="11:19" x14ac:dyDescent="0.25">
      <c r="K208" s="38"/>
      <c r="L208" s="38"/>
      <c r="M208" s="38"/>
      <c r="N208" s="38"/>
      <c r="O208" s="38"/>
      <c r="P208" s="38"/>
      <c r="Q208" s="38"/>
      <c r="R208" s="38"/>
      <c r="S208" s="38"/>
    </row>
    <row r="209" spans="11:19" x14ac:dyDescent="0.25">
      <c r="K209" s="38"/>
      <c r="L209" s="38"/>
      <c r="M209" s="38"/>
      <c r="N209" s="38"/>
      <c r="O209" s="38"/>
      <c r="P209" s="38"/>
      <c r="Q209" s="38"/>
      <c r="R209" s="38"/>
      <c r="S209" s="38"/>
    </row>
    <row r="210" spans="11:19" x14ac:dyDescent="0.25">
      <c r="K210" s="38"/>
      <c r="L210" s="38"/>
      <c r="M210" s="38"/>
      <c r="N210" s="38"/>
      <c r="O210" s="38"/>
      <c r="P210" s="38"/>
      <c r="Q210" s="38"/>
      <c r="R210" s="38"/>
      <c r="S210" s="38"/>
    </row>
    <row r="211" spans="11:19" x14ac:dyDescent="0.25">
      <c r="K211" s="38"/>
      <c r="L211" s="38"/>
      <c r="M211" s="38"/>
      <c r="N211" s="38"/>
      <c r="O211" s="38"/>
      <c r="P211" s="38"/>
      <c r="Q211" s="38"/>
      <c r="R211" s="38"/>
      <c r="S211" s="38"/>
    </row>
    <row r="212" spans="11:19" x14ac:dyDescent="0.25">
      <c r="K212" s="38"/>
      <c r="L212" s="38"/>
      <c r="M212" s="38"/>
      <c r="N212" s="38"/>
      <c r="O212" s="38"/>
      <c r="P212" s="38"/>
      <c r="Q212" s="38"/>
      <c r="R212" s="38"/>
      <c r="S212" s="38"/>
    </row>
    <row r="213" spans="11:19" x14ac:dyDescent="0.25">
      <c r="K213" s="38"/>
      <c r="L213" s="38"/>
      <c r="M213" s="38"/>
      <c r="N213" s="38"/>
      <c r="O213" s="38"/>
      <c r="P213" s="38"/>
      <c r="Q213" s="38"/>
      <c r="R213" s="38"/>
      <c r="S213" s="38"/>
    </row>
    <row r="214" spans="11:19" x14ac:dyDescent="0.25">
      <c r="K214" s="38"/>
      <c r="L214" s="38"/>
      <c r="M214" s="38"/>
      <c r="N214" s="38"/>
      <c r="O214" s="38"/>
      <c r="P214" s="38"/>
      <c r="Q214" s="38"/>
      <c r="R214" s="38"/>
      <c r="S214" s="38"/>
    </row>
    <row r="215" spans="11:19" x14ac:dyDescent="0.25">
      <c r="K215" s="38"/>
      <c r="L215" s="38"/>
      <c r="M215" s="38"/>
      <c r="N215" s="38"/>
      <c r="O215" s="38"/>
      <c r="P215" s="38"/>
      <c r="Q215" s="38"/>
      <c r="R215" s="38"/>
      <c r="S215" s="38"/>
    </row>
    <row r="216" spans="11:19" x14ac:dyDescent="0.25">
      <c r="K216" s="38"/>
      <c r="L216" s="38"/>
      <c r="M216" s="38"/>
      <c r="N216" s="38"/>
      <c r="O216" s="38"/>
      <c r="P216" s="38"/>
      <c r="Q216" s="38"/>
      <c r="R216" s="38"/>
      <c r="S216" s="38"/>
    </row>
    <row r="217" spans="11:19" x14ac:dyDescent="0.25">
      <c r="K217" s="38"/>
      <c r="L217" s="38"/>
      <c r="M217" s="38"/>
      <c r="N217" s="38"/>
      <c r="O217" s="38"/>
      <c r="P217" s="38"/>
      <c r="Q217" s="38"/>
      <c r="R217" s="38"/>
      <c r="S217" s="38"/>
    </row>
    <row r="218" spans="11:19" x14ac:dyDescent="0.25">
      <c r="K218" s="38"/>
      <c r="L218" s="38"/>
      <c r="M218" s="38"/>
      <c r="N218" s="38"/>
      <c r="O218" s="38"/>
      <c r="P218" s="38"/>
      <c r="Q218" s="38"/>
      <c r="R218" s="38"/>
      <c r="S218" s="38"/>
    </row>
    <row r="219" spans="11:19" x14ac:dyDescent="0.25">
      <c r="K219" s="38"/>
      <c r="L219" s="38"/>
      <c r="M219" s="38"/>
      <c r="N219" s="38"/>
      <c r="O219" s="38"/>
      <c r="P219" s="38"/>
      <c r="Q219" s="38"/>
      <c r="R219" s="38"/>
      <c r="S219" s="38"/>
    </row>
    <row r="220" spans="11:19" x14ac:dyDescent="0.25">
      <c r="K220" s="38"/>
      <c r="L220" s="38"/>
      <c r="M220" s="38"/>
      <c r="N220" s="38"/>
      <c r="O220" s="38"/>
      <c r="P220" s="38"/>
      <c r="Q220" s="38"/>
      <c r="R220" s="38"/>
      <c r="S220" s="38"/>
    </row>
    <row r="221" spans="11:19" x14ac:dyDescent="0.25">
      <c r="K221" s="38"/>
      <c r="L221" s="38"/>
      <c r="M221" s="38"/>
      <c r="N221" s="38"/>
      <c r="O221" s="38"/>
      <c r="P221" s="38"/>
      <c r="Q221" s="38"/>
      <c r="R221" s="38"/>
      <c r="S221" s="38"/>
    </row>
    <row r="222" spans="11:19" x14ac:dyDescent="0.25">
      <c r="K222" s="38"/>
      <c r="L222" s="38"/>
      <c r="M222" s="38"/>
      <c r="N222" s="38"/>
      <c r="O222" s="38"/>
      <c r="P222" s="38"/>
      <c r="Q222" s="38"/>
      <c r="R222" s="38"/>
      <c r="S222" s="38"/>
    </row>
    <row r="223" spans="11:19" x14ac:dyDescent="0.25">
      <c r="K223" s="38"/>
      <c r="L223" s="38"/>
      <c r="M223" s="38"/>
      <c r="N223" s="38"/>
      <c r="O223" s="38"/>
      <c r="P223" s="38"/>
      <c r="Q223" s="38"/>
      <c r="R223" s="38"/>
      <c r="S223" s="38"/>
    </row>
    <row r="224" spans="11:19" x14ac:dyDescent="0.25">
      <c r="K224" s="38"/>
      <c r="L224" s="38"/>
      <c r="M224" s="38"/>
      <c r="N224" s="38"/>
      <c r="O224" s="38"/>
      <c r="P224" s="38"/>
      <c r="Q224" s="38"/>
      <c r="R224" s="38"/>
      <c r="S224" s="38"/>
    </row>
    <row r="225" spans="11:19" x14ac:dyDescent="0.25">
      <c r="K225" s="38"/>
      <c r="L225" s="38"/>
      <c r="M225" s="38"/>
      <c r="N225" s="38"/>
      <c r="O225" s="38"/>
      <c r="P225" s="38"/>
      <c r="Q225" s="38"/>
      <c r="R225" s="38"/>
      <c r="S225" s="38"/>
    </row>
    <row r="226" spans="11:19" x14ac:dyDescent="0.25">
      <c r="K226" s="38"/>
      <c r="L226" s="38"/>
      <c r="M226" s="38"/>
      <c r="N226" s="38"/>
      <c r="O226" s="38"/>
      <c r="P226" s="38"/>
      <c r="Q226" s="38"/>
      <c r="R226" s="38"/>
      <c r="S226" s="38"/>
    </row>
    <row r="227" spans="11:19" x14ac:dyDescent="0.25">
      <c r="K227" s="38"/>
      <c r="L227" s="38"/>
      <c r="M227" s="38"/>
      <c r="N227" s="38"/>
      <c r="O227" s="38"/>
      <c r="P227" s="38"/>
      <c r="Q227" s="38"/>
      <c r="R227" s="38"/>
      <c r="S227" s="38"/>
    </row>
    <row r="228" spans="11:19" x14ac:dyDescent="0.25">
      <c r="K228" s="38"/>
      <c r="L228" s="38"/>
      <c r="M228" s="38"/>
      <c r="N228" s="38"/>
      <c r="O228" s="38"/>
      <c r="P228" s="38"/>
      <c r="Q228" s="38"/>
      <c r="R228" s="38"/>
      <c r="S228" s="38"/>
    </row>
    <row r="229" spans="11:19" x14ac:dyDescent="0.25">
      <c r="K229" s="38"/>
      <c r="L229" s="38"/>
      <c r="M229" s="38"/>
      <c r="N229" s="38"/>
      <c r="O229" s="38"/>
      <c r="P229" s="38"/>
      <c r="Q229" s="38"/>
      <c r="R229" s="38"/>
      <c r="S229" s="38"/>
    </row>
    <row r="230" spans="11:19" x14ac:dyDescent="0.25">
      <c r="K230" s="38"/>
      <c r="L230" s="38"/>
      <c r="M230" s="38"/>
      <c r="N230" s="38"/>
      <c r="O230" s="38"/>
      <c r="P230" s="38"/>
      <c r="Q230" s="38"/>
      <c r="R230" s="38"/>
      <c r="S230" s="38"/>
    </row>
    <row r="231" spans="11:19" x14ac:dyDescent="0.25">
      <c r="K231" s="38"/>
      <c r="L231" s="38"/>
      <c r="M231" s="38"/>
      <c r="N231" s="38"/>
      <c r="O231" s="38"/>
      <c r="P231" s="38"/>
      <c r="Q231" s="38"/>
      <c r="R231" s="38"/>
      <c r="S231" s="38"/>
    </row>
    <row r="232" spans="11:19" x14ac:dyDescent="0.25">
      <c r="K232" s="38"/>
      <c r="L232" s="38"/>
      <c r="M232" s="38"/>
      <c r="N232" s="38"/>
      <c r="O232" s="38"/>
      <c r="P232" s="38"/>
      <c r="Q232" s="38"/>
      <c r="R232" s="38"/>
      <c r="S232" s="38"/>
    </row>
    <row r="233" spans="11:19" x14ac:dyDescent="0.25">
      <c r="K233" s="38"/>
      <c r="L233" s="38"/>
      <c r="M233" s="38"/>
      <c r="N233" s="38"/>
      <c r="O233" s="38"/>
      <c r="P233" s="38"/>
      <c r="Q233" s="38"/>
      <c r="R233" s="38"/>
      <c r="S233" s="38"/>
    </row>
    <row r="234" spans="11:19" x14ac:dyDescent="0.25">
      <c r="K234" s="38"/>
      <c r="L234" s="38"/>
      <c r="M234" s="38"/>
      <c r="N234" s="38"/>
      <c r="O234" s="38"/>
      <c r="P234" s="38"/>
      <c r="Q234" s="38"/>
      <c r="R234" s="38"/>
      <c r="S234" s="38"/>
    </row>
    <row r="235" spans="11:19" x14ac:dyDescent="0.25">
      <c r="K235" s="38"/>
      <c r="L235" s="38"/>
      <c r="M235" s="38"/>
      <c r="N235" s="38"/>
      <c r="O235" s="38"/>
      <c r="P235" s="38"/>
      <c r="Q235" s="38"/>
      <c r="R235" s="38"/>
      <c r="S235" s="38"/>
    </row>
    <row r="236" spans="11:19" x14ac:dyDescent="0.25">
      <c r="K236" s="38"/>
      <c r="L236" s="38"/>
      <c r="M236" s="38"/>
      <c r="N236" s="38"/>
      <c r="O236" s="38"/>
      <c r="P236" s="38"/>
      <c r="Q236" s="38"/>
      <c r="R236" s="38"/>
      <c r="S236" s="38"/>
    </row>
    <row r="237" spans="11:19" x14ac:dyDescent="0.25">
      <c r="K237" s="38"/>
      <c r="L237" s="38"/>
      <c r="M237" s="38"/>
      <c r="N237" s="38"/>
      <c r="O237" s="38"/>
      <c r="P237" s="38"/>
      <c r="Q237" s="38"/>
      <c r="R237" s="38"/>
      <c r="S237" s="38"/>
    </row>
    <row r="238" spans="11:19" x14ac:dyDescent="0.25">
      <c r="K238" s="38"/>
      <c r="L238" s="38"/>
      <c r="M238" s="38"/>
      <c r="N238" s="38"/>
      <c r="O238" s="38"/>
      <c r="P238" s="38"/>
      <c r="Q238" s="38"/>
      <c r="R238" s="38"/>
      <c r="S238" s="38"/>
    </row>
    <row r="239" spans="11:19" x14ac:dyDescent="0.25">
      <c r="K239" s="38"/>
      <c r="L239" s="38"/>
      <c r="M239" s="38"/>
      <c r="N239" s="38"/>
      <c r="O239" s="38"/>
      <c r="P239" s="38"/>
      <c r="Q239" s="38"/>
      <c r="R239" s="38"/>
      <c r="S239" s="38"/>
    </row>
    <row r="240" spans="11:19" x14ac:dyDescent="0.25">
      <c r="K240" s="38"/>
      <c r="L240" s="38"/>
      <c r="M240" s="38"/>
      <c r="N240" s="38"/>
      <c r="O240" s="38"/>
      <c r="P240" s="38"/>
      <c r="Q240" s="38"/>
      <c r="R240" s="38"/>
      <c r="S240" s="38"/>
    </row>
    <row r="241" spans="11:19" x14ac:dyDescent="0.25">
      <c r="K241" s="38"/>
      <c r="L241" s="38"/>
      <c r="M241" s="38"/>
      <c r="N241" s="38"/>
      <c r="O241" s="38"/>
      <c r="P241" s="38"/>
      <c r="Q241" s="38"/>
      <c r="R241" s="38"/>
      <c r="S241" s="38"/>
    </row>
    <row r="242" spans="11:19" x14ac:dyDescent="0.25">
      <c r="K242" s="38"/>
      <c r="L242" s="38"/>
      <c r="M242" s="38"/>
      <c r="N242" s="38"/>
      <c r="O242" s="38"/>
      <c r="P242" s="38"/>
      <c r="Q242" s="38"/>
      <c r="R242" s="38"/>
      <c r="S242" s="38"/>
    </row>
    <row r="243" spans="11:19" x14ac:dyDescent="0.25">
      <c r="K243" s="38"/>
      <c r="L243" s="38"/>
      <c r="M243" s="38"/>
      <c r="N243" s="38"/>
      <c r="O243" s="38"/>
      <c r="P243" s="38"/>
      <c r="Q243" s="38"/>
      <c r="R243" s="38"/>
      <c r="S243" s="38"/>
    </row>
    <row r="244" spans="11:19" x14ac:dyDescent="0.25">
      <c r="K244" s="38"/>
      <c r="L244" s="38"/>
      <c r="M244" s="38"/>
      <c r="N244" s="38"/>
      <c r="O244" s="38"/>
      <c r="P244" s="38"/>
      <c r="Q244" s="38"/>
      <c r="R244" s="38"/>
      <c r="S244" s="38"/>
    </row>
    <row r="245" spans="11:19" x14ac:dyDescent="0.25">
      <c r="K245" s="38"/>
      <c r="L245" s="38"/>
      <c r="M245" s="38"/>
      <c r="N245" s="38"/>
      <c r="O245" s="38"/>
      <c r="P245" s="38"/>
      <c r="Q245" s="38"/>
      <c r="R245" s="38"/>
      <c r="S245" s="38"/>
    </row>
    <row r="246" spans="11:19" x14ac:dyDescent="0.25">
      <c r="K246" s="38"/>
      <c r="L246" s="38"/>
      <c r="M246" s="38"/>
      <c r="N246" s="38"/>
      <c r="O246" s="38"/>
      <c r="P246" s="38"/>
      <c r="Q246" s="38"/>
      <c r="R246" s="38"/>
      <c r="S246" s="38"/>
    </row>
    <row r="247" spans="11:19" x14ac:dyDescent="0.25">
      <c r="K247" s="38"/>
      <c r="L247" s="38"/>
      <c r="M247" s="38"/>
      <c r="N247" s="38"/>
      <c r="O247" s="38"/>
      <c r="P247" s="38"/>
      <c r="Q247" s="38"/>
      <c r="R247" s="38"/>
      <c r="S247" s="38"/>
    </row>
    <row r="248" spans="11:19" x14ac:dyDescent="0.25">
      <c r="K248" s="38"/>
      <c r="L248" s="38"/>
      <c r="M248" s="38"/>
      <c r="N248" s="38"/>
      <c r="O248" s="38"/>
      <c r="P248" s="38"/>
      <c r="Q248" s="38"/>
      <c r="R248" s="38"/>
      <c r="S248" s="38"/>
    </row>
    <row r="249" spans="11:19" x14ac:dyDescent="0.25">
      <c r="K249" s="38"/>
      <c r="L249" s="38"/>
      <c r="M249" s="38"/>
      <c r="N249" s="38"/>
      <c r="O249" s="38"/>
      <c r="P249" s="38"/>
      <c r="Q249" s="38"/>
      <c r="R249" s="38"/>
      <c r="S249" s="38"/>
    </row>
    <row r="250" spans="11:19" x14ac:dyDescent="0.25">
      <c r="K250" s="38"/>
      <c r="L250" s="38"/>
      <c r="M250" s="38"/>
      <c r="N250" s="38"/>
      <c r="O250" s="38"/>
      <c r="P250" s="38"/>
      <c r="Q250" s="38"/>
      <c r="R250" s="38"/>
      <c r="S250" s="38"/>
    </row>
    <row r="251" spans="11:19" x14ac:dyDescent="0.25">
      <c r="K251" s="38"/>
      <c r="L251" s="38"/>
      <c r="M251" s="38"/>
      <c r="N251" s="38"/>
      <c r="O251" s="38"/>
      <c r="P251" s="38"/>
      <c r="Q251" s="38"/>
      <c r="R251" s="38"/>
      <c r="S251" s="38"/>
    </row>
    <row r="252" spans="11:19" x14ac:dyDescent="0.25">
      <c r="K252" s="38"/>
      <c r="L252" s="38"/>
      <c r="M252" s="38"/>
      <c r="N252" s="38"/>
      <c r="O252" s="38"/>
      <c r="P252" s="38"/>
      <c r="Q252" s="38"/>
      <c r="R252" s="38"/>
      <c r="S252" s="38"/>
    </row>
    <row r="253" spans="11:19" x14ac:dyDescent="0.25">
      <c r="K253" s="38"/>
      <c r="L253" s="38"/>
      <c r="M253" s="38"/>
      <c r="N253" s="38"/>
      <c r="O253" s="38"/>
      <c r="P253" s="38"/>
      <c r="Q253" s="38"/>
      <c r="R253" s="38"/>
      <c r="S253" s="38"/>
    </row>
    <row r="254" spans="11:19" x14ac:dyDescent="0.25">
      <c r="K254" s="38"/>
      <c r="L254" s="38"/>
      <c r="M254" s="38"/>
      <c r="N254" s="38"/>
      <c r="O254" s="38"/>
      <c r="P254" s="38"/>
      <c r="Q254" s="38"/>
      <c r="R254" s="38"/>
      <c r="S254" s="38"/>
    </row>
    <row r="255" spans="11:19" x14ac:dyDescent="0.25">
      <c r="K255" s="38"/>
      <c r="L255" s="38"/>
      <c r="M255" s="38"/>
      <c r="N255" s="38"/>
      <c r="O255" s="38"/>
      <c r="P255" s="38"/>
      <c r="Q255" s="38"/>
      <c r="R255" s="38"/>
      <c r="S255" s="38"/>
    </row>
    <row r="256" spans="11:19" x14ac:dyDescent="0.25">
      <c r="K256" s="38"/>
      <c r="L256" s="38"/>
      <c r="M256" s="38"/>
      <c r="N256" s="38"/>
      <c r="O256" s="38"/>
      <c r="P256" s="38"/>
      <c r="Q256" s="38"/>
      <c r="R256" s="38"/>
      <c r="S256" s="38"/>
    </row>
    <row r="257" spans="11:19" x14ac:dyDescent="0.25">
      <c r="K257" s="38"/>
      <c r="L257" s="38"/>
      <c r="M257" s="38"/>
      <c r="N257" s="38"/>
      <c r="O257" s="38"/>
      <c r="P257" s="38"/>
      <c r="Q257" s="38"/>
      <c r="R257" s="38"/>
      <c r="S257" s="38"/>
    </row>
    <row r="258" spans="11:19" x14ac:dyDescent="0.25">
      <c r="K258" s="38"/>
      <c r="L258" s="38"/>
      <c r="M258" s="38"/>
      <c r="N258" s="38"/>
      <c r="O258" s="38"/>
      <c r="P258" s="38"/>
      <c r="Q258" s="38"/>
      <c r="R258" s="38"/>
      <c r="S258" s="38"/>
    </row>
    <row r="259" spans="11:19" x14ac:dyDescent="0.25">
      <c r="K259" s="38"/>
      <c r="L259" s="38"/>
      <c r="M259" s="38"/>
      <c r="N259" s="38"/>
      <c r="O259" s="38"/>
      <c r="P259" s="38"/>
      <c r="Q259" s="38"/>
      <c r="R259" s="38"/>
      <c r="S259" s="38"/>
    </row>
    <row r="260" spans="11:19" x14ac:dyDescent="0.25">
      <c r="K260" s="38"/>
      <c r="L260" s="38"/>
      <c r="M260" s="38"/>
      <c r="N260" s="38"/>
      <c r="O260" s="38"/>
      <c r="P260" s="38"/>
      <c r="Q260" s="38"/>
      <c r="R260" s="38"/>
      <c r="S260" s="38"/>
    </row>
    <row r="261" spans="11:19" x14ac:dyDescent="0.25">
      <c r="K261" s="38"/>
      <c r="L261" s="38"/>
      <c r="M261" s="38"/>
      <c r="N261" s="38"/>
      <c r="O261" s="38"/>
      <c r="P261" s="38"/>
      <c r="Q261" s="38"/>
      <c r="R261" s="38"/>
      <c r="S261" s="38"/>
    </row>
    <row r="262" spans="11:19" x14ac:dyDescent="0.25">
      <c r="K262" s="38"/>
      <c r="L262" s="38"/>
      <c r="M262" s="38"/>
      <c r="N262" s="38"/>
      <c r="O262" s="38"/>
      <c r="P262" s="38"/>
      <c r="Q262" s="38"/>
      <c r="R262" s="38"/>
      <c r="S262" s="38"/>
    </row>
    <row r="263" spans="11:19" x14ac:dyDescent="0.25">
      <c r="K263" s="38"/>
      <c r="L263" s="38"/>
      <c r="M263" s="38"/>
      <c r="N263" s="38"/>
      <c r="O263" s="38"/>
      <c r="P263" s="38"/>
      <c r="Q263" s="38"/>
      <c r="R263" s="38"/>
      <c r="S263" s="38"/>
    </row>
    <row r="264" spans="11:19" x14ac:dyDescent="0.25">
      <c r="K264" s="38"/>
      <c r="L264" s="38"/>
      <c r="M264" s="38"/>
      <c r="N264" s="38"/>
      <c r="O264" s="38"/>
      <c r="P264" s="38"/>
      <c r="Q264" s="38"/>
      <c r="R264" s="38"/>
      <c r="S264" s="38"/>
    </row>
    <row r="265" spans="11:19" x14ac:dyDescent="0.25">
      <c r="K265" s="38"/>
      <c r="L265" s="38"/>
      <c r="M265" s="38"/>
      <c r="N265" s="38"/>
      <c r="O265" s="38"/>
      <c r="P265" s="38"/>
      <c r="Q265" s="38"/>
      <c r="R265" s="38"/>
      <c r="S265" s="38"/>
    </row>
    <row r="266" spans="11:19" x14ac:dyDescent="0.25">
      <c r="K266" s="38"/>
      <c r="L266" s="38"/>
      <c r="M266" s="38"/>
      <c r="N266" s="38"/>
      <c r="O266" s="38"/>
      <c r="P266" s="38"/>
      <c r="Q266" s="38"/>
      <c r="R266" s="38"/>
      <c r="S266" s="38"/>
    </row>
    <row r="267" spans="11:19" x14ac:dyDescent="0.25">
      <c r="K267" s="38"/>
      <c r="L267" s="38"/>
      <c r="M267" s="38"/>
      <c r="N267" s="38"/>
      <c r="O267" s="38"/>
      <c r="P267" s="38"/>
      <c r="Q267" s="38"/>
      <c r="R267" s="38"/>
      <c r="S267" s="38"/>
    </row>
    <row r="268" spans="11:19" x14ac:dyDescent="0.25">
      <c r="K268" s="38"/>
      <c r="L268" s="38"/>
      <c r="M268" s="38"/>
      <c r="N268" s="38"/>
      <c r="O268" s="38"/>
      <c r="P268" s="38"/>
      <c r="Q268" s="38"/>
      <c r="R268" s="38"/>
      <c r="S268" s="38"/>
    </row>
    <row r="269" spans="11:19" x14ac:dyDescent="0.25">
      <c r="K269" s="38"/>
      <c r="L269" s="38"/>
      <c r="M269" s="38"/>
      <c r="N269" s="38"/>
      <c r="O269" s="38"/>
      <c r="P269" s="38"/>
      <c r="Q269" s="38"/>
      <c r="R269" s="38"/>
      <c r="S269" s="38"/>
    </row>
    <row r="270" spans="11:19" x14ac:dyDescent="0.25">
      <c r="K270" s="38"/>
      <c r="L270" s="38"/>
      <c r="M270" s="38"/>
      <c r="N270" s="38"/>
      <c r="O270" s="38"/>
      <c r="P270" s="38"/>
      <c r="Q270" s="38"/>
      <c r="R270" s="38"/>
      <c r="S270" s="38"/>
    </row>
    <row r="271" spans="11:19" x14ac:dyDescent="0.25">
      <c r="K271" s="38"/>
      <c r="L271" s="38"/>
      <c r="M271" s="38"/>
      <c r="N271" s="38"/>
      <c r="O271" s="38"/>
      <c r="P271" s="38"/>
      <c r="Q271" s="38"/>
      <c r="R271" s="38"/>
      <c r="S271" s="38"/>
    </row>
    <row r="272" spans="11:19" x14ac:dyDescent="0.25">
      <c r="K272" s="38"/>
      <c r="L272" s="38"/>
      <c r="M272" s="38"/>
      <c r="N272" s="38"/>
      <c r="O272" s="38"/>
      <c r="P272" s="38"/>
      <c r="Q272" s="38"/>
      <c r="R272" s="38"/>
      <c r="S272" s="38"/>
    </row>
    <row r="273" spans="11:19" x14ac:dyDescent="0.25">
      <c r="K273" s="38"/>
      <c r="L273" s="38"/>
      <c r="M273" s="38"/>
      <c r="N273" s="38"/>
      <c r="O273" s="38"/>
      <c r="P273" s="38"/>
      <c r="Q273" s="38"/>
      <c r="R273" s="38"/>
      <c r="S273" s="38"/>
    </row>
    <row r="274" spans="11:19" x14ac:dyDescent="0.25">
      <c r="K274" s="38"/>
      <c r="L274" s="38"/>
      <c r="M274" s="38"/>
      <c r="N274" s="38"/>
      <c r="O274" s="38"/>
      <c r="P274" s="38"/>
      <c r="Q274" s="38"/>
      <c r="R274" s="38"/>
      <c r="S274" s="38"/>
    </row>
    <row r="275" spans="11:19" x14ac:dyDescent="0.25">
      <c r="K275" s="38"/>
      <c r="L275" s="38"/>
      <c r="M275" s="38"/>
      <c r="N275" s="38"/>
      <c r="O275" s="38"/>
      <c r="P275" s="38"/>
      <c r="Q275" s="38"/>
      <c r="R275" s="38"/>
      <c r="S275" s="38"/>
    </row>
    <row r="276" spans="11:19" x14ac:dyDescent="0.25">
      <c r="K276" s="38"/>
      <c r="L276" s="38"/>
      <c r="M276" s="38"/>
      <c r="N276" s="38"/>
      <c r="O276" s="38"/>
      <c r="P276" s="38"/>
      <c r="Q276" s="38"/>
      <c r="R276" s="38"/>
      <c r="S276" s="38"/>
    </row>
    <row r="277" spans="11:19" x14ac:dyDescent="0.25">
      <c r="K277" s="38"/>
      <c r="L277" s="38"/>
      <c r="M277" s="38"/>
      <c r="N277" s="38"/>
      <c r="O277" s="38"/>
      <c r="P277" s="38"/>
      <c r="Q277" s="38"/>
      <c r="R277" s="38"/>
      <c r="S277" s="38"/>
    </row>
    <row r="278" spans="11:19" x14ac:dyDescent="0.25">
      <c r="K278" s="38"/>
      <c r="L278" s="38"/>
      <c r="M278" s="38"/>
      <c r="N278" s="38"/>
      <c r="O278" s="38"/>
      <c r="P278" s="38"/>
      <c r="Q278" s="38"/>
      <c r="R278" s="38"/>
      <c r="S278" s="38"/>
    </row>
    <row r="279" spans="11:19" x14ac:dyDescent="0.25">
      <c r="K279" s="38"/>
      <c r="L279" s="38"/>
      <c r="M279" s="38"/>
      <c r="N279" s="38"/>
      <c r="O279" s="38"/>
      <c r="P279" s="38"/>
      <c r="Q279" s="38"/>
      <c r="R279" s="38"/>
      <c r="S279" s="38"/>
    </row>
    <row r="280" spans="11:19" x14ac:dyDescent="0.25">
      <c r="K280" s="38"/>
      <c r="L280" s="38"/>
      <c r="M280" s="38"/>
      <c r="N280" s="38"/>
      <c r="O280" s="38"/>
      <c r="P280" s="38"/>
      <c r="Q280" s="38"/>
      <c r="R280" s="38"/>
      <c r="S280" s="38"/>
    </row>
    <row r="281" spans="11:19" x14ac:dyDescent="0.25">
      <c r="K281" s="38"/>
      <c r="L281" s="38"/>
      <c r="M281" s="38"/>
      <c r="N281" s="38"/>
      <c r="O281" s="38"/>
      <c r="P281" s="38"/>
      <c r="Q281" s="38"/>
      <c r="R281" s="38"/>
      <c r="S281" s="38"/>
    </row>
    <row r="282" spans="11:19" x14ac:dyDescent="0.25">
      <c r="K282" s="38"/>
      <c r="L282" s="38"/>
      <c r="M282" s="38"/>
      <c r="N282" s="38"/>
      <c r="O282" s="38"/>
      <c r="P282" s="38"/>
      <c r="Q282" s="38"/>
      <c r="R282" s="38"/>
      <c r="S282" s="38"/>
    </row>
    <row r="283" spans="11:19" x14ac:dyDescent="0.25">
      <c r="K283" s="38"/>
      <c r="L283" s="38"/>
      <c r="M283" s="38"/>
      <c r="N283" s="38"/>
      <c r="O283" s="38"/>
      <c r="P283" s="38"/>
      <c r="Q283" s="38"/>
      <c r="R283" s="38"/>
      <c r="S283" s="38"/>
    </row>
    <row r="284" spans="11:19" x14ac:dyDescent="0.25">
      <c r="K284" s="38"/>
      <c r="L284" s="38"/>
      <c r="M284" s="38"/>
      <c r="N284" s="38"/>
      <c r="O284" s="38"/>
      <c r="P284" s="38"/>
      <c r="Q284" s="38"/>
      <c r="R284" s="38"/>
      <c r="S284" s="38"/>
    </row>
    <row r="285" spans="11:19" x14ac:dyDescent="0.25">
      <c r="K285" s="38"/>
      <c r="L285" s="38"/>
      <c r="M285" s="38"/>
      <c r="N285" s="38"/>
      <c r="O285" s="38"/>
      <c r="P285" s="38"/>
      <c r="Q285" s="38"/>
      <c r="R285" s="38"/>
      <c r="S285" s="38"/>
    </row>
    <row r="286" spans="11:19" x14ac:dyDescent="0.25">
      <c r="K286" s="38"/>
      <c r="L286" s="38"/>
      <c r="M286" s="38"/>
      <c r="N286" s="38"/>
      <c r="O286" s="38"/>
      <c r="P286" s="38"/>
      <c r="Q286" s="38"/>
      <c r="R286" s="38"/>
      <c r="S286" s="38"/>
    </row>
    <row r="287" spans="11:19" x14ac:dyDescent="0.25">
      <c r="K287" s="38"/>
      <c r="L287" s="38"/>
      <c r="M287" s="38"/>
      <c r="N287" s="38"/>
      <c r="O287" s="38"/>
      <c r="P287" s="38"/>
      <c r="Q287" s="38"/>
      <c r="R287" s="38"/>
      <c r="S287" s="38"/>
    </row>
    <row r="288" spans="11:19" x14ac:dyDescent="0.25">
      <c r="K288" s="38"/>
      <c r="L288" s="38"/>
      <c r="M288" s="38"/>
      <c r="N288" s="38"/>
      <c r="O288" s="38"/>
      <c r="P288" s="38"/>
      <c r="Q288" s="38"/>
      <c r="R288" s="38"/>
      <c r="S288" s="38"/>
    </row>
    <row r="289" spans="11:19" x14ac:dyDescent="0.25">
      <c r="K289" s="38"/>
      <c r="L289" s="38"/>
      <c r="M289" s="38"/>
      <c r="N289" s="38"/>
      <c r="O289" s="38"/>
      <c r="P289" s="38"/>
      <c r="Q289" s="38"/>
      <c r="R289" s="38"/>
      <c r="S289" s="38"/>
    </row>
    <row r="290" spans="11:19" x14ac:dyDescent="0.25">
      <c r="K290" s="38"/>
      <c r="L290" s="38"/>
      <c r="M290" s="38"/>
      <c r="N290" s="38"/>
      <c r="O290" s="38"/>
      <c r="P290" s="38"/>
      <c r="Q290" s="38"/>
      <c r="R290" s="38"/>
      <c r="S290" s="38"/>
    </row>
    <row r="291" spans="11:19" x14ac:dyDescent="0.25">
      <c r="K291" s="38"/>
      <c r="L291" s="38"/>
      <c r="M291" s="38"/>
      <c r="N291" s="38"/>
      <c r="O291" s="38"/>
      <c r="P291" s="38"/>
      <c r="Q291" s="38"/>
      <c r="R291" s="38"/>
      <c r="S291" s="38"/>
    </row>
    <row r="292" spans="11:19" x14ac:dyDescent="0.25">
      <c r="K292" s="38"/>
      <c r="L292" s="38"/>
      <c r="M292" s="38"/>
      <c r="N292" s="38"/>
      <c r="O292" s="38"/>
      <c r="P292" s="38"/>
      <c r="Q292" s="38"/>
      <c r="R292" s="38"/>
      <c r="S292" s="38"/>
    </row>
    <row r="293" spans="11:19" x14ac:dyDescent="0.25">
      <c r="K293" s="38"/>
      <c r="L293" s="38"/>
      <c r="M293" s="38"/>
      <c r="N293" s="38"/>
      <c r="O293" s="38"/>
      <c r="P293" s="38"/>
      <c r="Q293" s="38"/>
      <c r="R293" s="38"/>
      <c r="S293" s="38"/>
    </row>
    <row r="294" spans="11:19" x14ac:dyDescent="0.25">
      <c r="K294" s="38"/>
      <c r="L294" s="38"/>
      <c r="M294" s="38"/>
      <c r="N294" s="38"/>
      <c r="O294" s="38"/>
      <c r="P294" s="38"/>
      <c r="Q294" s="38"/>
      <c r="R294" s="38"/>
      <c r="S294" s="38"/>
    </row>
    <row r="295" spans="11:19" x14ac:dyDescent="0.25">
      <c r="K295" s="38"/>
      <c r="L295" s="38"/>
      <c r="M295" s="38"/>
      <c r="N295" s="38"/>
      <c r="O295" s="38"/>
      <c r="P295" s="38"/>
      <c r="Q295" s="38"/>
      <c r="R295" s="38"/>
      <c r="S295" s="38"/>
    </row>
    <row r="296" spans="11:19" x14ac:dyDescent="0.25">
      <c r="K296" s="38"/>
      <c r="L296" s="38"/>
      <c r="M296" s="38"/>
      <c r="N296" s="38"/>
      <c r="O296" s="38"/>
      <c r="P296" s="38"/>
      <c r="Q296" s="38"/>
      <c r="R296" s="38"/>
      <c r="S296" s="38"/>
    </row>
    <row r="297" spans="11:19" x14ac:dyDescent="0.25">
      <c r="K297" s="38"/>
      <c r="L297" s="38"/>
      <c r="M297" s="38"/>
      <c r="N297" s="38"/>
      <c r="O297" s="38"/>
      <c r="P297" s="38"/>
      <c r="Q297" s="38"/>
      <c r="R297" s="38"/>
      <c r="S297" s="38"/>
    </row>
    <row r="298" spans="11:19" x14ac:dyDescent="0.25">
      <c r="K298" s="38"/>
      <c r="L298" s="38"/>
      <c r="M298" s="38"/>
      <c r="N298" s="38"/>
      <c r="O298" s="38"/>
      <c r="P298" s="38"/>
      <c r="Q298" s="38"/>
      <c r="R298" s="38"/>
      <c r="S298" s="38"/>
    </row>
    <row r="299" spans="11:19" x14ac:dyDescent="0.25">
      <c r="K299" s="38"/>
      <c r="L299" s="38"/>
      <c r="M299" s="38"/>
      <c r="N299" s="38"/>
      <c r="O299" s="38"/>
      <c r="P299" s="38"/>
      <c r="Q299" s="38"/>
      <c r="R299" s="38"/>
      <c r="S299" s="38"/>
    </row>
    <row r="300" spans="11:19" x14ac:dyDescent="0.25">
      <c r="K300" s="38"/>
      <c r="L300" s="38"/>
      <c r="M300" s="38"/>
      <c r="N300" s="38"/>
      <c r="O300" s="38"/>
      <c r="P300" s="38"/>
      <c r="Q300" s="38"/>
      <c r="R300" s="38"/>
      <c r="S300" s="38"/>
    </row>
    <row r="301" spans="11:19" x14ac:dyDescent="0.25">
      <c r="K301" s="38"/>
      <c r="L301" s="38"/>
      <c r="M301" s="38"/>
      <c r="N301" s="38"/>
      <c r="O301" s="38"/>
      <c r="P301" s="38"/>
      <c r="Q301" s="38"/>
      <c r="R301" s="38"/>
      <c r="S301" s="38"/>
    </row>
    <row r="302" spans="11:19" x14ac:dyDescent="0.25">
      <c r="K302" s="38"/>
      <c r="L302" s="38"/>
      <c r="M302" s="38"/>
      <c r="N302" s="38"/>
      <c r="O302" s="38"/>
      <c r="P302" s="38"/>
      <c r="Q302" s="38"/>
      <c r="R302" s="38"/>
      <c r="S302" s="38"/>
    </row>
    <row r="303" spans="11:19" x14ac:dyDescent="0.25">
      <c r="K303" s="38"/>
      <c r="L303" s="38"/>
      <c r="M303" s="38"/>
      <c r="N303" s="38"/>
      <c r="O303" s="38"/>
      <c r="P303" s="38"/>
      <c r="Q303" s="38"/>
      <c r="R303" s="38"/>
      <c r="S303" s="38"/>
    </row>
    <row r="304" spans="11:19" x14ac:dyDescent="0.25">
      <c r="K304" s="38"/>
      <c r="L304" s="38"/>
      <c r="M304" s="38"/>
      <c r="N304" s="38"/>
      <c r="O304" s="38"/>
      <c r="P304" s="38"/>
      <c r="Q304" s="38"/>
      <c r="R304" s="38"/>
      <c r="S304" s="38"/>
    </row>
    <row r="305" spans="11:19" x14ac:dyDescent="0.25">
      <c r="K305" s="38"/>
      <c r="L305" s="38"/>
      <c r="M305" s="38"/>
      <c r="N305" s="38"/>
      <c r="O305" s="38"/>
      <c r="P305" s="38"/>
      <c r="Q305" s="38"/>
      <c r="R305" s="38"/>
      <c r="S305" s="38"/>
    </row>
    <row r="306" spans="11:19" x14ac:dyDescent="0.25">
      <c r="K306" s="38"/>
      <c r="L306" s="38"/>
      <c r="M306" s="38"/>
      <c r="N306" s="38"/>
      <c r="O306" s="38"/>
      <c r="P306" s="38"/>
      <c r="Q306" s="38"/>
      <c r="R306" s="38"/>
      <c r="S306" s="38"/>
    </row>
    <row r="307" spans="11:19" x14ac:dyDescent="0.25">
      <c r="K307" s="38"/>
      <c r="L307" s="38"/>
      <c r="M307" s="38"/>
      <c r="N307" s="38"/>
      <c r="O307" s="38"/>
      <c r="P307" s="38"/>
      <c r="Q307" s="38"/>
      <c r="R307" s="38"/>
      <c r="S307" s="38"/>
    </row>
    <row r="308" spans="11:19" x14ac:dyDescent="0.25">
      <c r="K308" s="38"/>
      <c r="L308" s="38"/>
      <c r="M308" s="38"/>
      <c r="N308" s="38"/>
      <c r="O308" s="38"/>
      <c r="P308" s="38"/>
      <c r="Q308" s="38"/>
      <c r="R308" s="38"/>
      <c r="S308" s="38"/>
    </row>
    <row r="309" spans="11:19" x14ac:dyDescent="0.25">
      <c r="K309" s="38"/>
      <c r="L309" s="38"/>
      <c r="M309" s="38"/>
      <c r="N309" s="38"/>
      <c r="O309" s="38"/>
      <c r="P309" s="38"/>
      <c r="Q309" s="38"/>
      <c r="R309" s="38"/>
      <c r="S309" s="38"/>
    </row>
    <row r="310" spans="11:19" x14ac:dyDescent="0.25">
      <c r="K310" s="38"/>
      <c r="L310" s="38"/>
      <c r="M310" s="38"/>
      <c r="N310" s="38"/>
      <c r="O310" s="38"/>
      <c r="P310" s="38"/>
      <c r="Q310" s="38"/>
      <c r="R310" s="38"/>
      <c r="S310" s="38"/>
    </row>
    <row r="311" spans="11:19" x14ac:dyDescent="0.25">
      <c r="K311" s="38"/>
      <c r="L311" s="38"/>
      <c r="M311" s="38"/>
      <c r="N311" s="38"/>
      <c r="O311" s="38"/>
      <c r="P311" s="38"/>
      <c r="Q311" s="38"/>
      <c r="R311" s="38"/>
      <c r="S311" s="38"/>
    </row>
    <row r="312" spans="11:19" x14ac:dyDescent="0.25">
      <c r="K312" s="38"/>
      <c r="L312" s="38"/>
      <c r="M312" s="38"/>
      <c r="N312" s="38"/>
      <c r="O312" s="38"/>
      <c r="P312" s="38"/>
      <c r="Q312" s="38"/>
      <c r="R312" s="38"/>
      <c r="S312" s="38"/>
    </row>
    <row r="313" spans="11:19" x14ac:dyDescent="0.25">
      <c r="K313" s="38"/>
      <c r="L313" s="38"/>
      <c r="M313" s="38"/>
      <c r="N313" s="38"/>
      <c r="O313" s="38"/>
      <c r="P313" s="38"/>
      <c r="Q313" s="38"/>
      <c r="R313" s="38"/>
      <c r="S313" s="38"/>
    </row>
    <row r="314" spans="11:19" x14ac:dyDescent="0.25">
      <c r="K314" s="38"/>
      <c r="L314" s="38"/>
      <c r="M314" s="38"/>
      <c r="N314" s="38"/>
      <c r="O314" s="38"/>
      <c r="P314" s="38"/>
      <c r="Q314" s="38"/>
      <c r="R314" s="38"/>
      <c r="S314" s="38"/>
    </row>
    <row r="315" spans="11:19" x14ac:dyDescent="0.25">
      <c r="K315" s="38"/>
      <c r="L315" s="38"/>
      <c r="M315" s="38"/>
      <c r="N315" s="38"/>
      <c r="O315" s="38"/>
      <c r="P315" s="38"/>
      <c r="Q315" s="38"/>
      <c r="R315" s="38"/>
      <c r="S315" s="38"/>
    </row>
    <row r="316" spans="11:19" x14ac:dyDescent="0.25">
      <c r="K316" s="38"/>
      <c r="L316" s="38"/>
      <c r="M316" s="38"/>
      <c r="N316" s="38"/>
      <c r="O316" s="38"/>
      <c r="P316" s="38"/>
      <c r="Q316" s="38"/>
      <c r="R316" s="38"/>
      <c r="S316" s="38"/>
    </row>
    <row r="317" spans="11:19" x14ac:dyDescent="0.25">
      <c r="K317" s="38"/>
      <c r="L317" s="38"/>
      <c r="M317" s="38"/>
      <c r="N317" s="38"/>
      <c r="O317" s="38"/>
      <c r="P317" s="38"/>
      <c r="Q317" s="38"/>
      <c r="R317" s="38"/>
      <c r="S317" s="38"/>
    </row>
    <row r="318" spans="11:19" x14ac:dyDescent="0.25">
      <c r="K318" s="38"/>
      <c r="L318" s="38"/>
      <c r="M318" s="38"/>
      <c r="N318" s="38"/>
      <c r="O318" s="38"/>
      <c r="P318" s="38"/>
      <c r="Q318" s="38"/>
      <c r="R318" s="38"/>
      <c r="S318" s="38"/>
    </row>
    <row r="319" spans="11:19" x14ac:dyDescent="0.25">
      <c r="K319" s="38"/>
      <c r="L319" s="38"/>
      <c r="M319" s="38"/>
      <c r="N319" s="38"/>
      <c r="O319" s="38"/>
      <c r="P319" s="38"/>
      <c r="Q319" s="38"/>
      <c r="R319" s="38"/>
      <c r="S319" s="38"/>
    </row>
    <row r="320" spans="11:19" x14ac:dyDescent="0.25">
      <c r="K320" s="38"/>
      <c r="L320" s="38"/>
      <c r="M320" s="38"/>
      <c r="N320" s="38"/>
      <c r="O320" s="38"/>
      <c r="P320" s="38"/>
      <c r="Q320" s="38"/>
      <c r="R320" s="38"/>
      <c r="S320" s="38"/>
    </row>
    <row r="321" spans="11:19" x14ac:dyDescent="0.25">
      <c r="K321" s="38"/>
      <c r="L321" s="38"/>
      <c r="M321" s="38"/>
      <c r="N321" s="38"/>
      <c r="O321" s="38"/>
      <c r="P321" s="38"/>
      <c r="Q321" s="38"/>
      <c r="R321" s="38"/>
      <c r="S321" s="38"/>
    </row>
    <row r="322" spans="11:19" x14ac:dyDescent="0.25">
      <c r="K322" s="38"/>
      <c r="L322" s="38"/>
      <c r="M322" s="38"/>
      <c r="N322" s="38"/>
      <c r="O322" s="38"/>
      <c r="P322" s="38"/>
      <c r="Q322" s="38"/>
      <c r="R322" s="38"/>
      <c r="S322" s="38"/>
    </row>
    <row r="323" spans="11:19" x14ac:dyDescent="0.25">
      <c r="K323" s="38"/>
      <c r="L323" s="38"/>
      <c r="M323" s="38"/>
      <c r="N323" s="38"/>
      <c r="O323" s="38"/>
      <c r="P323" s="38"/>
      <c r="Q323" s="38"/>
      <c r="R323" s="38"/>
      <c r="S323" s="38"/>
    </row>
    <row r="324" spans="11:19" x14ac:dyDescent="0.25">
      <c r="K324" s="38"/>
      <c r="L324" s="38"/>
      <c r="M324" s="38"/>
      <c r="N324" s="38"/>
      <c r="O324" s="38"/>
      <c r="P324" s="38"/>
      <c r="Q324" s="38"/>
      <c r="R324" s="38"/>
      <c r="S324" s="38"/>
    </row>
    <row r="325" spans="11:19" x14ac:dyDescent="0.25">
      <c r="K325" s="38"/>
      <c r="L325" s="38"/>
      <c r="M325" s="38"/>
      <c r="N325" s="38"/>
      <c r="O325" s="38"/>
      <c r="P325" s="38"/>
      <c r="Q325" s="38"/>
      <c r="R325" s="38"/>
      <c r="S325" s="38"/>
    </row>
    <row r="326" spans="11:19" x14ac:dyDescent="0.25">
      <c r="K326" s="38"/>
      <c r="L326" s="38"/>
      <c r="M326" s="38"/>
      <c r="N326" s="38"/>
      <c r="O326" s="38"/>
      <c r="P326" s="38"/>
      <c r="Q326" s="38"/>
      <c r="R326" s="38"/>
      <c r="S326" s="38"/>
    </row>
    <row r="327" spans="11:19" x14ac:dyDescent="0.25">
      <c r="K327" s="38"/>
      <c r="L327" s="38"/>
      <c r="M327" s="38"/>
      <c r="N327" s="38"/>
      <c r="O327" s="38"/>
      <c r="P327" s="38"/>
      <c r="Q327" s="38"/>
      <c r="R327" s="38"/>
      <c r="S327" s="38"/>
    </row>
    <row r="328" spans="11:19" x14ac:dyDescent="0.25">
      <c r="K328" s="38"/>
      <c r="L328" s="38"/>
      <c r="M328" s="38"/>
      <c r="N328" s="38"/>
      <c r="O328" s="38"/>
      <c r="P328" s="38"/>
      <c r="Q328" s="38"/>
      <c r="R328" s="38"/>
      <c r="S328" s="38"/>
    </row>
    <row r="329" spans="11:19" x14ac:dyDescent="0.25">
      <c r="K329" s="38"/>
      <c r="L329" s="38"/>
      <c r="M329" s="38"/>
      <c r="N329" s="38"/>
      <c r="O329" s="38"/>
      <c r="P329" s="38"/>
      <c r="Q329" s="38"/>
      <c r="R329" s="38"/>
      <c r="S329" s="38"/>
    </row>
    <row r="330" spans="11:19" x14ac:dyDescent="0.25">
      <c r="K330" s="38"/>
      <c r="L330" s="38"/>
      <c r="M330" s="38"/>
      <c r="N330" s="38"/>
      <c r="O330" s="38"/>
      <c r="P330" s="38"/>
      <c r="Q330" s="38"/>
      <c r="R330" s="38"/>
      <c r="S330" s="38"/>
    </row>
    <row r="331" spans="11:19" x14ac:dyDescent="0.25">
      <c r="K331" s="38"/>
      <c r="L331" s="38"/>
      <c r="M331" s="38"/>
      <c r="N331" s="38"/>
      <c r="O331" s="38"/>
      <c r="P331" s="38"/>
      <c r="Q331" s="38"/>
      <c r="R331" s="38"/>
      <c r="S331" s="38"/>
    </row>
    <row r="332" spans="11:19" x14ac:dyDescent="0.25">
      <c r="K332" s="38"/>
      <c r="L332" s="38"/>
      <c r="M332" s="38"/>
      <c r="N332" s="38"/>
      <c r="O332" s="38"/>
      <c r="P332" s="38"/>
      <c r="Q332" s="38"/>
      <c r="R332" s="38"/>
      <c r="S332" s="38"/>
    </row>
    <row r="333" spans="11:19" x14ac:dyDescent="0.25">
      <c r="K333" s="38"/>
      <c r="L333" s="38"/>
      <c r="M333" s="38"/>
      <c r="N333" s="38"/>
      <c r="O333" s="38"/>
      <c r="P333" s="38"/>
      <c r="Q333" s="38"/>
      <c r="R333" s="38"/>
      <c r="S333" s="38"/>
    </row>
    <row r="334" spans="11:19" x14ac:dyDescent="0.25">
      <c r="K334" s="38"/>
      <c r="L334" s="38"/>
      <c r="M334" s="38"/>
      <c r="N334" s="38"/>
      <c r="O334" s="38"/>
      <c r="P334" s="38"/>
      <c r="Q334" s="38"/>
      <c r="R334" s="38"/>
      <c r="S334" s="38"/>
    </row>
    <row r="335" spans="11:19" x14ac:dyDescent="0.25">
      <c r="K335" s="38"/>
      <c r="L335" s="38"/>
      <c r="M335" s="38"/>
      <c r="N335" s="38"/>
      <c r="O335" s="38"/>
      <c r="P335" s="38"/>
      <c r="Q335" s="38"/>
      <c r="R335" s="38"/>
      <c r="S335" s="38"/>
    </row>
    <row r="336" spans="11:19" x14ac:dyDescent="0.25">
      <c r="K336" s="38"/>
      <c r="L336" s="38"/>
      <c r="M336" s="38"/>
      <c r="N336" s="38"/>
      <c r="O336" s="38"/>
      <c r="P336" s="38"/>
      <c r="Q336" s="38"/>
      <c r="R336" s="38"/>
      <c r="S336" s="38"/>
    </row>
    <row r="337" spans="11:19" x14ac:dyDescent="0.25">
      <c r="K337" s="38"/>
      <c r="L337" s="38"/>
      <c r="M337" s="38"/>
      <c r="N337" s="38"/>
      <c r="O337" s="38"/>
      <c r="P337" s="38"/>
      <c r="Q337" s="38"/>
      <c r="R337" s="38"/>
      <c r="S337" s="38"/>
    </row>
    <row r="338" spans="11:19" x14ac:dyDescent="0.25">
      <c r="K338" s="38"/>
      <c r="L338" s="38"/>
      <c r="M338" s="38"/>
      <c r="N338" s="38"/>
      <c r="O338" s="38"/>
      <c r="P338" s="38"/>
      <c r="Q338" s="38"/>
      <c r="R338" s="38"/>
      <c r="S338" s="38"/>
    </row>
    <row r="339" spans="11:19" x14ac:dyDescent="0.25">
      <c r="K339" s="38"/>
      <c r="L339" s="38"/>
      <c r="M339" s="38"/>
      <c r="N339" s="38"/>
      <c r="O339" s="38"/>
      <c r="P339" s="38"/>
      <c r="Q339" s="38"/>
      <c r="R339" s="38"/>
      <c r="S339" s="38"/>
    </row>
    <row r="340" spans="11:19" x14ac:dyDescent="0.25">
      <c r="K340" s="38"/>
      <c r="L340" s="38"/>
      <c r="M340" s="38"/>
      <c r="N340" s="38"/>
      <c r="O340" s="38"/>
      <c r="P340" s="38"/>
      <c r="Q340" s="38"/>
      <c r="R340" s="38"/>
      <c r="S340" s="38"/>
    </row>
    <row r="341" spans="11:19" x14ac:dyDescent="0.25">
      <c r="K341" s="38"/>
      <c r="L341" s="38"/>
      <c r="M341" s="38"/>
      <c r="N341" s="38"/>
      <c r="O341" s="38"/>
      <c r="P341" s="38"/>
      <c r="Q341" s="38"/>
      <c r="R341" s="38"/>
      <c r="S341" s="38"/>
    </row>
    <row r="342" spans="11:19" x14ac:dyDescent="0.25">
      <c r="K342" s="38"/>
      <c r="L342" s="38"/>
      <c r="M342" s="38"/>
      <c r="N342" s="38"/>
      <c r="O342" s="38"/>
      <c r="P342" s="38"/>
      <c r="Q342" s="38"/>
      <c r="R342" s="38"/>
      <c r="S342" s="38"/>
    </row>
    <row r="343" spans="11:19" x14ac:dyDescent="0.25">
      <c r="K343" s="38"/>
      <c r="L343" s="38"/>
      <c r="M343" s="38"/>
      <c r="N343" s="38"/>
      <c r="O343" s="38"/>
      <c r="P343" s="38"/>
      <c r="Q343" s="38"/>
      <c r="R343" s="38"/>
      <c r="S343" s="38"/>
    </row>
    <row r="344" spans="11:19" x14ac:dyDescent="0.25">
      <c r="K344" s="38"/>
      <c r="L344" s="38"/>
      <c r="M344" s="38"/>
      <c r="N344" s="38"/>
      <c r="O344" s="38"/>
      <c r="P344" s="38"/>
      <c r="Q344" s="38"/>
      <c r="R344" s="38"/>
      <c r="S344" s="38"/>
    </row>
    <row r="345" spans="11:19" x14ac:dyDescent="0.25">
      <c r="K345" s="38"/>
      <c r="L345" s="38"/>
      <c r="M345" s="38"/>
      <c r="N345" s="38"/>
      <c r="O345" s="38"/>
      <c r="P345" s="38"/>
      <c r="Q345" s="38"/>
      <c r="R345" s="38"/>
      <c r="S345" s="38"/>
    </row>
    <row r="346" spans="11:19" x14ac:dyDescent="0.25">
      <c r="K346" s="38"/>
      <c r="L346" s="38"/>
      <c r="M346" s="38"/>
      <c r="N346" s="38"/>
      <c r="O346" s="38"/>
      <c r="P346" s="38"/>
      <c r="Q346" s="38"/>
      <c r="R346" s="38"/>
      <c r="S346" s="38"/>
    </row>
    <row r="347" spans="11:19" x14ac:dyDescent="0.25">
      <c r="K347" s="38"/>
      <c r="L347" s="38"/>
      <c r="M347" s="38"/>
      <c r="N347" s="38"/>
      <c r="O347" s="38"/>
      <c r="P347" s="38"/>
      <c r="Q347" s="38"/>
      <c r="R347" s="38"/>
      <c r="S347" s="38"/>
    </row>
    <row r="348" spans="11:19" x14ac:dyDescent="0.25">
      <c r="K348" s="38"/>
      <c r="L348" s="38"/>
      <c r="M348" s="38"/>
      <c r="N348" s="38"/>
      <c r="O348" s="38"/>
      <c r="P348" s="38"/>
      <c r="Q348" s="38"/>
      <c r="R348" s="38"/>
      <c r="S348" s="38"/>
    </row>
    <row r="349" spans="11:19" x14ac:dyDescent="0.25">
      <c r="K349" s="38"/>
      <c r="L349" s="38"/>
      <c r="M349" s="38"/>
      <c r="N349" s="38"/>
      <c r="O349" s="38"/>
      <c r="P349" s="38"/>
      <c r="Q349" s="38"/>
      <c r="R349" s="38"/>
      <c r="S349" s="38"/>
    </row>
    <row r="350" spans="11:19" x14ac:dyDescent="0.25">
      <c r="K350" s="38"/>
      <c r="L350" s="38"/>
      <c r="M350" s="38"/>
      <c r="N350" s="38"/>
      <c r="O350" s="38"/>
      <c r="P350" s="38"/>
      <c r="Q350" s="38"/>
      <c r="R350" s="38"/>
      <c r="S350" s="38"/>
    </row>
    <row r="351" spans="11:19" x14ac:dyDescent="0.25">
      <c r="K351" s="38"/>
      <c r="L351" s="38"/>
      <c r="M351" s="38"/>
      <c r="N351" s="38"/>
      <c r="O351" s="38"/>
      <c r="P351" s="38"/>
      <c r="Q351" s="38"/>
      <c r="R351" s="38"/>
      <c r="S351" s="38"/>
    </row>
    <row r="352" spans="11:19" x14ac:dyDescent="0.25">
      <c r="K352" s="38"/>
      <c r="L352" s="38"/>
      <c r="M352" s="38"/>
      <c r="N352" s="38"/>
      <c r="O352" s="38"/>
      <c r="P352" s="38"/>
      <c r="Q352" s="38"/>
      <c r="R352" s="38"/>
      <c r="S352" s="38"/>
    </row>
    <row r="353" spans="11:19" x14ac:dyDescent="0.25">
      <c r="K353" s="38"/>
      <c r="L353" s="38"/>
      <c r="M353" s="38"/>
      <c r="N353" s="38"/>
      <c r="O353" s="38"/>
      <c r="P353" s="38"/>
      <c r="Q353" s="38"/>
      <c r="R353" s="38"/>
      <c r="S353" s="38"/>
    </row>
    <row r="354" spans="11:19" x14ac:dyDescent="0.25">
      <c r="K354" s="38"/>
      <c r="L354" s="38"/>
      <c r="M354" s="38"/>
      <c r="N354" s="38"/>
      <c r="O354" s="38"/>
      <c r="P354" s="38"/>
      <c r="Q354" s="38"/>
      <c r="R354" s="38"/>
      <c r="S354" s="38"/>
    </row>
    <row r="355" spans="11:19" x14ac:dyDescent="0.25">
      <c r="K355" s="38"/>
      <c r="L355" s="38"/>
      <c r="M355" s="38"/>
      <c r="N355" s="38"/>
      <c r="O355" s="38"/>
      <c r="P355" s="38"/>
      <c r="Q355" s="38"/>
      <c r="R355" s="38"/>
      <c r="S355" s="38"/>
    </row>
    <row r="356" spans="11:19" x14ac:dyDescent="0.25">
      <c r="K356" s="38"/>
      <c r="L356" s="38"/>
      <c r="M356" s="38"/>
      <c r="N356" s="38"/>
      <c r="O356" s="38"/>
      <c r="P356" s="38"/>
      <c r="Q356" s="38"/>
      <c r="R356" s="38"/>
      <c r="S356" s="38"/>
    </row>
    <row r="357" spans="11:19" x14ac:dyDescent="0.25">
      <c r="K357" s="38"/>
      <c r="L357" s="38"/>
      <c r="M357" s="38"/>
      <c r="N357" s="38"/>
      <c r="O357" s="38"/>
      <c r="P357" s="38"/>
      <c r="Q357" s="38"/>
      <c r="R357" s="38"/>
      <c r="S357" s="38"/>
    </row>
    <row r="358" spans="11:19" x14ac:dyDescent="0.25">
      <c r="K358" s="38"/>
      <c r="L358" s="38"/>
      <c r="M358" s="38"/>
      <c r="N358" s="38"/>
      <c r="O358" s="38"/>
      <c r="P358" s="38"/>
      <c r="Q358" s="38"/>
      <c r="R358" s="38"/>
      <c r="S358" s="38"/>
    </row>
    <row r="359" spans="11:19" x14ac:dyDescent="0.25">
      <c r="K359" s="38"/>
      <c r="L359" s="38"/>
      <c r="M359" s="38"/>
      <c r="N359" s="38"/>
      <c r="O359" s="38"/>
      <c r="P359" s="38"/>
      <c r="Q359" s="38"/>
      <c r="R359" s="38"/>
      <c r="S359" s="38"/>
    </row>
    <row r="360" spans="11:19" x14ac:dyDescent="0.25">
      <c r="K360" s="38"/>
      <c r="L360" s="38"/>
      <c r="M360" s="38"/>
      <c r="N360" s="38"/>
      <c r="O360" s="38"/>
      <c r="P360" s="38"/>
      <c r="Q360" s="38"/>
      <c r="R360" s="38"/>
      <c r="S360" s="38"/>
    </row>
    <row r="361" spans="11:19" x14ac:dyDescent="0.25">
      <c r="K361" s="38"/>
      <c r="L361" s="38"/>
      <c r="M361" s="38"/>
      <c r="N361" s="38"/>
      <c r="O361" s="38"/>
      <c r="P361" s="38"/>
      <c r="Q361" s="38"/>
      <c r="R361" s="38"/>
      <c r="S361" s="38"/>
    </row>
    <row r="362" spans="11:19" x14ac:dyDescent="0.25">
      <c r="K362" s="38"/>
      <c r="L362" s="38"/>
      <c r="M362" s="38"/>
      <c r="N362" s="38"/>
      <c r="O362" s="38"/>
      <c r="P362" s="38"/>
      <c r="Q362" s="38"/>
      <c r="R362" s="38"/>
      <c r="S362" s="38"/>
    </row>
    <row r="363" spans="11:19" x14ac:dyDescent="0.25">
      <c r="K363" s="38"/>
      <c r="L363" s="38"/>
      <c r="M363" s="38"/>
      <c r="N363" s="38"/>
      <c r="O363" s="38"/>
      <c r="P363" s="38"/>
      <c r="Q363" s="38"/>
      <c r="R363" s="38"/>
      <c r="S363" s="38"/>
    </row>
    <row r="364" spans="11:19" x14ac:dyDescent="0.25">
      <c r="K364" s="38"/>
      <c r="L364" s="38"/>
      <c r="M364" s="38"/>
      <c r="N364" s="38"/>
      <c r="O364" s="38"/>
      <c r="P364" s="38"/>
      <c r="Q364" s="38"/>
      <c r="R364" s="38"/>
      <c r="S364" s="38"/>
    </row>
    <row r="365" spans="11:19" x14ac:dyDescent="0.25">
      <c r="K365" s="38"/>
      <c r="L365" s="38"/>
      <c r="M365" s="38"/>
      <c r="N365" s="38"/>
      <c r="O365" s="38"/>
      <c r="P365" s="38"/>
      <c r="Q365" s="38"/>
      <c r="R365" s="38"/>
      <c r="S365" s="38"/>
    </row>
    <row r="366" spans="11:19" x14ac:dyDescent="0.25">
      <c r="K366" s="38"/>
      <c r="L366" s="38"/>
      <c r="M366" s="38"/>
      <c r="N366" s="38"/>
      <c r="O366" s="38"/>
      <c r="P366" s="38"/>
      <c r="Q366" s="38"/>
      <c r="R366" s="38"/>
      <c r="S366" s="38"/>
    </row>
  </sheetData>
  <mergeCells count="5">
    <mergeCell ref="B3:C3"/>
    <mergeCell ref="E3:F3"/>
    <mergeCell ref="H3:J3"/>
    <mergeCell ref="B4:C4"/>
    <mergeCell ref="E4:F4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S53"/>
  <sheetViews>
    <sheetView topLeftCell="E1" zoomScale="70" zoomScaleNormal="70" workbookViewId="0">
      <selection activeCell="J53" sqref="J53:M53"/>
    </sheetView>
  </sheetViews>
  <sheetFormatPr defaultColWidth="11" defaultRowHeight="15.75" x14ac:dyDescent="0.25"/>
  <cols>
    <col min="1" max="1" width="12" bestFit="1" customWidth="1"/>
    <col min="2" max="2" width="36.375" bestFit="1" customWidth="1"/>
    <col min="3" max="3" width="21.125" bestFit="1" customWidth="1"/>
    <col min="4" max="4" width="19.5" customWidth="1"/>
    <col min="5" max="5" width="15.125" bestFit="1" customWidth="1"/>
    <col min="6" max="6" width="18.25" bestFit="1" customWidth="1"/>
    <col min="7" max="7" width="18.25" customWidth="1"/>
    <col min="11" max="11" width="16.125" bestFit="1" customWidth="1"/>
    <col min="12" max="12" width="14.25" bestFit="1" customWidth="1"/>
    <col min="13" max="13" width="12.25" bestFit="1" customWidth="1"/>
    <col min="14" max="14" width="2.25" customWidth="1"/>
    <col min="15" max="15" width="10.75" bestFit="1" customWidth="1"/>
    <col min="16" max="16" width="13.75" bestFit="1" customWidth="1"/>
    <col min="17" max="17" width="19.75" bestFit="1" customWidth="1"/>
    <col min="19" max="19" width="13.75" bestFit="1" customWidth="1"/>
  </cols>
  <sheetData>
    <row r="1" spans="1:7" ht="16.5" thickBot="1" x14ac:dyDescent="0.3"/>
    <row r="2" spans="1:7" ht="19.5" thickBot="1" x14ac:dyDescent="0.35">
      <c r="B2" s="98" t="s">
        <v>56</v>
      </c>
    </row>
    <row r="3" spans="1:7" ht="16.5" thickBot="1" x14ac:dyDescent="0.3"/>
    <row r="4" spans="1:7" ht="18.75" x14ac:dyDescent="0.3">
      <c r="B4" s="108" t="s">
        <v>86</v>
      </c>
      <c r="C4" s="109"/>
      <c r="D4" s="109"/>
      <c r="E4" s="109"/>
      <c r="F4" s="110"/>
      <c r="G4" s="77"/>
    </row>
    <row r="5" spans="1:7" x14ac:dyDescent="0.25">
      <c r="B5" s="8"/>
      <c r="C5" s="76" t="s">
        <v>68</v>
      </c>
      <c r="D5" s="76" t="s">
        <v>69</v>
      </c>
      <c r="E5" s="76" t="s">
        <v>73</v>
      </c>
      <c r="F5" s="5" t="s">
        <v>74</v>
      </c>
      <c r="G5" s="82"/>
    </row>
    <row r="6" spans="1:7" x14ac:dyDescent="0.25">
      <c r="A6" t="s">
        <v>78</v>
      </c>
      <c r="B6" s="10" t="s">
        <v>50</v>
      </c>
      <c r="C6" s="39">
        <v>0.05</v>
      </c>
      <c r="D6" s="39">
        <v>0.05</v>
      </c>
      <c r="E6" s="39">
        <v>0.05</v>
      </c>
      <c r="F6" s="40">
        <v>0.05</v>
      </c>
      <c r="G6" s="83"/>
    </row>
    <row r="7" spans="1:7" x14ac:dyDescent="0.25">
      <c r="A7" t="s">
        <v>85</v>
      </c>
      <c r="B7" s="10" t="s">
        <v>51</v>
      </c>
      <c r="C7" s="44">
        <v>0.4</v>
      </c>
      <c r="D7" s="44">
        <v>0.5</v>
      </c>
      <c r="E7" s="44">
        <v>0.05</v>
      </c>
      <c r="F7" s="78">
        <f>1-SUM(change3)</f>
        <v>4.9999999999999933E-2</v>
      </c>
      <c r="G7" s="84"/>
    </row>
    <row r="8" spans="1:7" ht="16.5" thickBot="1" x14ac:dyDescent="0.3">
      <c r="A8" t="s">
        <v>79</v>
      </c>
      <c r="B8" s="12" t="s">
        <v>52</v>
      </c>
      <c r="C8" s="41">
        <v>0.5</v>
      </c>
      <c r="D8" s="41">
        <v>0.5</v>
      </c>
      <c r="E8" s="41">
        <v>0.5</v>
      </c>
      <c r="F8" s="42">
        <v>0.5</v>
      </c>
      <c r="G8" s="83"/>
    </row>
    <row r="9" spans="1:7" x14ac:dyDescent="0.25">
      <c r="A9" s="44" t="s">
        <v>70</v>
      </c>
      <c r="B9" s="9"/>
      <c r="D9" s="24"/>
      <c r="E9" s="24"/>
      <c r="F9" s="24"/>
      <c r="G9" s="24"/>
    </row>
    <row r="10" spans="1:7" ht="16.5" thickBot="1" x14ac:dyDescent="0.3">
      <c r="D10" s="16"/>
      <c r="E10" s="16"/>
      <c r="F10" s="16"/>
      <c r="G10" s="16"/>
    </row>
    <row r="11" spans="1:7" ht="18.75" x14ac:dyDescent="0.3">
      <c r="B11" s="108" t="s">
        <v>87</v>
      </c>
      <c r="C11" s="110"/>
    </row>
    <row r="12" spans="1:7" x14ac:dyDescent="0.25">
      <c r="A12" t="s">
        <v>80</v>
      </c>
      <c r="B12" s="10" t="s">
        <v>48</v>
      </c>
      <c r="C12" s="25">
        <f>portfolioreturn(portwts1, C20:C23)</f>
        <v>6.1720330902648004E-3</v>
      </c>
    </row>
    <row r="13" spans="1:7" x14ac:dyDescent="0.25">
      <c r="A13" t="s">
        <v>81</v>
      </c>
      <c r="B13" s="10" t="s">
        <v>49</v>
      </c>
      <c r="C13" s="25">
        <f>SQRT(PortfolioVariance(portwts1,C28:F31))</f>
        <v>4.4102120624398632E-2</v>
      </c>
    </row>
    <row r="14" spans="1:7" x14ac:dyDescent="0.25">
      <c r="A14" t="s">
        <v>82</v>
      </c>
      <c r="B14" s="10" t="s">
        <v>46</v>
      </c>
      <c r="C14" s="43">
        <v>25</v>
      </c>
    </row>
    <row r="15" spans="1:7" ht="16.5" thickBot="1" x14ac:dyDescent="0.3">
      <c r="A15" t="s">
        <v>83</v>
      </c>
      <c r="B15" s="12" t="s">
        <v>47</v>
      </c>
      <c r="C15" s="95">
        <v>6.241770557485829E-3</v>
      </c>
    </row>
    <row r="17" spans="2:17" ht="16.5" thickBot="1" x14ac:dyDescent="0.3"/>
    <row r="18" spans="2:17" ht="18.75" x14ac:dyDescent="0.3">
      <c r="B18" s="108" t="s">
        <v>76</v>
      </c>
      <c r="C18" s="109"/>
      <c r="D18" s="110"/>
    </row>
    <row r="19" spans="2:17" x14ac:dyDescent="0.25">
      <c r="B19" s="8"/>
      <c r="C19" s="76" t="s">
        <v>10</v>
      </c>
      <c r="D19" s="5" t="s">
        <v>11</v>
      </c>
    </row>
    <row r="20" spans="2:17" x14ac:dyDescent="0.25">
      <c r="B20" s="79" t="s">
        <v>68</v>
      </c>
      <c r="C20" s="85">
        <f>AVERAGE('Index Data 15 yrs'!$C$7:$C$186)</f>
        <v>5.0191951471006465E-3</v>
      </c>
      <c r="D20" s="87">
        <f>STDEV('Index Data 15 yrs'!$C$7:$C$186)</f>
        <v>4.3284358674672889E-2</v>
      </c>
    </row>
    <row r="21" spans="2:17" x14ac:dyDescent="0.25">
      <c r="B21" s="79" t="s">
        <v>69</v>
      </c>
      <c r="C21" s="85">
        <f>AVERAGE('Index Data 15 yrs'!$F$7:$F$186)</f>
        <v>7.4555102816364315E-3</v>
      </c>
      <c r="D21" s="87">
        <f>STDEV('Index Data 15 yrs'!$F$7:$F$186)</f>
        <v>5.630968135299956E-2</v>
      </c>
    </row>
    <row r="22" spans="2:17" x14ac:dyDescent="0.25">
      <c r="B22" s="79" t="s">
        <v>75</v>
      </c>
      <c r="C22" s="85">
        <f>AVERAGE('Index Data 15 yrs'!$H$7:$H$186)</f>
        <v>4.9140030053976391E-3</v>
      </c>
      <c r="D22" s="87">
        <f>STDEV('Index Data 15 yrs'!$H$7:$H$186)</f>
        <v>1.6517216234039563E-2</v>
      </c>
    </row>
    <row r="23" spans="2:17" ht="16.5" thickBot="1" x14ac:dyDescent="0.3">
      <c r="B23" s="80" t="s">
        <v>74</v>
      </c>
      <c r="C23" s="86">
        <f>AVERAGE('Index Data 15 yrs'!$J$7:$J$186)</f>
        <v>3.817994806728885E-3</v>
      </c>
      <c r="D23" s="88">
        <f>STDEV('Index Data 15 yrs'!$J$7:$J$186)</f>
        <v>1.3175854474992095E-2</v>
      </c>
    </row>
    <row r="24" spans="2:17" x14ac:dyDescent="0.25">
      <c r="B24" s="9"/>
      <c r="C24" s="3"/>
      <c r="D24" s="3"/>
    </row>
    <row r="25" spans="2:17" ht="16.5" thickBot="1" x14ac:dyDescent="0.3"/>
    <row r="26" spans="2:17" ht="18.75" x14ac:dyDescent="0.3">
      <c r="B26" s="108" t="s">
        <v>15</v>
      </c>
      <c r="C26" s="109"/>
      <c r="D26" s="109"/>
      <c r="E26" s="109"/>
      <c r="F26" s="110"/>
      <c r="G26" s="77"/>
      <c r="J26" s="108" t="s">
        <v>55</v>
      </c>
      <c r="K26" s="109"/>
      <c r="L26" s="109"/>
      <c r="M26" s="109"/>
      <c r="N26" s="109"/>
      <c r="O26" s="109"/>
      <c r="P26" s="110"/>
      <c r="Q26" s="77"/>
    </row>
    <row r="27" spans="2:17" x14ac:dyDescent="0.25">
      <c r="B27" s="8"/>
      <c r="C27" s="76" t="s">
        <v>68</v>
      </c>
      <c r="D27" s="76" t="s">
        <v>69</v>
      </c>
      <c r="E27" s="76" t="s">
        <v>73</v>
      </c>
      <c r="F27" s="5" t="s">
        <v>74</v>
      </c>
      <c r="G27" s="76"/>
      <c r="J27" s="4" t="s">
        <v>71</v>
      </c>
      <c r="K27" s="76" t="s">
        <v>72</v>
      </c>
      <c r="L27" s="76" t="s">
        <v>73</v>
      </c>
      <c r="M27" s="5" t="s">
        <v>74</v>
      </c>
      <c r="N27" s="3"/>
      <c r="O27" s="27" t="s">
        <v>44</v>
      </c>
      <c r="P27" s="30" t="s">
        <v>45</v>
      </c>
    </row>
    <row r="28" spans="2:17" x14ac:dyDescent="0.25">
      <c r="B28" s="4" t="s">
        <v>68</v>
      </c>
      <c r="C28" s="3">
        <f>D20^2</f>
        <v>1.8735357058777301E-3</v>
      </c>
      <c r="D28" s="3">
        <f>C29</f>
        <v>2.1485891082807856E-3</v>
      </c>
      <c r="E28" s="3">
        <f>C30</f>
        <v>1.4084225267959255E-4</v>
      </c>
      <c r="F28" s="11">
        <f>C31</f>
        <v>-2.0409200221299106E-4</v>
      </c>
      <c r="G28" s="3"/>
      <c r="I28" t="s">
        <v>84</v>
      </c>
      <c r="J28" s="8"/>
      <c r="K28" s="3"/>
      <c r="L28" s="3"/>
      <c r="M28" s="11"/>
      <c r="N28" s="3"/>
      <c r="O28" s="8"/>
      <c r="P28" s="11"/>
    </row>
    <row r="29" spans="2:17" x14ac:dyDescent="0.25">
      <c r="B29" s="4" t="s">
        <v>69</v>
      </c>
      <c r="C29" s="3">
        <f>COVAR('Index Data 15 yrs'!$C$7:$C$186, 'Index Data 15 yrs'!$F$7:$F$186 )</f>
        <v>2.1485891082807856E-3</v>
      </c>
      <c r="D29" s="3">
        <f>D21^2</f>
        <v>3.1707802140763463E-3</v>
      </c>
      <c r="E29" s="3">
        <f>D30</f>
        <v>1.4931323095238887E-4</v>
      </c>
      <c r="F29" s="11">
        <f>D31</f>
        <v>-2.7138133688683636E-4</v>
      </c>
      <c r="G29" s="3"/>
      <c r="J29" s="31">
        <v>0.05</v>
      </c>
      <c r="K29" s="32">
        <v>0.05</v>
      </c>
      <c r="L29" s="32">
        <v>0.4</v>
      </c>
      <c r="M29" s="29">
        <v>0.5</v>
      </c>
      <c r="N29" s="3"/>
      <c r="O29" s="28">
        <f t="shared" ref="O29:O53" si="0">portfolioreturn(J29:M29,$C$20:$C$23)</f>
        <v>4.4983338769603518E-3</v>
      </c>
      <c r="P29" s="33">
        <f t="shared" ref="P29:P53" si="1">SQRT(PortfolioVariance(J29:M29,$C$28:$F$31))</f>
        <v>1.2152202825915209E-2</v>
      </c>
    </row>
    <row r="30" spans="2:17" x14ac:dyDescent="0.25">
      <c r="B30" s="4" t="s">
        <v>73</v>
      </c>
      <c r="C30" s="3">
        <f>COVAR('Index Data 15 yrs'!$C$7:$C$186, 'Index Data 15 yrs'!$H$7:$H$186 )</f>
        <v>1.4084225267959255E-4</v>
      </c>
      <c r="D30" s="3">
        <f>COVAR('Index Data 15 yrs'!$F$7:$F$186, 'Index Data 15 yrs'!$H$7:$H$186 )</f>
        <v>1.4931323095238887E-4</v>
      </c>
      <c r="E30" s="3">
        <f>D22^2</f>
        <v>2.7281843212202011E-4</v>
      </c>
      <c r="F30" s="11">
        <f>E31</f>
        <v>1.2359502841134755E-4</v>
      </c>
      <c r="G30" s="3"/>
      <c r="J30" s="31">
        <v>0.05</v>
      </c>
      <c r="K30" s="32">
        <v>7.7442345413427677E-2</v>
      </c>
      <c r="L30" s="32">
        <v>0.37255765458657236</v>
      </c>
      <c r="M30" s="29">
        <v>0.5</v>
      </c>
      <c r="N30" s="3"/>
      <c r="O30" s="28">
        <f t="shared" si="0"/>
        <v>4.5680787975056368E-3</v>
      </c>
      <c r="P30" s="33">
        <f t="shared" si="1"/>
        <v>1.22594984827842E-2</v>
      </c>
    </row>
    <row r="31" spans="2:17" ht="16.5" thickBot="1" x14ac:dyDescent="0.3">
      <c r="B31" s="81" t="s">
        <v>74</v>
      </c>
      <c r="C31" s="7">
        <f>COVAR('Index Data 15 yrs'!$C$7:$C$186, 'Index Data 15 yrs'!$J$7:$J$186 )</f>
        <v>-2.0409200221299106E-4</v>
      </c>
      <c r="D31" s="7">
        <f>COVAR('Index Data 15 yrs'!$F$7:$F$186, 'Index Data 15 yrs'!$J$7:$J$186 )</f>
        <v>-2.7138133688683636E-4</v>
      </c>
      <c r="E31" s="7">
        <f>COVAR('Index Data 15 yrs'!$H$7:$H$186, 'Index Data 15 yrs'!$J$7:$J$186 )</f>
        <v>1.2359502841134755E-4</v>
      </c>
      <c r="F31" s="13">
        <f>D23^2</f>
        <v>1.7360314114616923E-4</v>
      </c>
      <c r="G31" s="3"/>
      <c r="J31" s="31">
        <v>0.05</v>
      </c>
      <c r="K31" s="32">
        <v>0.1048827602211168</v>
      </c>
      <c r="L31" s="32">
        <v>0.34511723977888326</v>
      </c>
      <c r="M31" s="29">
        <v>0.5</v>
      </c>
      <c r="N31" s="3"/>
      <c r="O31" s="28">
        <f t="shared" si="0"/>
        <v>4.6378188114023899E-3</v>
      </c>
      <c r="P31" s="33">
        <f t="shared" si="1"/>
        <v>1.2555904362611515E-2</v>
      </c>
    </row>
    <row r="32" spans="2:17" x14ac:dyDescent="0.25">
      <c r="J32" s="31">
        <v>0.05</v>
      </c>
      <c r="K32" s="32">
        <v>0.11796832859252135</v>
      </c>
      <c r="L32" s="32">
        <v>0.36531645757605197</v>
      </c>
      <c r="M32" s="29">
        <v>0.46671521383142667</v>
      </c>
      <c r="N32" s="3"/>
      <c r="O32" s="28">
        <f t="shared" si="0"/>
        <v>4.7075562771637268E-3</v>
      </c>
      <c r="P32" s="33">
        <f t="shared" si="1"/>
        <v>1.3005096084197859E-2</v>
      </c>
    </row>
    <row r="33" spans="7:19" x14ac:dyDescent="0.25">
      <c r="J33" s="31">
        <v>0.05</v>
      </c>
      <c r="K33" s="32">
        <v>0.12206761142854858</v>
      </c>
      <c r="L33" s="32">
        <v>0.4153400455608241</v>
      </c>
      <c r="M33" s="29">
        <v>0.4125923430106273</v>
      </c>
      <c r="N33" s="3"/>
      <c r="O33" s="28">
        <f t="shared" si="0"/>
        <v>4.7772937444739367E-3</v>
      </c>
      <c r="P33" s="33">
        <f t="shared" si="1"/>
        <v>1.3504330846213206E-2</v>
      </c>
    </row>
    <row r="34" spans="7:19" x14ac:dyDescent="0.25">
      <c r="J34" s="31">
        <v>0.05</v>
      </c>
      <c r="K34" s="32">
        <v>0.1261668942464417</v>
      </c>
      <c r="L34" s="32">
        <v>0.46536363352440296</v>
      </c>
      <c r="M34" s="29">
        <v>0.35846947222915526</v>
      </c>
      <c r="N34" s="3"/>
      <c r="O34" s="28">
        <f t="shared" si="0"/>
        <v>4.8470312116949557E-3</v>
      </c>
      <c r="P34" s="33">
        <f t="shared" si="1"/>
        <v>1.4039772348643953E-2</v>
      </c>
    </row>
    <row r="35" spans="7:19" ht="18.75" x14ac:dyDescent="0.3">
      <c r="G35" s="77"/>
      <c r="J35" s="31">
        <v>0.05</v>
      </c>
      <c r="K35" s="32">
        <v>0.13490245187701158</v>
      </c>
      <c r="L35" s="32">
        <v>0.5</v>
      </c>
      <c r="M35" s="29">
        <v>0.3150975481229884</v>
      </c>
      <c r="N35" s="3"/>
      <c r="O35" s="28">
        <f t="shared" si="0"/>
        <v>4.9167686793874501E-3</v>
      </c>
      <c r="P35" s="33">
        <f t="shared" si="1"/>
        <v>1.4609615279925395E-2</v>
      </c>
    </row>
    <row r="36" spans="7:19" x14ac:dyDescent="0.25">
      <c r="G36" s="82"/>
      <c r="J36" s="31">
        <v>0.05</v>
      </c>
      <c r="K36" s="32">
        <v>0.15407418285687982</v>
      </c>
      <c r="L36" s="32">
        <v>0.5</v>
      </c>
      <c r="M36" s="29">
        <v>0.29592581714312016</v>
      </c>
      <c r="N36" s="3"/>
      <c r="O36" s="28">
        <f t="shared" si="0"/>
        <v>4.9865061475074853E-3</v>
      </c>
      <c r="P36" s="33">
        <f t="shared" si="1"/>
        <v>1.5241453513949727E-2</v>
      </c>
    </row>
    <row r="37" spans="7:19" x14ac:dyDescent="0.25">
      <c r="G37" s="3"/>
      <c r="J37" s="31">
        <v>0.05</v>
      </c>
      <c r="K37" s="32">
        <v>0.17324591358959684</v>
      </c>
      <c r="L37" s="32">
        <v>0.5</v>
      </c>
      <c r="M37" s="29">
        <v>0.27675408641040322</v>
      </c>
      <c r="N37" s="3"/>
      <c r="O37" s="28">
        <f t="shared" si="0"/>
        <v>5.0562436147285044E-3</v>
      </c>
      <c r="P37" s="33">
        <f t="shared" si="1"/>
        <v>1.5938018494053092E-2</v>
      </c>
    </row>
    <row r="38" spans="7:19" x14ac:dyDescent="0.25">
      <c r="G38" s="3"/>
      <c r="J38" s="31">
        <v>0.05</v>
      </c>
      <c r="K38" s="32">
        <v>0.19241764432231395</v>
      </c>
      <c r="L38" s="32">
        <v>0.5</v>
      </c>
      <c r="M38" s="29">
        <v>0.25758235567768606</v>
      </c>
      <c r="N38" s="3"/>
      <c r="O38" s="28">
        <f t="shared" si="0"/>
        <v>5.1259810819495235E-3</v>
      </c>
      <c r="P38" s="33">
        <f t="shared" si="1"/>
        <v>1.6691208576637608E-2</v>
      </c>
    </row>
    <row r="39" spans="7:19" x14ac:dyDescent="0.25">
      <c r="G39" s="3"/>
      <c r="J39" s="31">
        <v>0.05</v>
      </c>
      <c r="K39" s="32">
        <v>0.21158937505503106</v>
      </c>
      <c r="L39" s="32">
        <v>0.5</v>
      </c>
      <c r="M39" s="29">
        <v>0.2384106249449689</v>
      </c>
      <c r="N39" s="3"/>
      <c r="O39" s="28">
        <f t="shared" si="0"/>
        <v>5.1957185491705426E-3</v>
      </c>
      <c r="P39" s="33">
        <f t="shared" si="1"/>
        <v>1.7493711324759475E-2</v>
      </c>
    </row>
    <row r="40" spans="7:19" x14ac:dyDescent="0.25">
      <c r="G40" s="3"/>
      <c r="J40" s="31">
        <v>0.05</v>
      </c>
      <c r="K40" s="32">
        <v>0.23076110578774825</v>
      </c>
      <c r="L40" s="32">
        <v>0.5</v>
      </c>
      <c r="M40" s="29">
        <v>0.21923889421225173</v>
      </c>
      <c r="N40" s="3"/>
      <c r="O40" s="28">
        <f t="shared" si="0"/>
        <v>5.2654560163915617E-3</v>
      </c>
      <c r="P40" s="33">
        <f t="shared" si="1"/>
        <v>1.8339054228950019E-2</v>
      </c>
    </row>
    <row r="41" spans="7:19" x14ac:dyDescent="0.25">
      <c r="G41" s="3"/>
      <c r="J41" s="31">
        <v>0.05</v>
      </c>
      <c r="K41" s="32">
        <v>0.24993283652046536</v>
      </c>
      <c r="L41" s="32">
        <v>0.5</v>
      </c>
      <c r="M41" s="29">
        <v>0.20006716347953457</v>
      </c>
      <c r="N41" s="3"/>
      <c r="O41" s="28">
        <f t="shared" si="0"/>
        <v>5.3351934836125808E-3</v>
      </c>
      <c r="P41" s="33">
        <f t="shared" si="1"/>
        <v>1.9221585939871763E-2</v>
      </c>
    </row>
    <row r="42" spans="7:19" x14ac:dyDescent="0.25">
      <c r="J42" s="31">
        <v>0.05</v>
      </c>
      <c r="K42" s="32">
        <v>0.26910456725318244</v>
      </c>
      <c r="L42" s="32">
        <v>0.5</v>
      </c>
      <c r="M42" s="29">
        <v>0.18089543274681752</v>
      </c>
      <c r="N42" s="3"/>
      <c r="O42" s="28">
        <f t="shared" si="0"/>
        <v>5.404930950833599E-3</v>
      </c>
      <c r="P42" s="33">
        <f t="shared" si="1"/>
        <v>2.0136417357825509E-2</v>
      </c>
    </row>
    <row r="43" spans="7:19" x14ac:dyDescent="0.25">
      <c r="J43" s="31">
        <v>0.05</v>
      </c>
      <c r="K43" s="32">
        <v>0.28827354885670092</v>
      </c>
      <c r="L43" s="32">
        <v>0.5</v>
      </c>
      <c r="M43" s="29">
        <v>0.16172645114329909</v>
      </c>
      <c r="N43" s="3"/>
      <c r="O43" s="28">
        <f t="shared" si="0"/>
        <v>5.4746584180546155E-3</v>
      </c>
      <c r="P43" s="33">
        <f t="shared" si="1"/>
        <v>2.107920648989655E-2</v>
      </c>
      <c r="S43" s="57"/>
    </row>
    <row r="44" spans="7:19" x14ac:dyDescent="0.25">
      <c r="J44" s="31">
        <v>0.05</v>
      </c>
      <c r="K44" s="32">
        <v>0.30744527958941803</v>
      </c>
      <c r="L44" s="32">
        <v>0.5</v>
      </c>
      <c r="M44" s="29">
        <v>0.14255472041058193</v>
      </c>
      <c r="N44" s="3"/>
      <c r="O44" s="28">
        <f t="shared" si="0"/>
        <v>5.5443958852756355E-3</v>
      </c>
      <c r="P44" s="33">
        <f t="shared" si="1"/>
        <v>2.2046619657585E-2</v>
      </c>
    </row>
    <row r="45" spans="7:19" x14ac:dyDescent="0.25">
      <c r="J45" s="31">
        <v>0.05</v>
      </c>
      <c r="K45" s="32">
        <v>0.32661975945133387</v>
      </c>
      <c r="L45" s="32">
        <v>0.5</v>
      </c>
      <c r="M45" s="29">
        <v>0.12338024054866614</v>
      </c>
      <c r="N45" s="3"/>
      <c r="O45" s="28">
        <f t="shared" si="0"/>
        <v>5.6141433524966571E-3</v>
      </c>
      <c r="P45" s="33">
        <f t="shared" si="1"/>
        <v>2.3035581379714429E-2</v>
      </c>
    </row>
    <row r="46" spans="7:19" x14ac:dyDescent="0.25">
      <c r="J46" s="31">
        <v>0.05</v>
      </c>
      <c r="K46" s="32">
        <v>0.34579149018405109</v>
      </c>
      <c r="L46" s="32">
        <v>0.5</v>
      </c>
      <c r="M46" s="29">
        <v>0.10420850981594887</v>
      </c>
      <c r="N46" s="3"/>
      <c r="O46" s="28">
        <f t="shared" si="0"/>
        <v>5.6838808197176762E-3</v>
      </c>
      <c r="P46" s="33">
        <f t="shared" si="1"/>
        <v>2.4043166912840856E-2</v>
      </c>
    </row>
    <row r="47" spans="7:19" x14ac:dyDescent="0.25">
      <c r="J47" s="31">
        <v>0.05</v>
      </c>
      <c r="K47" s="32">
        <v>0.36496322091676808</v>
      </c>
      <c r="L47" s="32">
        <v>0.5</v>
      </c>
      <c r="M47" s="29">
        <v>8.5036779083231928E-2</v>
      </c>
      <c r="N47" s="3"/>
      <c r="O47" s="28">
        <f t="shared" si="0"/>
        <v>5.7536182869386953E-3</v>
      </c>
      <c r="P47" s="33">
        <f t="shared" si="1"/>
        <v>2.5067253994587414E-2</v>
      </c>
    </row>
    <row r="48" spans="7:19" x14ac:dyDescent="0.25">
      <c r="J48" s="31">
        <v>0.05</v>
      </c>
      <c r="K48" s="32">
        <v>0.38413220252028635</v>
      </c>
      <c r="L48" s="32">
        <v>0.5</v>
      </c>
      <c r="M48" s="29">
        <v>6.5867797479713719E-2</v>
      </c>
      <c r="N48" s="3"/>
      <c r="O48" s="28">
        <f t="shared" si="0"/>
        <v>5.8233457541597118E-3</v>
      </c>
      <c r="P48" s="33">
        <f t="shared" si="1"/>
        <v>2.610575082214308E-2</v>
      </c>
    </row>
    <row r="49" spans="10:16" x14ac:dyDescent="0.25">
      <c r="J49" s="31">
        <v>0.05</v>
      </c>
      <c r="K49" s="32">
        <v>0.40473266728304064</v>
      </c>
      <c r="L49" s="32">
        <v>0.49526733271695927</v>
      </c>
      <c r="M49" s="29">
        <v>5.0000000000000044E-2</v>
      </c>
      <c r="N49" s="3"/>
      <c r="O49" s="28">
        <f t="shared" si="0"/>
        <v>5.8930932213807335E-3</v>
      </c>
      <c r="P49" s="33">
        <f t="shared" si="1"/>
        <v>2.7191012819411123E-2</v>
      </c>
    </row>
    <row r="50" spans="10:16" x14ac:dyDescent="0.25">
      <c r="J50" s="31">
        <v>0.05</v>
      </c>
      <c r="K50" s="32">
        <v>0.43217208005711083</v>
      </c>
      <c r="L50" s="32">
        <v>0.46782791994288908</v>
      </c>
      <c r="M50" s="29">
        <v>5.0000000000000044E-2</v>
      </c>
      <c r="N50" s="3"/>
      <c r="O50" s="28">
        <f t="shared" si="0"/>
        <v>5.9628306886017526E-3</v>
      </c>
      <c r="P50" s="33">
        <f t="shared" si="1"/>
        <v>2.8458710061109616E-2</v>
      </c>
    </row>
    <row r="51" spans="10:16" x14ac:dyDescent="0.25">
      <c r="J51" s="31">
        <v>0.05</v>
      </c>
      <c r="K51" s="32">
        <v>0.45961149283118102</v>
      </c>
      <c r="L51" s="32">
        <v>0.44038850716881889</v>
      </c>
      <c r="M51" s="29">
        <v>5.0000000000000044E-2</v>
      </c>
      <c r="N51" s="3"/>
      <c r="O51" s="28">
        <f t="shared" si="0"/>
        <v>6.0325681558227717E-3</v>
      </c>
      <c r="P51" s="33">
        <f t="shared" si="1"/>
        <v>2.9751991733188897E-2</v>
      </c>
    </row>
    <row r="52" spans="10:16" x14ac:dyDescent="0.25">
      <c r="J52" s="31">
        <v>0.05</v>
      </c>
      <c r="K52" s="32">
        <v>0.48705090560525122</v>
      </c>
      <c r="L52" s="32">
        <v>0.41294909439474869</v>
      </c>
      <c r="M52" s="29">
        <v>5.0000000000000044E-2</v>
      </c>
      <c r="N52" s="3"/>
      <c r="O52" s="28">
        <f t="shared" si="0"/>
        <v>6.1023056230437907E-3</v>
      </c>
      <c r="P52" s="33">
        <f t="shared" si="1"/>
        <v>3.1067662921335046E-2</v>
      </c>
    </row>
    <row r="53" spans="10:16" ht="16.5" thickBot="1" x14ac:dyDescent="0.3">
      <c r="J53" s="34">
        <v>0.4</v>
      </c>
      <c r="K53" s="35">
        <v>0.5</v>
      </c>
      <c r="L53" s="35">
        <v>0.05</v>
      </c>
      <c r="M53" s="36">
        <v>4.9999999999999933E-2</v>
      </c>
      <c r="N53" s="7"/>
      <c r="O53" s="37">
        <f t="shared" si="0"/>
        <v>6.1720330902648004E-3</v>
      </c>
      <c r="P53" s="26">
        <f t="shared" si="1"/>
        <v>4.4102120624398632E-2</v>
      </c>
    </row>
  </sheetData>
  <mergeCells count="5">
    <mergeCell ref="B4:F4"/>
    <mergeCell ref="B11:C11"/>
    <mergeCell ref="B18:D18"/>
    <mergeCell ref="B26:F26"/>
    <mergeCell ref="J26:P26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EffFrontier3">
                <anchor moveWithCells="1" sizeWithCells="1">
                  <from>
                    <xdr:col>7</xdr:col>
                    <xdr:colOff>0</xdr:colOff>
                    <xdr:row>3</xdr:row>
                    <xdr:rowOff>19050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2:I11"/>
  <sheetViews>
    <sheetView workbookViewId="0">
      <selection activeCell="H17" sqref="H17"/>
    </sheetView>
  </sheetViews>
  <sheetFormatPr defaultRowHeight="15.75" x14ac:dyDescent="0.25"/>
  <cols>
    <col min="2" max="2" width="9.625" bestFit="1" customWidth="1"/>
    <col min="3" max="3" width="22.25" bestFit="1" customWidth="1"/>
    <col min="4" max="4" width="9.25" customWidth="1"/>
    <col min="6" max="6" width="18.625" customWidth="1"/>
    <col min="7" max="7" width="25.75" bestFit="1" customWidth="1"/>
    <col min="8" max="8" width="14.875" customWidth="1"/>
  </cols>
  <sheetData>
    <row r="2" spans="2:9" ht="16.5" thickBot="1" x14ac:dyDescent="0.3"/>
    <row r="3" spans="2:9" x14ac:dyDescent="0.25">
      <c r="C3" s="122" t="s">
        <v>92</v>
      </c>
      <c r="D3" s="123"/>
      <c r="E3" s="123"/>
      <c r="F3" s="123"/>
      <c r="G3" s="123"/>
      <c r="H3" s="111"/>
    </row>
    <row r="4" spans="2:9" x14ac:dyDescent="0.25">
      <c r="C4" s="124"/>
      <c r="D4" s="125"/>
      <c r="E4" s="125"/>
      <c r="F4" s="125"/>
      <c r="G4" s="125"/>
      <c r="H4" s="126"/>
    </row>
    <row r="5" spans="2:9" ht="16.5" thickBot="1" x14ac:dyDescent="0.3">
      <c r="C5" s="103"/>
      <c r="D5" s="48"/>
      <c r="E5" s="48"/>
      <c r="F5" s="48"/>
      <c r="G5" s="48"/>
      <c r="H5" s="43"/>
    </row>
    <row r="6" spans="2:9" ht="18.75" x14ac:dyDescent="0.3">
      <c r="C6" s="108" t="s">
        <v>17</v>
      </c>
      <c r="D6" s="110"/>
      <c r="E6" s="48"/>
      <c r="F6" s="3"/>
      <c r="G6" s="108" t="s">
        <v>19</v>
      </c>
      <c r="H6" s="110"/>
    </row>
    <row r="7" spans="2:9" ht="16.5" thickBot="1" x14ac:dyDescent="0.3">
      <c r="B7" t="s">
        <v>88</v>
      </c>
      <c r="C7" s="12" t="s">
        <v>18</v>
      </c>
      <c r="D7" s="106">
        <v>0.1</v>
      </c>
      <c r="E7" s="48"/>
      <c r="F7" s="3"/>
      <c r="G7" s="79" t="s">
        <v>68</v>
      </c>
      <c r="H7" s="102">
        <v>0</v>
      </c>
    </row>
    <row r="8" spans="2:9" ht="16.5" thickBot="1" x14ac:dyDescent="0.3">
      <c r="C8" s="105"/>
      <c r="D8" s="48"/>
      <c r="E8" s="48"/>
      <c r="F8" s="3"/>
      <c r="G8" s="79" t="s">
        <v>69</v>
      </c>
      <c r="H8" s="102">
        <v>5.7480853398415395</v>
      </c>
      <c r="I8" t="s">
        <v>91</v>
      </c>
    </row>
    <row r="9" spans="2:9" ht="18.75" x14ac:dyDescent="0.3">
      <c r="C9" s="108" t="s">
        <v>58</v>
      </c>
      <c r="D9" s="110"/>
      <c r="E9" s="48"/>
      <c r="F9" s="3"/>
      <c r="G9" s="79" t="s">
        <v>75</v>
      </c>
      <c r="H9" s="102">
        <v>68.679471136614083</v>
      </c>
    </row>
    <row r="10" spans="2:9" ht="16.5" thickBot="1" x14ac:dyDescent="0.3">
      <c r="B10" s="15" t="s">
        <v>89</v>
      </c>
      <c r="C10" s="10" t="s">
        <v>10</v>
      </c>
      <c r="D10" s="33">
        <f>portfolioreturn(H7:H10,'EF 15 Yr Index'!C20:C23)</f>
        <v>0.10000000762745476</v>
      </c>
      <c r="E10" s="48"/>
      <c r="F10" s="3"/>
      <c r="G10" s="80" t="s">
        <v>74</v>
      </c>
      <c r="H10" s="101">
        <f>1-SUM(H7:H9)</f>
        <v>-73.427556476455621</v>
      </c>
    </row>
    <row r="11" spans="2:9" ht="16.5" thickBot="1" x14ac:dyDescent="0.3">
      <c r="B11" s="19" t="s">
        <v>90</v>
      </c>
      <c r="C11" s="45" t="s">
        <v>23</v>
      </c>
      <c r="D11" s="46">
        <f>SQRT(PortfolioVariance(H7:H10,'EF 15 Yr Index'!C28:F31))</f>
        <v>1.1949958010014166</v>
      </c>
      <c r="E11" s="52"/>
      <c r="F11" s="52"/>
      <c r="G11" s="52"/>
      <c r="H11" s="104"/>
    </row>
  </sheetData>
  <mergeCells count="4">
    <mergeCell ref="C3:H4"/>
    <mergeCell ref="C6:D6"/>
    <mergeCell ref="G6:H6"/>
    <mergeCell ref="C9:D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EffFrontier5">
                <anchor moveWithCells="1" sizeWithCells="1">
                  <from>
                    <xdr:col>5</xdr:col>
                    <xdr:colOff>9525</xdr:colOff>
                    <xdr:row>5</xdr:row>
                    <xdr:rowOff>9525</xdr:rowOff>
                  </from>
                  <to>
                    <xdr:col>5</xdr:col>
                    <xdr:colOff>1924050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S370"/>
  <sheetViews>
    <sheetView zoomScale="130" zoomScaleNormal="130" workbookViewId="0">
      <pane ySplit="5" topLeftCell="A6" activePane="bottomLeft" state="frozen"/>
      <selection pane="bottomLeft" activeCell="C7" sqref="C7"/>
    </sheetView>
  </sheetViews>
  <sheetFormatPr defaultRowHeight="15.75" x14ac:dyDescent="0.25"/>
  <cols>
    <col min="1" max="1" width="11.125" bestFit="1" customWidth="1"/>
    <col min="2" max="2" width="9.875" bestFit="1" customWidth="1"/>
    <col min="3" max="3" width="16.75" bestFit="1" customWidth="1"/>
    <col min="4" max="4" width="0.75" customWidth="1"/>
    <col min="5" max="5" width="9.875" bestFit="1" customWidth="1"/>
    <col min="6" max="6" width="16.75" bestFit="1" customWidth="1"/>
    <col min="7" max="7" width="1" customWidth="1"/>
    <col min="8" max="8" width="27.875" bestFit="1" customWidth="1"/>
    <col min="9" max="9" width="1.375" customWidth="1"/>
    <col min="10" max="10" width="16.375" customWidth="1"/>
  </cols>
  <sheetData>
    <row r="1" spans="1:19" x14ac:dyDescent="0.25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</row>
    <row r="2" spans="1:19" ht="16.5" thickBot="1" x14ac:dyDescent="0.3">
      <c r="A2" s="38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</row>
    <row r="3" spans="1:19" ht="18.75" x14ac:dyDescent="0.3">
      <c r="A3" s="38"/>
      <c r="B3" s="108" t="s">
        <v>63</v>
      </c>
      <c r="C3" s="110"/>
      <c r="D3" s="38"/>
      <c r="E3" s="108" t="s">
        <v>66</v>
      </c>
      <c r="F3" s="110"/>
      <c r="G3" s="38"/>
      <c r="H3" s="108" t="s">
        <v>59</v>
      </c>
      <c r="I3" s="109"/>
      <c r="J3" s="110"/>
      <c r="K3" s="38"/>
      <c r="L3" s="38"/>
      <c r="M3" s="38"/>
      <c r="N3" s="38"/>
      <c r="O3" s="38"/>
      <c r="P3" s="38"/>
      <c r="Q3" s="38"/>
      <c r="R3" s="38"/>
      <c r="S3" s="38"/>
    </row>
    <row r="4" spans="1:19" ht="16.5" thickBot="1" x14ac:dyDescent="0.3">
      <c r="A4" s="38"/>
      <c r="B4" s="112" t="s">
        <v>64</v>
      </c>
      <c r="C4" s="113"/>
      <c r="D4" s="38"/>
      <c r="E4" s="114" t="s">
        <v>65</v>
      </c>
      <c r="F4" s="115"/>
      <c r="G4" s="38"/>
      <c r="H4" s="58" t="s">
        <v>60</v>
      </c>
      <c r="I4" s="68"/>
      <c r="J4" s="59" t="s">
        <v>67</v>
      </c>
      <c r="K4" s="38"/>
      <c r="L4" s="38"/>
      <c r="M4" s="38"/>
      <c r="N4" s="38"/>
      <c r="O4" s="38"/>
      <c r="P4" s="38"/>
      <c r="Q4" s="38"/>
      <c r="R4" s="38"/>
      <c r="S4" s="38"/>
    </row>
    <row r="5" spans="1:19" x14ac:dyDescent="0.25">
      <c r="A5" s="97" t="s">
        <v>0</v>
      </c>
      <c r="B5" s="4" t="s">
        <v>61</v>
      </c>
      <c r="C5" s="5" t="s">
        <v>62</v>
      </c>
      <c r="D5" s="64"/>
      <c r="E5" s="4" t="s">
        <v>61</v>
      </c>
      <c r="F5" s="5" t="s">
        <v>62</v>
      </c>
      <c r="G5" s="64"/>
      <c r="H5" s="65" t="s">
        <v>62</v>
      </c>
      <c r="I5" s="69"/>
      <c r="J5" s="66" t="s">
        <v>62</v>
      </c>
      <c r="K5" s="38"/>
      <c r="L5" s="38"/>
      <c r="M5" s="38"/>
      <c r="N5" s="38"/>
      <c r="O5" s="38"/>
      <c r="P5" s="38"/>
      <c r="Q5" s="38"/>
      <c r="R5" s="38"/>
      <c r="S5" s="38"/>
    </row>
    <row r="6" spans="1:19" x14ac:dyDescent="0.25">
      <c r="A6" s="67">
        <v>31412</v>
      </c>
      <c r="B6" s="8">
        <v>283.55509999999998</v>
      </c>
      <c r="C6" s="75" t="s">
        <v>5</v>
      </c>
      <c r="D6" s="62"/>
      <c r="E6" s="8">
        <v>129.87</v>
      </c>
      <c r="F6" s="75" t="s">
        <v>5</v>
      </c>
      <c r="G6" s="61"/>
      <c r="H6" s="70">
        <v>3.2899999999999999E-2</v>
      </c>
      <c r="I6" s="71"/>
      <c r="J6" s="53">
        <v>3.1E-2</v>
      </c>
      <c r="K6" s="38"/>
      <c r="L6" s="38"/>
      <c r="M6" s="38"/>
      <c r="N6" s="38"/>
      <c r="O6" s="38"/>
      <c r="P6" s="38"/>
      <c r="Q6" s="38"/>
      <c r="R6" s="38"/>
      <c r="S6" s="38"/>
    </row>
    <row r="7" spans="1:19" x14ac:dyDescent="0.25">
      <c r="A7" s="67">
        <v>31443</v>
      </c>
      <c r="B7" s="8">
        <v>285.13869999999997</v>
      </c>
      <c r="C7" s="53">
        <f>B7/B6-1</f>
        <v>5.5848052106979296E-3</v>
      </c>
      <c r="D7" s="62"/>
      <c r="E7" s="8">
        <v>131.78</v>
      </c>
      <c r="F7" s="53">
        <f t="shared" ref="F7:F70" si="0">E7/E6-1</f>
        <v>1.4707014707014743E-2</v>
      </c>
      <c r="G7" s="61"/>
      <c r="H7" s="70">
        <v>7.4999999999999997E-3</v>
      </c>
      <c r="I7" s="71"/>
      <c r="J7" s="53">
        <v>5.1999999999999998E-3</v>
      </c>
      <c r="K7" s="38"/>
      <c r="L7" s="38"/>
      <c r="M7" s="38"/>
      <c r="N7" s="38"/>
      <c r="O7" s="38"/>
      <c r="P7" s="38"/>
      <c r="Q7" s="38"/>
      <c r="R7" s="38"/>
      <c r="S7" s="38"/>
    </row>
    <row r="8" spans="1:19" x14ac:dyDescent="0.25">
      <c r="A8" s="67">
        <v>31471</v>
      </c>
      <c r="B8" s="8">
        <v>306.45209999999997</v>
      </c>
      <c r="C8" s="53">
        <f t="shared" ref="C8:C71" si="1">B8/B7-1</f>
        <v>7.474748254095287E-2</v>
      </c>
      <c r="D8" s="62"/>
      <c r="E8" s="8">
        <v>141</v>
      </c>
      <c r="F8" s="53">
        <f t="shared" si="0"/>
        <v>6.9965093337380546E-2</v>
      </c>
      <c r="G8" s="61"/>
      <c r="H8" s="70">
        <v>4.7800000000000002E-2</v>
      </c>
      <c r="I8" s="71"/>
      <c r="J8" s="53">
        <v>4.2599999999999999E-2</v>
      </c>
      <c r="K8" s="38"/>
      <c r="L8" s="38"/>
      <c r="M8" s="38"/>
      <c r="N8" s="38"/>
      <c r="O8" s="38"/>
      <c r="P8" s="38"/>
      <c r="Q8" s="38"/>
      <c r="R8" s="38"/>
      <c r="S8" s="38"/>
    </row>
    <row r="9" spans="1:19" x14ac:dyDescent="0.25">
      <c r="A9" s="67">
        <v>31502</v>
      </c>
      <c r="B9" s="8">
        <v>323.54919999999998</v>
      </c>
      <c r="C9" s="53">
        <f t="shared" si="1"/>
        <v>5.5790448164656059E-2</v>
      </c>
      <c r="D9" s="62"/>
      <c r="E9" s="8">
        <v>147.63</v>
      </c>
      <c r="F9" s="53">
        <f t="shared" si="0"/>
        <v>4.7021276595744732E-2</v>
      </c>
      <c r="G9" s="61"/>
      <c r="H9" s="70">
        <v>2.4300000000000002E-2</v>
      </c>
      <c r="I9" s="71"/>
      <c r="J9" s="53">
        <v>4.1599999999999998E-2</v>
      </c>
      <c r="K9" s="38"/>
      <c r="L9" s="38"/>
      <c r="M9" s="38"/>
      <c r="N9" s="38"/>
      <c r="O9" s="38"/>
      <c r="P9" s="38"/>
      <c r="Q9" s="38"/>
      <c r="R9" s="38"/>
      <c r="S9" s="38"/>
    </row>
    <row r="10" spans="1:19" x14ac:dyDescent="0.25">
      <c r="A10" s="67">
        <v>31532</v>
      </c>
      <c r="B10" s="8">
        <v>319.90609999999998</v>
      </c>
      <c r="C10" s="53">
        <f t="shared" si="1"/>
        <v>-1.1259802218642534E-2</v>
      </c>
      <c r="D10" s="62"/>
      <c r="E10" s="8">
        <v>149.66</v>
      </c>
      <c r="F10" s="53">
        <f t="shared" si="0"/>
        <v>1.3750592697961084E-2</v>
      </c>
      <c r="G10" s="38"/>
      <c r="H10" s="70">
        <v>5.4000000000000003E-3</v>
      </c>
      <c r="I10" s="72"/>
      <c r="J10" s="53">
        <v>4.0999999999999995E-3</v>
      </c>
      <c r="K10" s="38"/>
      <c r="L10" s="38"/>
      <c r="M10" s="38"/>
      <c r="N10" s="38"/>
      <c r="O10" s="38"/>
      <c r="P10" s="38"/>
      <c r="Q10" s="38"/>
      <c r="R10" s="38"/>
      <c r="S10" s="38"/>
    </row>
    <row r="11" spans="1:19" x14ac:dyDescent="0.25">
      <c r="A11" s="67">
        <v>31562</v>
      </c>
      <c r="B11" s="8">
        <v>336.9255</v>
      </c>
      <c r="C11" s="53">
        <f t="shared" si="1"/>
        <v>5.320123623775852E-2</v>
      </c>
      <c r="D11" s="62"/>
      <c r="E11" s="8">
        <v>154.61000000000001</v>
      </c>
      <c r="F11" s="53">
        <f t="shared" si="0"/>
        <v>3.3074969931845555E-2</v>
      </c>
      <c r="G11" s="38"/>
      <c r="H11" s="70">
        <v>-1.1000000000000001E-2</v>
      </c>
      <c r="I11" s="72"/>
      <c r="J11" s="53">
        <v>-2.4900000000000002E-2</v>
      </c>
      <c r="K11" s="38"/>
      <c r="L11" s="38"/>
      <c r="M11" s="38"/>
      <c r="N11" s="38"/>
      <c r="O11" s="38"/>
      <c r="P11" s="38"/>
      <c r="Q11" s="38"/>
      <c r="R11" s="38"/>
      <c r="S11" s="38"/>
    </row>
    <row r="12" spans="1:19" x14ac:dyDescent="0.25">
      <c r="A12" s="67">
        <v>31593</v>
      </c>
      <c r="B12" s="8">
        <v>342.61930000000001</v>
      </c>
      <c r="C12" s="53">
        <f t="shared" si="1"/>
        <v>1.6899284856741303E-2</v>
      </c>
      <c r="D12" s="62"/>
      <c r="E12" s="8">
        <v>154.22999999999999</v>
      </c>
      <c r="F12" s="53">
        <f t="shared" si="0"/>
        <v>-2.4577970377079872E-3</v>
      </c>
      <c r="G12" s="38"/>
      <c r="H12" s="70">
        <v>1.8799999999999997E-2</v>
      </c>
      <c r="I12" s="72"/>
      <c r="J12" s="53">
        <v>3.4099999999999998E-2</v>
      </c>
      <c r="K12" s="38"/>
      <c r="L12" s="38"/>
      <c r="M12" s="38"/>
      <c r="N12" s="38"/>
      <c r="O12" s="38"/>
      <c r="P12" s="38"/>
      <c r="Q12" s="38"/>
      <c r="R12" s="38"/>
      <c r="S12" s="38"/>
    </row>
    <row r="13" spans="1:19" x14ac:dyDescent="0.25">
      <c r="A13" s="67">
        <v>31624</v>
      </c>
      <c r="B13" s="8">
        <v>323.45589999999999</v>
      </c>
      <c r="C13" s="53">
        <f t="shared" si="1"/>
        <v>-5.5932050529552857E-2</v>
      </c>
      <c r="D13" s="62"/>
      <c r="E13" s="8">
        <v>139.65</v>
      </c>
      <c r="F13" s="53">
        <f t="shared" si="0"/>
        <v>-9.4534137327368151E-2</v>
      </c>
      <c r="G13" s="38"/>
      <c r="H13" s="70">
        <v>4.5000000000000005E-3</v>
      </c>
      <c r="I13" s="72"/>
      <c r="J13" s="53">
        <v>6.4000000000000003E-3</v>
      </c>
      <c r="K13" s="38"/>
      <c r="L13" s="38"/>
      <c r="M13" s="38"/>
      <c r="N13" s="38"/>
      <c r="O13" s="38"/>
      <c r="P13" s="38"/>
      <c r="Q13" s="38"/>
      <c r="R13" s="38"/>
      <c r="S13" s="38"/>
    </row>
    <row r="14" spans="1:19" x14ac:dyDescent="0.25">
      <c r="A14" s="67">
        <v>31653</v>
      </c>
      <c r="B14" s="8">
        <v>347.4425</v>
      </c>
      <c r="C14" s="53">
        <f t="shared" si="1"/>
        <v>7.4157249875485443E-2</v>
      </c>
      <c r="D14" s="62"/>
      <c r="E14" s="8">
        <v>143.83000000000001</v>
      </c>
      <c r="F14" s="53">
        <f t="shared" si="0"/>
        <v>2.9931972789115635E-2</v>
      </c>
      <c r="G14" s="38"/>
      <c r="H14" s="70">
        <v>2.0499999999999997E-2</v>
      </c>
      <c r="I14" s="72"/>
      <c r="J14" s="53">
        <v>2.92E-2</v>
      </c>
      <c r="K14" s="38"/>
      <c r="L14" s="38"/>
      <c r="M14" s="38"/>
      <c r="N14" s="38"/>
      <c r="O14" s="38"/>
      <c r="P14" s="38"/>
      <c r="Q14" s="38"/>
      <c r="R14" s="38"/>
      <c r="S14" s="38"/>
    </row>
    <row r="15" spans="1:19" x14ac:dyDescent="0.25">
      <c r="A15" s="67">
        <v>31685</v>
      </c>
      <c r="B15" s="8">
        <v>318.71899999999999</v>
      </c>
      <c r="C15" s="53">
        <f t="shared" si="1"/>
        <v>-8.2671233369550401E-2</v>
      </c>
      <c r="D15" s="62"/>
      <c r="E15" s="8">
        <v>134.72999999999999</v>
      </c>
      <c r="F15" s="53">
        <f t="shared" si="0"/>
        <v>-6.3269137175832713E-2</v>
      </c>
      <c r="G15" s="38"/>
      <c r="H15" s="70">
        <v>-2.8999999999999998E-3</v>
      </c>
      <c r="I15" s="72"/>
      <c r="J15" s="53">
        <v>-1.6399999999999998E-2</v>
      </c>
      <c r="K15" s="38"/>
      <c r="L15" s="38"/>
      <c r="M15" s="38"/>
      <c r="N15" s="38"/>
      <c r="O15" s="38"/>
      <c r="P15" s="38"/>
      <c r="Q15" s="38"/>
      <c r="R15" s="38"/>
      <c r="S15" s="38"/>
    </row>
    <row r="16" spans="1:19" x14ac:dyDescent="0.25">
      <c r="A16" s="67">
        <v>31716</v>
      </c>
      <c r="B16" s="8">
        <v>337.0992</v>
      </c>
      <c r="C16" s="53">
        <f t="shared" si="1"/>
        <v>5.766898114012653E-2</v>
      </c>
      <c r="D16" s="62"/>
      <c r="E16" s="8">
        <v>139.94999999999999</v>
      </c>
      <c r="F16" s="53">
        <f t="shared" si="0"/>
        <v>3.8744154976619871E-2</v>
      </c>
      <c r="G16" s="38"/>
      <c r="H16" s="70">
        <v>1.6799999999999999E-2</v>
      </c>
      <c r="I16" s="72"/>
      <c r="J16" s="53">
        <v>1.38E-2</v>
      </c>
      <c r="K16" s="38"/>
      <c r="L16" s="38"/>
      <c r="M16" s="38"/>
      <c r="N16" s="38"/>
      <c r="O16" s="38"/>
      <c r="P16" s="38"/>
      <c r="Q16" s="38"/>
      <c r="R16" s="38"/>
      <c r="S16" s="38"/>
    </row>
    <row r="17" spans="1:19" x14ac:dyDescent="0.25">
      <c r="A17" s="67">
        <v>31744</v>
      </c>
      <c r="B17" s="8">
        <v>345.29250000000002</v>
      </c>
      <c r="C17" s="53">
        <f t="shared" si="1"/>
        <v>2.4305308348403054E-2</v>
      </c>
      <c r="D17" s="62"/>
      <c r="E17" s="8">
        <v>139.26</v>
      </c>
      <c r="F17" s="53">
        <f t="shared" si="0"/>
        <v>-4.9303322615219525E-3</v>
      </c>
      <c r="G17" s="38"/>
      <c r="H17" s="70">
        <v>1.44E-2</v>
      </c>
      <c r="I17" s="72"/>
      <c r="J17" s="53">
        <v>1.1399999999999999E-2</v>
      </c>
      <c r="K17" s="38"/>
      <c r="L17" s="38"/>
      <c r="M17" s="38"/>
      <c r="N17" s="38"/>
      <c r="O17" s="38"/>
      <c r="P17" s="38"/>
      <c r="Q17" s="38"/>
      <c r="R17" s="38"/>
      <c r="S17" s="38"/>
    </row>
    <row r="18" spans="1:19" x14ac:dyDescent="0.25">
      <c r="A18" s="67">
        <v>31777</v>
      </c>
      <c r="B18" s="8">
        <v>336.48079999999999</v>
      </c>
      <c r="C18" s="53">
        <f t="shared" si="1"/>
        <v>-2.5519523302707237E-2</v>
      </c>
      <c r="D18" s="62"/>
      <c r="E18" s="8">
        <v>135</v>
      </c>
      <c r="F18" s="53">
        <f t="shared" si="0"/>
        <v>-3.0590262817750902E-2</v>
      </c>
      <c r="G18" s="38"/>
      <c r="H18" s="70">
        <v>9.0000000000000011E-3</v>
      </c>
      <c r="I18" s="72"/>
      <c r="J18" s="53">
        <v>1.4000000000000002E-3</v>
      </c>
      <c r="K18" s="38"/>
      <c r="L18" s="38"/>
      <c r="M18" s="38"/>
      <c r="N18" s="38"/>
      <c r="O18" s="38"/>
      <c r="P18" s="38"/>
      <c r="Q18" s="38"/>
      <c r="R18" s="38"/>
      <c r="S18" s="38"/>
    </row>
    <row r="19" spans="1:19" x14ac:dyDescent="0.25">
      <c r="A19" s="67">
        <v>31807</v>
      </c>
      <c r="B19" s="8">
        <v>381.79039999999998</v>
      </c>
      <c r="C19" s="53">
        <f t="shared" si="1"/>
        <v>0.13465731179906837</v>
      </c>
      <c r="D19" s="62"/>
      <c r="E19" s="8">
        <v>150.47999999999999</v>
      </c>
      <c r="F19" s="53">
        <f t="shared" si="0"/>
        <v>0.11466666666666669</v>
      </c>
      <c r="G19" s="38"/>
      <c r="H19" s="70">
        <v>2.18E-2</v>
      </c>
      <c r="I19" s="72"/>
      <c r="J19" s="53">
        <v>1.09E-2</v>
      </c>
      <c r="K19" s="38"/>
      <c r="L19" s="38"/>
      <c r="M19" s="38"/>
      <c r="N19" s="38"/>
      <c r="O19" s="38"/>
      <c r="P19" s="38"/>
      <c r="Q19" s="38"/>
      <c r="R19" s="38"/>
      <c r="S19" s="38"/>
    </row>
    <row r="20" spans="1:19" x14ac:dyDescent="0.25">
      <c r="A20" s="67">
        <v>31835</v>
      </c>
      <c r="B20" s="8">
        <v>396.87650000000002</v>
      </c>
      <c r="C20" s="53">
        <f t="shared" si="1"/>
        <v>3.9514089406124553E-2</v>
      </c>
      <c r="D20" s="62"/>
      <c r="E20" s="8">
        <v>162.84</v>
      </c>
      <c r="F20" s="53">
        <f t="shared" si="0"/>
        <v>8.213716108452962E-2</v>
      </c>
      <c r="G20" s="38"/>
      <c r="H20" s="70">
        <v>6.0000000000000001E-3</v>
      </c>
      <c r="I20" s="72"/>
      <c r="J20" s="53">
        <v>7.3000000000000001E-3</v>
      </c>
      <c r="K20" s="38"/>
      <c r="L20" s="38"/>
      <c r="M20" s="38"/>
      <c r="N20" s="38"/>
      <c r="O20" s="38"/>
      <c r="P20" s="38"/>
      <c r="Q20" s="38"/>
      <c r="R20" s="38"/>
      <c r="S20" s="38"/>
    </row>
    <row r="21" spans="1:19" x14ac:dyDescent="0.25">
      <c r="A21" s="67">
        <v>31867</v>
      </c>
      <c r="B21" s="8">
        <v>408.32760000000002</v>
      </c>
      <c r="C21" s="53">
        <f t="shared" si="1"/>
        <v>2.8853056303409286E-2</v>
      </c>
      <c r="D21" s="62"/>
      <c r="E21" s="8">
        <v>166.79</v>
      </c>
      <c r="F21" s="53">
        <f t="shared" si="0"/>
        <v>2.4256939326946725E-2</v>
      </c>
      <c r="G21" s="38"/>
      <c r="H21" s="70">
        <v>-4.0000000000000001E-3</v>
      </c>
      <c r="I21" s="72"/>
      <c r="J21" s="53">
        <v>-6.6E-3</v>
      </c>
      <c r="K21" s="38"/>
      <c r="L21" s="38"/>
      <c r="M21" s="38"/>
      <c r="N21" s="38"/>
      <c r="O21" s="38"/>
      <c r="P21" s="38"/>
      <c r="Q21" s="38"/>
      <c r="R21" s="38"/>
      <c r="S21" s="38"/>
    </row>
    <row r="22" spans="1:19" x14ac:dyDescent="0.25">
      <c r="A22" s="67">
        <v>31897</v>
      </c>
      <c r="B22" s="8">
        <v>404.702</v>
      </c>
      <c r="C22" s="53">
        <f t="shared" si="1"/>
        <v>-8.8791450786085413E-3</v>
      </c>
      <c r="D22" s="62"/>
      <c r="E22" s="8">
        <v>161.82</v>
      </c>
      <c r="F22" s="53">
        <f t="shared" si="0"/>
        <v>-2.9797949517357147E-2</v>
      </c>
      <c r="G22" s="38"/>
      <c r="H22" s="70">
        <v>-3.2899999999999999E-2</v>
      </c>
      <c r="I22" s="72"/>
      <c r="J22" s="53">
        <v>-2.4900000000000002E-2</v>
      </c>
      <c r="K22" s="38"/>
      <c r="L22" s="38"/>
      <c r="M22" s="38"/>
      <c r="N22" s="38"/>
      <c r="O22" s="38"/>
      <c r="P22" s="38"/>
      <c r="Q22" s="38"/>
      <c r="R22" s="38"/>
      <c r="S22" s="38"/>
    </row>
    <row r="23" spans="1:19" x14ac:dyDescent="0.25">
      <c r="A23" s="67">
        <v>31926</v>
      </c>
      <c r="B23" s="8">
        <v>408.21069999999997</v>
      </c>
      <c r="C23" s="53">
        <f t="shared" si="1"/>
        <v>8.6698360769157379E-3</v>
      </c>
      <c r="D23" s="62"/>
      <c r="E23" s="8">
        <v>161.02000000000001</v>
      </c>
      <c r="F23" s="53">
        <f t="shared" si="0"/>
        <v>-4.9437646768012433E-3</v>
      </c>
      <c r="G23" s="38"/>
      <c r="H23" s="70">
        <v>-4.5000000000000005E-3</v>
      </c>
      <c r="I23" s="72"/>
      <c r="J23" s="53">
        <v>-4.4000000000000003E-3</v>
      </c>
      <c r="K23" s="38"/>
      <c r="L23" s="38"/>
      <c r="M23" s="38"/>
      <c r="N23" s="38"/>
      <c r="O23" s="38"/>
      <c r="P23" s="38"/>
      <c r="Q23" s="38"/>
      <c r="R23" s="38"/>
      <c r="S23" s="38"/>
    </row>
    <row r="24" spans="1:19" x14ac:dyDescent="0.25">
      <c r="A24" s="67">
        <v>31958</v>
      </c>
      <c r="B24" s="8">
        <v>428.8252</v>
      </c>
      <c r="C24" s="53">
        <f t="shared" si="1"/>
        <v>5.0499656182456887E-2</v>
      </c>
      <c r="D24" s="62"/>
      <c r="E24" s="8">
        <v>164.75</v>
      </c>
      <c r="F24" s="53">
        <f t="shared" si="0"/>
        <v>2.31648242454352E-2</v>
      </c>
      <c r="G24" s="38"/>
      <c r="H24" s="70">
        <v>1.4499999999999999E-2</v>
      </c>
      <c r="I24" s="72"/>
      <c r="J24" s="53">
        <v>1.15E-2</v>
      </c>
      <c r="K24" s="38"/>
      <c r="L24" s="38"/>
      <c r="M24" s="38"/>
      <c r="N24" s="38"/>
      <c r="O24" s="38"/>
      <c r="P24" s="38"/>
      <c r="Q24" s="38"/>
      <c r="R24" s="38"/>
      <c r="S24" s="38"/>
    </row>
    <row r="25" spans="1:19" x14ac:dyDescent="0.25">
      <c r="A25" s="67">
        <v>31989</v>
      </c>
      <c r="B25" s="8">
        <v>450.54860000000002</v>
      </c>
      <c r="C25" s="53">
        <f t="shared" si="1"/>
        <v>5.0657937080190285E-2</v>
      </c>
      <c r="D25" s="62"/>
      <c r="E25" s="8">
        <v>169.27</v>
      </c>
      <c r="F25" s="53">
        <f t="shared" si="0"/>
        <v>2.7435508345978743E-2</v>
      </c>
      <c r="G25" s="38"/>
      <c r="H25" s="70">
        <v>-2.7000000000000001E-3</v>
      </c>
      <c r="I25" s="72"/>
      <c r="J25" s="53">
        <v>-2.8000000000000004E-3</v>
      </c>
      <c r="K25" s="38"/>
      <c r="L25" s="38"/>
      <c r="M25" s="38"/>
      <c r="N25" s="38"/>
      <c r="O25" s="38"/>
      <c r="P25" s="38"/>
      <c r="Q25" s="38"/>
      <c r="R25" s="38"/>
      <c r="S25" s="38"/>
    </row>
    <row r="26" spans="1:19" x14ac:dyDescent="0.25">
      <c r="A26" s="67">
        <v>32020</v>
      </c>
      <c r="B26" s="8">
        <v>467.35969999999998</v>
      </c>
      <c r="C26" s="53">
        <f t="shared" si="1"/>
        <v>3.7312511902156453E-2</v>
      </c>
      <c r="D26" s="62"/>
      <c r="E26" s="8">
        <v>174.25</v>
      </c>
      <c r="F26" s="53">
        <f t="shared" si="0"/>
        <v>2.942045253145853E-2</v>
      </c>
      <c r="G26" s="38"/>
      <c r="H26" s="70">
        <v>-5.6000000000000008E-3</v>
      </c>
      <c r="I26" s="72"/>
      <c r="J26" s="53">
        <v>-6.0000000000000001E-3</v>
      </c>
      <c r="K26" s="38"/>
      <c r="L26" s="38"/>
      <c r="M26" s="38"/>
      <c r="N26" s="38"/>
      <c r="O26" s="38"/>
      <c r="P26" s="38"/>
      <c r="Q26" s="38"/>
      <c r="R26" s="38"/>
      <c r="S26" s="38"/>
    </row>
    <row r="27" spans="1:19" x14ac:dyDescent="0.25">
      <c r="A27" s="67">
        <v>32050</v>
      </c>
      <c r="B27" s="8">
        <v>457.11410000000001</v>
      </c>
      <c r="C27" s="53">
        <f t="shared" si="1"/>
        <v>-2.1922300960052765E-2</v>
      </c>
      <c r="D27" s="62"/>
      <c r="E27" s="8">
        <v>170.81</v>
      </c>
      <c r="F27" s="53">
        <f t="shared" si="0"/>
        <v>-1.9741750358680088E-2</v>
      </c>
      <c r="G27" s="38"/>
      <c r="H27" s="70">
        <v>-2.8199999999999999E-2</v>
      </c>
      <c r="I27" s="72"/>
      <c r="J27" s="53">
        <v>-2.0099999999999996E-2</v>
      </c>
      <c r="K27" s="38"/>
      <c r="L27" s="38"/>
      <c r="M27" s="38"/>
      <c r="N27" s="38"/>
      <c r="O27" s="38"/>
      <c r="P27" s="38"/>
      <c r="Q27" s="38"/>
      <c r="R27" s="38"/>
      <c r="S27" s="38"/>
    </row>
    <row r="28" spans="1:19" x14ac:dyDescent="0.25">
      <c r="A28" s="67">
        <v>32080</v>
      </c>
      <c r="B28" s="8">
        <v>358.66899999999998</v>
      </c>
      <c r="C28" s="53">
        <f t="shared" si="1"/>
        <v>-0.2153622038786378</v>
      </c>
      <c r="D28" s="62"/>
      <c r="E28" s="8">
        <v>118.26</v>
      </c>
      <c r="F28" s="53">
        <f t="shared" si="0"/>
        <v>-0.30765177682805456</v>
      </c>
      <c r="G28" s="38"/>
      <c r="H28" s="70">
        <v>3.3399999999999999E-2</v>
      </c>
      <c r="I28" s="72"/>
      <c r="J28" s="53">
        <v>0.04</v>
      </c>
      <c r="K28" s="38"/>
      <c r="L28" s="38"/>
      <c r="M28" s="38"/>
      <c r="N28" s="38"/>
      <c r="O28" s="38"/>
      <c r="P28" s="38"/>
      <c r="Q28" s="38"/>
      <c r="R28" s="38"/>
      <c r="S28" s="38"/>
    </row>
    <row r="29" spans="1:19" x14ac:dyDescent="0.25">
      <c r="A29" s="67">
        <v>32111</v>
      </c>
      <c r="B29" s="8">
        <v>329.11110000000002</v>
      </c>
      <c r="C29" s="53">
        <f t="shared" si="1"/>
        <v>-8.2409965734423607E-2</v>
      </c>
      <c r="D29" s="62"/>
      <c r="E29" s="8">
        <v>111.7</v>
      </c>
      <c r="F29" s="53">
        <f t="shared" si="0"/>
        <v>-5.5470996110265514E-2</v>
      </c>
      <c r="G29" s="38"/>
      <c r="H29" s="70">
        <v>1.0700000000000001E-2</v>
      </c>
      <c r="I29" s="72"/>
      <c r="J29" s="53">
        <v>4.4000000000000003E-3</v>
      </c>
      <c r="K29" s="38"/>
      <c r="L29" s="38"/>
      <c r="M29" s="38"/>
      <c r="N29" s="38"/>
      <c r="O29" s="38"/>
      <c r="P29" s="38"/>
      <c r="Q29" s="38"/>
      <c r="R29" s="38"/>
      <c r="S29" s="38"/>
    </row>
    <row r="30" spans="1:19" x14ac:dyDescent="0.25">
      <c r="A30" s="67">
        <v>32142</v>
      </c>
      <c r="B30" s="8">
        <v>354.14819999999997</v>
      </c>
      <c r="C30" s="53">
        <f t="shared" si="1"/>
        <v>7.607491816593237E-2</v>
      </c>
      <c r="D30" s="62"/>
      <c r="E30" s="8">
        <v>120.42</v>
      </c>
      <c r="F30" s="53">
        <f t="shared" si="0"/>
        <v>7.8066248880930944E-2</v>
      </c>
      <c r="G30" s="38"/>
      <c r="H30" s="70">
        <v>1.89E-2</v>
      </c>
      <c r="I30" s="72"/>
      <c r="J30" s="53">
        <v>1.2E-2</v>
      </c>
      <c r="K30" s="38"/>
      <c r="L30" s="38"/>
      <c r="M30" s="38"/>
      <c r="N30" s="38"/>
      <c r="O30" s="38"/>
      <c r="P30" s="38"/>
      <c r="Q30" s="38"/>
      <c r="R30" s="38"/>
      <c r="S30" s="38"/>
    </row>
    <row r="31" spans="1:19" x14ac:dyDescent="0.25">
      <c r="A31" s="67">
        <v>32171</v>
      </c>
      <c r="B31" s="8">
        <v>369.0333</v>
      </c>
      <c r="C31" s="53">
        <f t="shared" si="1"/>
        <v>4.2030709177683256E-2</v>
      </c>
      <c r="D31" s="62"/>
      <c r="E31" s="8">
        <v>125.24</v>
      </c>
      <c r="F31" s="53">
        <f t="shared" si="0"/>
        <v>4.0026573658860531E-2</v>
      </c>
      <c r="G31" s="38"/>
      <c r="H31" s="70">
        <v>3.9199999999999999E-2</v>
      </c>
      <c r="I31" s="72"/>
      <c r="J31" s="53">
        <v>3.3399999999999999E-2</v>
      </c>
      <c r="K31" s="38"/>
      <c r="L31" s="38"/>
      <c r="M31" s="38"/>
      <c r="N31" s="38"/>
      <c r="O31" s="38"/>
      <c r="P31" s="38"/>
      <c r="Q31" s="38"/>
      <c r="R31" s="38"/>
      <c r="S31" s="38"/>
    </row>
    <row r="32" spans="1:19" x14ac:dyDescent="0.25">
      <c r="A32" s="67">
        <v>32202</v>
      </c>
      <c r="B32" s="8">
        <v>386.15780000000001</v>
      </c>
      <c r="C32" s="53">
        <f t="shared" si="1"/>
        <v>4.6403671430193416E-2</v>
      </c>
      <c r="D32" s="62"/>
      <c r="E32" s="8">
        <v>136.1</v>
      </c>
      <c r="F32" s="53">
        <f t="shared" si="0"/>
        <v>8.6713510060683507E-2</v>
      </c>
      <c r="G32" s="38"/>
      <c r="H32" s="70">
        <v>1.37E-2</v>
      </c>
      <c r="I32" s="72"/>
      <c r="J32" s="53">
        <v>1.04E-2</v>
      </c>
      <c r="K32" s="38"/>
      <c r="L32" s="38"/>
      <c r="M32" s="38"/>
      <c r="N32" s="38"/>
      <c r="O32" s="38"/>
      <c r="P32" s="38"/>
      <c r="Q32" s="38"/>
      <c r="R32" s="38"/>
      <c r="S32" s="38"/>
    </row>
    <row r="33" spans="1:19" x14ac:dyDescent="0.25">
      <c r="A33" s="67">
        <v>32233</v>
      </c>
      <c r="B33" s="8">
        <v>374.24669999999998</v>
      </c>
      <c r="C33" s="53">
        <f t="shared" si="1"/>
        <v>-3.0845162262681303E-2</v>
      </c>
      <c r="D33" s="62"/>
      <c r="E33" s="8">
        <v>142.15</v>
      </c>
      <c r="F33" s="53">
        <f t="shared" si="0"/>
        <v>4.4452608376194025E-2</v>
      </c>
      <c r="G33" s="38"/>
      <c r="H33" s="70">
        <v>-8.6E-3</v>
      </c>
      <c r="I33" s="72"/>
      <c r="J33" s="53">
        <v>-1.1200000000000002E-2</v>
      </c>
      <c r="K33" s="38"/>
      <c r="L33" s="38"/>
      <c r="M33" s="38"/>
      <c r="N33" s="38"/>
      <c r="O33" s="38"/>
      <c r="P33" s="38"/>
      <c r="Q33" s="38"/>
      <c r="R33" s="38"/>
      <c r="S33" s="38"/>
    </row>
    <row r="34" spans="1:19" x14ac:dyDescent="0.25">
      <c r="A34" s="67">
        <v>32262</v>
      </c>
      <c r="B34" s="8">
        <v>378.38529999999997</v>
      </c>
      <c r="C34" s="53">
        <f t="shared" si="1"/>
        <v>1.1058480943185289E-2</v>
      </c>
      <c r="D34" s="62"/>
      <c r="E34" s="8">
        <v>145.01</v>
      </c>
      <c r="F34" s="53">
        <f t="shared" si="0"/>
        <v>2.0119591980302332E-2</v>
      </c>
      <c r="G34" s="38"/>
      <c r="H34" s="70">
        <v>-7.0999999999999995E-3</v>
      </c>
      <c r="I34" s="72"/>
      <c r="J34" s="53">
        <v>-5.6000000000000008E-3</v>
      </c>
      <c r="K34" s="38"/>
      <c r="L34" s="38"/>
      <c r="M34" s="38"/>
      <c r="N34" s="38"/>
      <c r="O34" s="38"/>
      <c r="P34" s="38"/>
      <c r="Q34" s="38"/>
      <c r="R34" s="38"/>
      <c r="S34" s="38"/>
    </row>
    <row r="35" spans="1:19" x14ac:dyDescent="0.25">
      <c r="A35" s="67">
        <v>32294</v>
      </c>
      <c r="B35" s="8">
        <v>381.61279999999999</v>
      </c>
      <c r="C35" s="53">
        <f t="shared" si="1"/>
        <v>8.5296653966209224E-3</v>
      </c>
      <c r="D35" s="62"/>
      <c r="E35" s="8">
        <v>141.37</v>
      </c>
      <c r="F35" s="53">
        <f t="shared" si="0"/>
        <v>-2.5101717122956946E-2</v>
      </c>
      <c r="G35" s="38"/>
      <c r="H35" s="70">
        <v>-5.4000000000000003E-3</v>
      </c>
      <c r="I35" s="72"/>
      <c r="J35" s="53">
        <v>-7.4999999999999997E-3</v>
      </c>
      <c r="K35" s="38"/>
      <c r="L35" s="38"/>
      <c r="M35" s="38"/>
      <c r="N35" s="38"/>
      <c r="O35" s="38"/>
      <c r="P35" s="38"/>
      <c r="Q35" s="38"/>
      <c r="R35" s="38"/>
      <c r="S35" s="38"/>
    </row>
    <row r="36" spans="1:19" x14ac:dyDescent="0.25">
      <c r="A36" s="67">
        <v>32324</v>
      </c>
      <c r="B36" s="8">
        <v>399.11259999999999</v>
      </c>
      <c r="C36" s="53">
        <f t="shared" si="1"/>
        <v>4.5857476478776471E-2</v>
      </c>
      <c r="D36" s="62"/>
      <c r="E36" s="8">
        <v>151.30000000000001</v>
      </c>
      <c r="F36" s="53">
        <f t="shared" si="0"/>
        <v>7.024121100657843E-2</v>
      </c>
      <c r="G36" s="38"/>
      <c r="H36" s="70">
        <v>2.3900000000000001E-2</v>
      </c>
      <c r="I36" s="72"/>
      <c r="J36" s="53">
        <v>2.2799999999999997E-2</v>
      </c>
      <c r="K36" s="38"/>
      <c r="L36" s="38"/>
      <c r="M36" s="38"/>
      <c r="N36" s="38"/>
      <c r="O36" s="38"/>
      <c r="P36" s="38"/>
      <c r="Q36" s="38"/>
      <c r="R36" s="38"/>
      <c r="S36" s="38"/>
    </row>
    <row r="37" spans="1:19" x14ac:dyDescent="0.25">
      <c r="A37" s="67">
        <v>32353</v>
      </c>
      <c r="B37" s="8">
        <v>397.59199999999998</v>
      </c>
      <c r="C37" s="53">
        <f t="shared" si="1"/>
        <v>-3.8099523793535539E-3</v>
      </c>
      <c r="D37" s="62"/>
      <c r="E37" s="8">
        <v>149.88999999999999</v>
      </c>
      <c r="F37" s="53">
        <f t="shared" si="0"/>
        <v>-9.3192333113022441E-3</v>
      </c>
      <c r="G37" s="38"/>
      <c r="H37" s="70">
        <v>-2.2000000000000001E-3</v>
      </c>
      <c r="I37" s="72"/>
      <c r="J37" s="53">
        <v>-7.3000000000000001E-3</v>
      </c>
      <c r="K37" s="38"/>
      <c r="L37" s="38"/>
      <c r="M37" s="38"/>
      <c r="N37" s="38"/>
      <c r="O37" s="38"/>
      <c r="P37" s="38"/>
      <c r="Q37" s="38"/>
      <c r="R37" s="38"/>
      <c r="S37" s="38"/>
    </row>
    <row r="38" spans="1:19" x14ac:dyDescent="0.25">
      <c r="A38" s="67">
        <v>32386</v>
      </c>
      <c r="B38" s="8">
        <v>384.11290000000002</v>
      </c>
      <c r="C38" s="53">
        <f t="shared" si="1"/>
        <v>-3.3901839071208584E-2</v>
      </c>
      <c r="D38" s="62"/>
      <c r="E38" s="8">
        <v>145.74</v>
      </c>
      <c r="F38" s="53">
        <f t="shared" si="0"/>
        <v>-2.7686970444992798E-2</v>
      </c>
      <c r="G38" s="38"/>
      <c r="H38" s="70">
        <v>4.1999999999999997E-3</v>
      </c>
      <c r="I38" s="72"/>
      <c r="J38" s="53">
        <v>1.8E-3</v>
      </c>
      <c r="K38" s="38"/>
      <c r="L38" s="38"/>
      <c r="M38" s="38"/>
      <c r="N38" s="38"/>
      <c r="O38" s="38"/>
      <c r="P38" s="38"/>
      <c r="Q38" s="38"/>
      <c r="R38" s="38"/>
      <c r="S38" s="38"/>
    </row>
    <row r="39" spans="1:19" x14ac:dyDescent="0.25">
      <c r="A39" s="67">
        <v>32416</v>
      </c>
      <c r="B39" s="8">
        <v>400.46030000000002</v>
      </c>
      <c r="C39" s="53">
        <f t="shared" si="1"/>
        <v>4.255884142396682E-2</v>
      </c>
      <c r="D39" s="62"/>
      <c r="E39" s="8">
        <v>149.09</v>
      </c>
      <c r="F39" s="53">
        <f t="shared" si="0"/>
        <v>2.2986139700837072E-2</v>
      </c>
      <c r="G39" s="38"/>
      <c r="H39" s="70">
        <v>2.1600000000000001E-2</v>
      </c>
      <c r="I39" s="72"/>
      <c r="J39" s="53">
        <v>2.23E-2</v>
      </c>
      <c r="K39" s="38"/>
      <c r="L39" s="38"/>
      <c r="M39" s="38"/>
      <c r="N39" s="38"/>
      <c r="O39" s="38"/>
      <c r="P39" s="38"/>
      <c r="Q39" s="38"/>
      <c r="R39" s="38"/>
      <c r="S39" s="38"/>
    </row>
    <row r="40" spans="1:19" x14ac:dyDescent="0.25">
      <c r="A40" s="67">
        <v>32447</v>
      </c>
      <c r="B40" s="8">
        <v>411.60329999999999</v>
      </c>
      <c r="C40" s="53">
        <f t="shared" si="1"/>
        <v>2.7825479829086674E-2</v>
      </c>
      <c r="D40" s="62"/>
      <c r="E40" s="8">
        <v>147.25</v>
      </c>
      <c r="F40" s="53">
        <f t="shared" si="0"/>
        <v>-1.2341538667918761E-2</v>
      </c>
      <c r="G40" s="38"/>
      <c r="H40" s="70">
        <v>1.7500000000000002E-2</v>
      </c>
      <c r="I40" s="72"/>
      <c r="J40" s="53">
        <v>1.8000000000000002E-2</v>
      </c>
      <c r="K40" s="38"/>
      <c r="L40" s="38"/>
      <c r="M40" s="38"/>
      <c r="N40" s="38"/>
      <c r="O40" s="38"/>
      <c r="P40" s="38"/>
      <c r="Q40" s="38"/>
      <c r="R40" s="38"/>
      <c r="S40" s="38"/>
    </row>
    <row r="41" spans="1:19" x14ac:dyDescent="0.25">
      <c r="A41" s="67">
        <v>32477</v>
      </c>
      <c r="B41" s="8">
        <v>405.72370000000001</v>
      </c>
      <c r="C41" s="53">
        <f t="shared" si="1"/>
        <v>-1.4284627941515526E-2</v>
      </c>
      <c r="D41" s="62"/>
      <c r="E41" s="8">
        <v>142.01</v>
      </c>
      <c r="F41" s="53">
        <f t="shared" si="0"/>
        <v>-3.5585738539898215E-2</v>
      </c>
      <c r="G41" s="38"/>
      <c r="H41" s="70">
        <v>-9.5999999999999992E-3</v>
      </c>
      <c r="I41" s="72"/>
      <c r="J41" s="53">
        <v>-1.2199999999999999E-2</v>
      </c>
      <c r="K41" s="38"/>
      <c r="L41" s="38"/>
      <c r="M41" s="38"/>
      <c r="N41" s="38"/>
      <c r="O41" s="38"/>
      <c r="P41" s="38"/>
      <c r="Q41" s="38"/>
      <c r="R41" s="38"/>
      <c r="S41" s="38"/>
    </row>
    <row r="42" spans="1:19" x14ac:dyDescent="0.25">
      <c r="A42" s="67">
        <v>32507</v>
      </c>
      <c r="B42" s="8">
        <v>412.79599999999999</v>
      </c>
      <c r="C42" s="53">
        <f t="shared" si="1"/>
        <v>1.743132087181487E-2</v>
      </c>
      <c r="D42" s="62"/>
      <c r="E42" s="8">
        <v>147.37</v>
      </c>
      <c r="F42" s="53">
        <f t="shared" si="0"/>
        <v>3.7743820857686128E-2</v>
      </c>
      <c r="G42" s="38"/>
      <c r="H42" s="70">
        <v>2.7000000000000001E-3</v>
      </c>
      <c r="I42" s="72"/>
      <c r="J42" s="53">
        <v>4.0000000000000001E-3</v>
      </c>
      <c r="K42" s="38"/>
      <c r="L42" s="38"/>
      <c r="M42" s="38"/>
      <c r="N42" s="38"/>
      <c r="O42" s="38"/>
      <c r="P42" s="38"/>
      <c r="Q42" s="38"/>
      <c r="R42" s="38"/>
      <c r="S42" s="38"/>
    </row>
    <row r="43" spans="1:19" x14ac:dyDescent="0.25">
      <c r="A43" s="67">
        <v>32539</v>
      </c>
      <c r="B43" s="8">
        <v>442.93970000000002</v>
      </c>
      <c r="C43" s="53">
        <f t="shared" si="1"/>
        <v>7.3023236659270019E-2</v>
      </c>
      <c r="D43" s="62"/>
      <c r="E43" s="8">
        <v>153.84</v>
      </c>
      <c r="F43" s="53">
        <f t="shared" si="0"/>
        <v>4.3903101038203163E-2</v>
      </c>
      <c r="G43" s="38"/>
      <c r="H43" s="70">
        <v>1.4800000000000001E-2</v>
      </c>
      <c r="I43" s="72"/>
      <c r="J43" s="53">
        <v>1.29E-2</v>
      </c>
      <c r="K43" s="38"/>
      <c r="L43" s="38"/>
      <c r="M43" s="38"/>
      <c r="N43" s="38"/>
      <c r="O43" s="38"/>
      <c r="P43" s="38"/>
      <c r="Q43" s="38"/>
      <c r="R43" s="38"/>
      <c r="S43" s="38"/>
    </row>
    <row r="44" spans="1:19" x14ac:dyDescent="0.25">
      <c r="A44" s="67">
        <v>32567</v>
      </c>
      <c r="B44" s="8">
        <v>431.9298</v>
      </c>
      <c r="C44" s="53">
        <f t="shared" si="1"/>
        <v>-2.4856430796336371E-2</v>
      </c>
      <c r="D44" s="62"/>
      <c r="E44" s="8">
        <v>154.56</v>
      </c>
      <c r="F44" s="53">
        <f t="shared" si="0"/>
        <v>4.6801872074881956E-3</v>
      </c>
      <c r="G44" s="38"/>
      <c r="H44" s="70">
        <v>-5.6000000000000008E-3</v>
      </c>
      <c r="I44" s="72"/>
      <c r="J44" s="53">
        <v>-8.6999999999999994E-3</v>
      </c>
      <c r="K44" s="38"/>
      <c r="L44" s="38"/>
      <c r="M44" s="38"/>
      <c r="N44" s="38"/>
      <c r="O44" s="38"/>
      <c r="P44" s="38"/>
      <c r="Q44" s="38"/>
      <c r="R44" s="38"/>
      <c r="S44" s="38"/>
    </row>
    <row r="45" spans="1:19" x14ac:dyDescent="0.25">
      <c r="A45" s="67">
        <v>32598</v>
      </c>
      <c r="B45" s="8">
        <v>441.99470000000002</v>
      </c>
      <c r="C45" s="53">
        <f t="shared" si="1"/>
        <v>2.3302166231642385E-2</v>
      </c>
      <c r="D45" s="62"/>
      <c r="E45" s="8">
        <v>157.9</v>
      </c>
      <c r="F45" s="53">
        <f t="shared" si="0"/>
        <v>2.1609730848861197E-2</v>
      </c>
      <c r="G45" s="38"/>
      <c r="H45" s="70">
        <v>3.0000000000000001E-3</v>
      </c>
      <c r="I45" s="72"/>
      <c r="J45" s="53">
        <v>6.5000000000000006E-3</v>
      </c>
      <c r="K45" s="38"/>
      <c r="L45" s="38"/>
      <c r="M45" s="38"/>
      <c r="N45" s="38"/>
      <c r="O45" s="38"/>
      <c r="P45" s="38"/>
      <c r="Q45" s="38"/>
      <c r="R45" s="38"/>
      <c r="S45" s="38"/>
    </row>
    <row r="46" spans="1:19" x14ac:dyDescent="0.25">
      <c r="A46" s="67">
        <v>32626</v>
      </c>
      <c r="B46" s="8">
        <v>464.9196</v>
      </c>
      <c r="C46" s="53">
        <f t="shared" si="1"/>
        <v>5.1866911526314619E-2</v>
      </c>
      <c r="D46" s="62"/>
      <c r="E46" s="8">
        <v>164.68</v>
      </c>
      <c r="F46" s="53">
        <f t="shared" si="0"/>
        <v>4.293856871437618E-2</v>
      </c>
      <c r="G46" s="38"/>
      <c r="H46" s="70">
        <v>2.0299999999999999E-2</v>
      </c>
      <c r="I46" s="72"/>
      <c r="J46" s="53">
        <v>2.1499999999999998E-2</v>
      </c>
      <c r="K46" s="38"/>
      <c r="L46" s="38"/>
      <c r="M46" s="38"/>
      <c r="N46" s="38"/>
      <c r="O46" s="38"/>
      <c r="P46" s="38"/>
      <c r="Q46" s="38"/>
      <c r="R46" s="38"/>
      <c r="S46" s="38"/>
    </row>
    <row r="47" spans="1:19" x14ac:dyDescent="0.25">
      <c r="A47" s="67">
        <v>32659</v>
      </c>
      <c r="B47" s="8">
        <v>483.65960000000001</v>
      </c>
      <c r="C47" s="53">
        <f t="shared" si="1"/>
        <v>4.0308044659764786E-2</v>
      </c>
      <c r="D47" s="62"/>
      <c r="E47" s="8">
        <v>171.53</v>
      </c>
      <c r="F47" s="53">
        <f t="shared" si="0"/>
        <v>4.1595822200631405E-2</v>
      </c>
      <c r="G47" s="38"/>
      <c r="H47" s="70">
        <v>2.7300000000000001E-2</v>
      </c>
      <c r="I47" s="72"/>
      <c r="J47" s="53">
        <v>2.3799999999999998E-2</v>
      </c>
      <c r="K47" s="38"/>
      <c r="L47" s="38"/>
      <c r="M47" s="38"/>
      <c r="N47" s="38"/>
      <c r="O47" s="38"/>
      <c r="P47" s="38"/>
      <c r="Q47" s="38"/>
      <c r="R47" s="38"/>
      <c r="S47" s="38"/>
    </row>
    <row r="48" spans="1:19" x14ac:dyDescent="0.25">
      <c r="A48" s="67">
        <v>32689</v>
      </c>
      <c r="B48" s="8">
        <v>480.93740000000003</v>
      </c>
      <c r="C48" s="53">
        <f t="shared" si="1"/>
        <v>-5.6283386083931797E-3</v>
      </c>
      <c r="D48" s="62"/>
      <c r="E48" s="8">
        <v>167.42</v>
      </c>
      <c r="F48" s="53">
        <f t="shared" si="0"/>
        <v>-2.3960823179618784E-2</v>
      </c>
      <c r="G48" s="38"/>
      <c r="H48" s="70">
        <v>2.9600000000000001E-2</v>
      </c>
      <c r="I48" s="72"/>
      <c r="J48" s="53">
        <v>3.4300000000000004E-2</v>
      </c>
      <c r="K48" s="38"/>
      <c r="L48" s="38"/>
      <c r="M48" s="38"/>
      <c r="N48" s="38"/>
      <c r="O48" s="38"/>
      <c r="P48" s="38"/>
      <c r="Q48" s="38"/>
      <c r="R48" s="38"/>
      <c r="S48" s="38"/>
    </row>
    <row r="49" spans="1:19" x14ac:dyDescent="0.25">
      <c r="A49" s="67">
        <v>32720</v>
      </c>
      <c r="B49" s="8">
        <v>524.32280000000003</v>
      </c>
      <c r="C49" s="53">
        <f t="shared" si="1"/>
        <v>9.0210077236663189E-2</v>
      </c>
      <c r="D49" s="62"/>
      <c r="E49" s="8">
        <v>174.5</v>
      </c>
      <c r="F49" s="53">
        <f t="shared" si="0"/>
        <v>4.2288854378210505E-2</v>
      </c>
      <c r="G49" s="38"/>
      <c r="H49" s="70">
        <v>1.9400000000000001E-2</v>
      </c>
      <c r="I49" s="72"/>
      <c r="J49" s="53">
        <v>2.1499999999999998E-2</v>
      </c>
      <c r="K49" s="38"/>
      <c r="L49" s="38"/>
      <c r="M49" s="38"/>
      <c r="N49" s="38"/>
      <c r="O49" s="38"/>
      <c r="P49" s="38"/>
      <c r="Q49" s="38"/>
      <c r="R49" s="38"/>
      <c r="S49" s="38"/>
    </row>
    <row r="50" spans="1:19" x14ac:dyDescent="0.25">
      <c r="A50" s="67">
        <v>32751</v>
      </c>
      <c r="B50" s="8">
        <v>534.53869999999995</v>
      </c>
      <c r="C50" s="53">
        <f t="shared" si="1"/>
        <v>1.948398963386655E-2</v>
      </c>
      <c r="D50" s="62"/>
      <c r="E50" s="8">
        <v>178.2</v>
      </c>
      <c r="F50" s="53">
        <f t="shared" si="0"/>
        <v>2.1203438395415386E-2</v>
      </c>
      <c r="G50" s="38"/>
      <c r="H50" s="70">
        <v>-1.0800000000000001E-2</v>
      </c>
      <c r="I50" s="72"/>
      <c r="J50" s="53">
        <v>-1.7299999999999999E-2</v>
      </c>
      <c r="K50" s="38"/>
      <c r="L50" s="38"/>
      <c r="M50" s="38"/>
      <c r="N50" s="38"/>
      <c r="O50" s="38"/>
      <c r="P50" s="38"/>
      <c r="Q50" s="38"/>
      <c r="R50" s="38"/>
      <c r="S50" s="38"/>
    </row>
    <row r="51" spans="1:19" x14ac:dyDescent="0.25">
      <c r="A51" s="67">
        <v>32780</v>
      </c>
      <c r="B51" s="8">
        <v>532.36220000000003</v>
      </c>
      <c r="C51" s="53">
        <f t="shared" si="1"/>
        <v>-4.0717351241358335E-3</v>
      </c>
      <c r="D51" s="62"/>
      <c r="E51" s="8">
        <v>178.21</v>
      </c>
      <c r="F51" s="53">
        <f t="shared" si="0"/>
        <v>5.6116722783494666E-5</v>
      </c>
      <c r="G51" s="38"/>
      <c r="H51" s="70">
        <v>4.5999999999999999E-3</v>
      </c>
      <c r="I51" s="72"/>
      <c r="J51" s="53">
        <v>4.1999999999999997E-3</v>
      </c>
      <c r="K51" s="38"/>
      <c r="L51" s="38"/>
      <c r="M51" s="38"/>
      <c r="N51" s="38"/>
      <c r="O51" s="38"/>
      <c r="P51" s="38"/>
      <c r="Q51" s="38"/>
      <c r="R51" s="38"/>
      <c r="S51" s="38"/>
    </row>
    <row r="52" spans="1:19" x14ac:dyDescent="0.25">
      <c r="A52" s="67">
        <v>32812</v>
      </c>
      <c r="B52" s="8">
        <v>520.0163</v>
      </c>
      <c r="C52" s="53">
        <f t="shared" si="1"/>
        <v>-2.3190790029795516E-2</v>
      </c>
      <c r="D52" s="62"/>
      <c r="E52" s="8">
        <v>167.47</v>
      </c>
      <c r="F52" s="53">
        <f t="shared" si="0"/>
        <v>-6.0265978340160564E-2</v>
      </c>
      <c r="G52" s="38"/>
      <c r="H52" s="70">
        <v>2.3E-2</v>
      </c>
      <c r="I52" s="72"/>
      <c r="J52" s="53">
        <v>2.6499999999999999E-2</v>
      </c>
      <c r="K52" s="38"/>
      <c r="L52" s="38"/>
      <c r="M52" s="38"/>
      <c r="N52" s="38"/>
      <c r="O52" s="38"/>
      <c r="P52" s="38"/>
      <c r="Q52" s="38"/>
      <c r="R52" s="38"/>
      <c r="S52" s="38"/>
    </row>
    <row r="53" spans="1:19" x14ac:dyDescent="0.25">
      <c r="A53" s="67">
        <v>32842</v>
      </c>
      <c r="B53" s="8">
        <v>530.57830000000001</v>
      </c>
      <c r="C53" s="53">
        <f t="shared" si="1"/>
        <v>2.0310901792886193E-2</v>
      </c>
      <c r="D53" s="62"/>
      <c r="E53" s="8">
        <v>168.17</v>
      </c>
      <c r="F53" s="53">
        <f t="shared" si="0"/>
        <v>4.1798531080192713E-3</v>
      </c>
      <c r="G53" s="38"/>
      <c r="H53" s="70">
        <v>6.8999999999999999E-3</v>
      </c>
      <c r="I53" s="72"/>
      <c r="J53" s="53">
        <v>9.5999999999999992E-3</v>
      </c>
      <c r="K53" s="38"/>
      <c r="L53" s="38"/>
      <c r="M53" s="38"/>
      <c r="N53" s="38"/>
      <c r="O53" s="38"/>
      <c r="P53" s="38"/>
      <c r="Q53" s="38"/>
      <c r="R53" s="38"/>
      <c r="S53" s="38"/>
    </row>
    <row r="54" spans="1:19" x14ac:dyDescent="0.25">
      <c r="A54" s="67">
        <v>32871</v>
      </c>
      <c r="B54" s="8">
        <v>543.30179999999996</v>
      </c>
      <c r="C54" s="53">
        <f t="shared" si="1"/>
        <v>2.3980437948555311E-2</v>
      </c>
      <c r="D54" s="62"/>
      <c r="E54" s="8">
        <v>168.3</v>
      </c>
      <c r="F54" s="53">
        <f t="shared" si="0"/>
        <v>7.7302729381001356E-4</v>
      </c>
      <c r="G54" s="38"/>
      <c r="H54" s="70">
        <v>1.1000000000000001E-3</v>
      </c>
      <c r="I54" s="72"/>
      <c r="J54" s="53">
        <v>1.6000000000000001E-3</v>
      </c>
      <c r="K54" s="38"/>
      <c r="L54" s="38"/>
      <c r="M54" s="38"/>
      <c r="N54" s="38"/>
      <c r="O54" s="38"/>
      <c r="P54" s="38"/>
      <c r="Q54" s="38"/>
      <c r="R54" s="38"/>
      <c r="S54" s="38"/>
    </row>
    <row r="55" spans="1:19" x14ac:dyDescent="0.25">
      <c r="A55" s="67">
        <v>32904</v>
      </c>
      <c r="B55" s="8">
        <v>506.8476</v>
      </c>
      <c r="C55" s="53">
        <f t="shared" si="1"/>
        <v>-6.7097513757546801E-2</v>
      </c>
      <c r="D55" s="62"/>
      <c r="E55" s="8">
        <v>153.27000000000001</v>
      </c>
      <c r="F55" s="53">
        <f t="shared" si="0"/>
        <v>-8.9304812834224645E-2</v>
      </c>
      <c r="G55" s="38"/>
      <c r="H55" s="70">
        <v>-1.2500000000000001E-2</v>
      </c>
      <c r="I55" s="72"/>
      <c r="J55" s="53">
        <v>-1.49E-2</v>
      </c>
      <c r="K55" s="38"/>
      <c r="L55" s="38"/>
      <c r="M55" s="38"/>
      <c r="N55" s="38"/>
      <c r="O55" s="38"/>
      <c r="P55" s="38"/>
      <c r="Q55" s="38"/>
      <c r="R55" s="38"/>
      <c r="S55" s="38"/>
    </row>
    <row r="56" spans="1:19" x14ac:dyDescent="0.25">
      <c r="A56" s="67">
        <v>32932</v>
      </c>
      <c r="B56" s="8">
        <v>513.33720000000005</v>
      </c>
      <c r="C56" s="53">
        <f t="shared" si="1"/>
        <v>1.2803848730861267E-2</v>
      </c>
      <c r="D56" s="62"/>
      <c r="E56" s="8">
        <v>157.72</v>
      </c>
      <c r="F56" s="53">
        <f t="shared" si="0"/>
        <v>2.9033731323807599E-2</v>
      </c>
      <c r="G56" s="38"/>
      <c r="H56" s="70">
        <v>2.8999999999999998E-3</v>
      </c>
      <c r="I56" s="72"/>
      <c r="J56" s="53">
        <v>1.8E-3</v>
      </c>
      <c r="K56" s="38"/>
      <c r="L56" s="38"/>
      <c r="M56" s="38"/>
      <c r="N56" s="38"/>
      <c r="O56" s="38"/>
      <c r="P56" s="38"/>
      <c r="Q56" s="38"/>
      <c r="R56" s="38"/>
      <c r="S56" s="38"/>
    </row>
    <row r="57" spans="1:19" x14ac:dyDescent="0.25">
      <c r="A57" s="67">
        <v>32962</v>
      </c>
      <c r="B57" s="8">
        <v>526.90629999999999</v>
      </c>
      <c r="C57" s="53">
        <f t="shared" si="1"/>
        <v>2.6433112581749185E-2</v>
      </c>
      <c r="D57" s="62"/>
      <c r="E57" s="8">
        <v>163.63</v>
      </c>
      <c r="F57" s="53">
        <f t="shared" si="0"/>
        <v>3.7471468425056997E-2</v>
      </c>
      <c r="G57" s="38"/>
      <c r="H57" s="70">
        <v>8.9999999999999998E-4</v>
      </c>
      <c r="I57" s="72"/>
      <c r="J57" s="53">
        <v>-2.9999999999999997E-4</v>
      </c>
      <c r="K57" s="38"/>
      <c r="L57" s="38"/>
      <c r="M57" s="38"/>
      <c r="N57" s="38"/>
      <c r="O57" s="38"/>
      <c r="P57" s="38"/>
      <c r="Q57" s="38"/>
      <c r="R57" s="38"/>
      <c r="S57" s="38"/>
    </row>
    <row r="58" spans="1:19" x14ac:dyDescent="0.25">
      <c r="A58" s="67">
        <v>32993</v>
      </c>
      <c r="B58" s="8">
        <v>513.7088</v>
      </c>
      <c r="C58" s="53">
        <f t="shared" si="1"/>
        <v>-2.5047147851524953E-2</v>
      </c>
      <c r="D58" s="62"/>
      <c r="E58" s="8">
        <v>158.09</v>
      </c>
      <c r="F58" s="53">
        <f t="shared" si="0"/>
        <v>-3.3856872211697087E-2</v>
      </c>
      <c r="G58" s="38"/>
      <c r="H58" s="70">
        <v>-1.04E-2</v>
      </c>
      <c r="I58" s="72"/>
      <c r="J58" s="53">
        <v>-9.1999999999999998E-3</v>
      </c>
      <c r="K58" s="38"/>
      <c r="L58" s="38"/>
      <c r="M58" s="38"/>
      <c r="N58" s="38"/>
      <c r="O58" s="38"/>
      <c r="P58" s="38"/>
      <c r="Q58" s="38"/>
      <c r="R58" s="38"/>
      <c r="S58" s="38"/>
    </row>
    <row r="59" spans="1:19" x14ac:dyDescent="0.25">
      <c r="A59" s="67">
        <v>33024</v>
      </c>
      <c r="B59" s="8">
        <v>563.64840000000004</v>
      </c>
      <c r="C59" s="53">
        <f t="shared" si="1"/>
        <v>9.7213830092067743E-2</v>
      </c>
      <c r="D59" s="62"/>
      <c r="E59" s="8">
        <v>168.91</v>
      </c>
      <c r="F59" s="53">
        <f t="shared" si="0"/>
        <v>6.84420266936554E-2</v>
      </c>
      <c r="G59" s="38"/>
      <c r="H59" s="70">
        <v>3.2300000000000002E-2</v>
      </c>
      <c r="I59" s="72"/>
      <c r="J59" s="53">
        <v>2.81E-2</v>
      </c>
      <c r="K59" s="38"/>
      <c r="L59" s="38"/>
      <c r="M59" s="38"/>
      <c r="N59" s="38"/>
      <c r="O59" s="38"/>
      <c r="P59" s="38"/>
      <c r="Q59" s="38"/>
      <c r="R59" s="38"/>
      <c r="S59" s="38"/>
    </row>
    <row r="60" spans="1:19" x14ac:dyDescent="0.25">
      <c r="A60" s="67">
        <v>33053</v>
      </c>
      <c r="B60" s="8">
        <v>559.83429999999998</v>
      </c>
      <c r="C60" s="53">
        <f t="shared" si="1"/>
        <v>-6.7668071088289317E-3</v>
      </c>
      <c r="D60" s="62"/>
      <c r="E60" s="8">
        <v>169.12</v>
      </c>
      <c r="F60" s="53">
        <f t="shared" si="0"/>
        <v>1.243265644426117E-3</v>
      </c>
      <c r="G60" s="38"/>
      <c r="H60" s="70">
        <v>1.7100000000000001E-2</v>
      </c>
      <c r="I60" s="72"/>
      <c r="J60" s="53">
        <v>1.5800000000000002E-2</v>
      </c>
      <c r="K60" s="38"/>
      <c r="L60" s="38"/>
      <c r="M60" s="38"/>
      <c r="N60" s="38"/>
      <c r="O60" s="38"/>
      <c r="P60" s="38"/>
      <c r="Q60" s="38"/>
      <c r="R60" s="38"/>
      <c r="S60" s="38"/>
    </row>
    <row r="61" spans="1:19" x14ac:dyDescent="0.25">
      <c r="A61" s="67">
        <v>33085</v>
      </c>
      <c r="B61" s="8">
        <v>557.9914</v>
      </c>
      <c r="C61" s="53">
        <f t="shared" si="1"/>
        <v>-3.2918668970443044E-3</v>
      </c>
      <c r="D61" s="62"/>
      <c r="E61" s="8">
        <v>161.51</v>
      </c>
      <c r="F61" s="53">
        <f t="shared" si="0"/>
        <v>-4.4997634815515664E-2</v>
      </c>
      <c r="G61" s="38"/>
      <c r="H61" s="70">
        <v>1.1299999999999999E-2</v>
      </c>
      <c r="I61" s="72"/>
      <c r="J61" s="53">
        <v>1.2699999999999999E-2</v>
      </c>
      <c r="K61" s="38"/>
      <c r="L61" s="38"/>
      <c r="M61" s="38"/>
      <c r="N61" s="38"/>
      <c r="O61" s="38"/>
      <c r="P61" s="38"/>
      <c r="Q61" s="38"/>
      <c r="R61" s="38"/>
      <c r="S61" s="38"/>
    </row>
    <row r="62" spans="1:19" x14ac:dyDescent="0.25">
      <c r="A62" s="67">
        <v>33116</v>
      </c>
      <c r="B62" s="8">
        <v>507.57659999999998</v>
      </c>
      <c r="C62" s="53">
        <f t="shared" si="1"/>
        <v>-9.0350496441343076E-2</v>
      </c>
      <c r="D62" s="62"/>
      <c r="E62" s="8">
        <v>139.51</v>
      </c>
      <c r="F62" s="53">
        <f t="shared" si="0"/>
        <v>-0.13621447588384616</v>
      </c>
      <c r="G62" s="38"/>
      <c r="H62" s="70">
        <v>-1.5900000000000001E-2</v>
      </c>
      <c r="I62" s="72"/>
      <c r="J62" s="53">
        <v>-1.44E-2</v>
      </c>
      <c r="K62" s="38"/>
      <c r="L62" s="38"/>
      <c r="M62" s="38"/>
      <c r="N62" s="38"/>
      <c r="O62" s="38"/>
      <c r="P62" s="38"/>
      <c r="Q62" s="38"/>
      <c r="R62" s="38"/>
      <c r="S62" s="38"/>
    </row>
    <row r="63" spans="1:19" x14ac:dyDescent="0.25">
      <c r="A63" s="67">
        <v>33144</v>
      </c>
      <c r="B63" s="8">
        <v>482.87990000000002</v>
      </c>
      <c r="C63" s="53">
        <f t="shared" si="1"/>
        <v>-4.8656104320017879E-2</v>
      </c>
      <c r="D63" s="62"/>
      <c r="E63" s="8">
        <v>126.74</v>
      </c>
      <c r="F63" s="53">
        <f t="shared" si="0"/>
        <v>-9.153465701383412E-2</v>
      </c>
      <c r="G63" s="38"/>
      <c r="H63" s="70">
        <v>4.5999999999999999E-3</v>
      </c>
      <c r="I63" s="72"/>
      <c r="J63" s="53">
        <v>9.5999999999999992E-3</v>
      </c>
      <c r="K63" s="38"/>
      <c r="L63" s="38"/>
      <c r="M63" s="38"/>
      <c r="N63" s="38"/>
      <c r="O63" s="38"/>
      <c r="P63" s="38"/>
      <c r="Q63" s="38"/>
      <c r="R63" s="38"/>
      <c r="S63" s="38"/>
    </row>
    <row r="64" spans="1:19" x14ac:dyDescent="0.25">
      <c r="A64" s="67">
        <v>33177</v>
      </c>
      <c r="B64" s="8">
        <v>480.7878</v>
      </c>
      <c r="C64" s="53">
        <f t="shared" si="1"/>
        <v>-4.3325472855673119E-3</v>
      </c>
      <c r="D64" s="62"/>
      <c r="E64" s="8">
        <v>118.83</v>
      </c>
      <c r="F64" s="53">
        <f t="shared" si="0"/>
        <v>-6.2411235600441817E-2</v>
      </c>
      <c r="G64" s="38"/>
      <c r="H64" s="70">
        <v>4.5000000000000005E-3</v>
      </c>
      <c r="I64" s="72"/>
      <c r="J64" s="53">
        <v>1.6500000000000001E-2</v>
      </c>
      <c r="K64" s="38"/>
      <c r="L64" s="38"/>
      <c r="M64" s="38"/>
      <c r="N64" s="38"/>
      <c r="O64" s="38"/>
      <c r="P64" s="38"/>
      <c r="Q64" s="38"/>
      <c r="R64" s="38"/>
      <c r="S64" s="38"/>
    </row>
    <row r="65" spans="1:19" x14ac:dyDescent="0.25">
      <c r="A65" s="67">
        <v>33207</v>
      </c>
      <c r="B65" s="8">
        <v>511.7715</v>
      </c>
      <c r="C65" s="53">
        <f t="shared" si="1"/>
        <v>6.4443606930125963E-2</v>
      </c>
      <c r="D65" s="62"/>
      <c r="E65" s="8">
        <v>127.51</v>
      </c>
      <c r="F65" s="53">
        <f t="shared" si="0"/>
        <v>7.3045527223765117E-2</v>
      </c>
      <c r="G65" s="38"/>
      <c r="H65" s="70">
        <v>2.06E-2</v>
      </c>
      <c r="I65" s="72"/>
      <c r="J65" s="53">
        <v>2.2099999999999998E-2</v>
      </c>
      <c r="K65" s="38"/>
      <c r="L65" s="38"/>
      <c r="M65" s="38"/>
      <c r="N65" s="38"/>
      <c r="O65" s="38"/>
      <c r="P65" s="38"/>
      <c r="Q65" s="38"/>
      <c r="R65" s="38"/>
      <c r="S65" s="38"/>
    </row>
    <row r="66" spans="1:19" x14ac:dyDescent="0.25">
      <c r="A66" s="67">
        <v>33238</v>
      </c>
      <c r="B66" s="8">
        <v>525.98699999999997</v>
      </c>
      <c r="C66" s="53">
        <f t="shared" si="1"/>
        <v>2.7777045028884784E-2</v>
      </c>
      <c r="D66" s="62"/>
      <c r="E66" s="8">
        <v>132.19999999999999</v>
      </c>
      <c r="F66" s="53">
        <f t="shared" si="0"/>
        <v>3.6781428907536551E-2</v>
      </c>
      <c r="G66" s="38"/>
      <c r="H66" s="70">
        <v>1.41E-2</v>
      </c>
      <c r="I66" s="72"/>
      <c r="J66" s="53">
        <v>1.5600000000000001E-2</v>
      </c>
      <c r="K66" s="38"/>
      <c r="L66" s="38"/>
      <c r="M66" s="38"/>
      <c r="N66" s="38"/>
      <c r="O66" s="38"/>
      <c r="P66" s="38"/>
      <c r="Q66" s="38"/>
      <c r="R66" s="38"/>
      <c r="S66" s="38"/>
    </row>
    <row r="67" spans="1:19" x14ac:dyDescent="0.25">
      <c r="A67" s="67">
        <v>33269</v>
      </c>
      <c r="B67" s="8">
        <v>548.78959999999995</v>
      </c>
      <c r="C67" s="53">
        <f t="shared" si="1"/>
        <v>4.3352022008148472E-2</v>
      </c>
      <c r="D67" s="62"/>
      <c r="E67" s="8">
        <v>144.16999999999999</v>
      </c>
      <c r="F67" s="53">
        <f t="shared" si="0"/>
        <v>9.0544629349470496E-2</v>
      </c>
      <c r="G67" s="38"/>
      <c r="H67" s="70">
        <v>1.2699999999999999E-2</v>
      </c>
      <c r="I67" s="72"/>
      <c r="J67" s="53">
        <v>1.0700000000000001E-2</v>
      </c>
      <c r="K67" s="38"/>
      <c r="L67" s="38"/>
      <c r="M67" s="38"/>
      <c r="N67" s="38"/>
      <c r="O67" s="38"/>
      <c r="P67" s="38"/>
      <c r="Q67" s="38"/>
      <c r="R67" s="38"/>
      <c r="S67" s="38"/>
    </row>
    <row r="68" spans="1:19" x14ac:dyDescent="0.25">
      <c r="A68" s="67">
        <v>33297</v>
      </c>
      <c r="B68" s="8">
        <v>587.94110000000001</v>
      </c>
      <c r="C68" s="53">
        <f t="shared" si="1"/>
        <v>7.1341548746550743E-2</v>
      </c>
      <c r="D68" s="62"/>
      <c r="E68" s="8">
        <v>160</v>
      </c>
      <c r="F68" s="53">
        <f t="shared" si="0"/>
        <v>0.10980092945827846</v>
      </c>
      <c r="G68" s="38"/>
      <c r="H68" s="70">
        <v>1.7100000000000001E-2</v>
      </c>
      <c r="I68" s="72"/>
      <c r="J68" s="53">
        <v>5.3E-3</v>
      </c>
      <c r="K68" s="38"/>
      <c r="L68" s="38"/>
      <c r="M68" s="38"/>
      <c r="N68" s="38"/>
      <c r="O68" s="38"/>
      <c r="P68" s="38"/>
      <c r="Q68" s="38"/>
      <c r="R68" s="38"/>
      <c r="S68" s="38"/>
    </row>
    <row r="69" spans="1:19" x14ac:dyDescent="0.25">
      <c r="A69" s="67">
        <v>33326</v>
      </c>
      <c r="B69" s="8">
        <v>602.17870000000005</v>
      </c>
      <c r="C69" s="53">
        <f t="shared" si="1"/>
        <v>2.4216031163665885E-2</v>
      </c>
      <c r="D69" s="62"/>
      <c r="E69" s="8">
        <v>171.01</v>
      </c>
      <c r="F69" s="53">
        <f t="shared" si="0"/>
        <v>6.8812499999999943E-2</v>
      </c>
      <c r="G69" s="38"/>
      <c r="H69" s="70">
        <v>1.23E-2</v>
      </c>
      <c r="I69" s="72"/>
      <c r="J69" s="53">
        <v>5.1000000000000004E-3</v>
      </c>
      <c r="K69" s="38"/>
      <c r="L69" s="38"/>
      <c r="M69" s="38"/>
      <c r="N69" s="38"/>
      <c r="O69" s="38"/>
      <c r="P69" s="38"/>
      <c r="Q69" s="38"/>
      <c r="R69" s="38"/>
      <c r="S69" s="38"/>
    </row>
    <row r="70" spans="1:19" x14ac:dyDescent="0.25">
      <c r="A70" s="67">
        <v>33358</v>
      </c>
      <c r="B70" s="8">
        <v>603.55420000000004</v>
      </c>
      <c r="C70" s="53">
        <f t="shared" si="1"/>
        <v>2.2842056685166146E-3</v>
      </c>
      <c r="D70" s="62"/>
      <c r="E70" s="8">
        <v>170.61</v>
      </c>
      <c r="F70" s="53">
        <f t="shared" si="0"/>
        <v>-2.3390445003215188E-3</v>
      </c>
      <c r="G70" s="38"/>
      <c r="H70" s="70">
        <v>1.3000000000000001E-2</v>
      </c>
      <c r="I70" s="72"/>
      <c r="J70" s="53">
        <v>1.1000000000000001E-2</v>
      </c>
      <c r="K70" s="38"/>
      <c r="L70" s="38"/>
      <c r="M70" s="38"/>
      <c r="N70" s="38"/>
      <c r="O70" s="38"/>
      <c r="P70" s="38"/>
      <c r="Q70" s="38"/>
      <c r="R70" s="38"/>
      <c r="S70" s="38"/>
    </row>
    <row r="71" spans="1:19" x14ac:dyDescent="0.25">
      <c r="A71" s="67">
        <v>33389</v>
      </c>
      <c r="B71" s="8">
        <v>629.50009999999997</v>
      </c>
      <c r="C71" s="53">
        <f t="shared" si="1"/>
        <v>4.2988517021337769E-2</v>
      </c>
      <c r="D71" s="62"/>
      <c r="E71" s="8">
        <v>178.34</v>
      </c>
      <c r="F71" s="53">
        <f t="shared" ref="F71:F134" si="2">E71/E70-1</f>
        <v>4.5308012426000799E-2</v>
      </c>
      <c r="G71" s="38"/>
      <c r="H71" s="70">
        <v>6.8999999999999999E-3</v>
      </c>
      <c r="I71" s="72"/>
      <c r="J71" s="53">
        <v>3.7000000000000002E-3</v>
      </c>
      <c r="K71" s="38"/>
      <c r="L71" s="38"/>
      <c r="M71" s="38"/>
      <c r="N71" s="38"/>
      <c r="O71" s="38"/>
      <c r="P71" s="38"/>
      <c r="Q71" s="38"/>
      <c r="R71" s="38"/>
      <c r="S71" s="38"/>
    </row>
    <row r="72" spans="1:19" x14ac:dyDescent="0.25">
      <c r="A72" s="67">
        <v>33417</v>
      </c>
      <c r="B72" s="8">
        <v>600.67629999999997</v>
      </c>
      <c r="C72" s="53">
        <f t="shared" ref="C72:C135" si="3">B72/B71-1</f>
        <v>-4.5788396221064898E-2</v>
      </c>
      <c r="D72" s="62"/>
      <c r="E72" s="8">
        <v>167.61</v>
      </c>
      <c r="F72" s="53">
        <f t="shared" si="2"/>
        <v>-6.0165975103734337E-2</v>
      </c>
      <c r="G72" s="38"/>
      <c r="H72" s="70">
        <v>-1E-4</v>
      </c>
      <c r="I72" s="72"/>
      <c r="J72" s="53">
        <v>-1.5E-3</v>
      </c>
      <c r="K72" s="38"/>
      <c r="L72" s="38"/>
      <c r="M72" s="38"/>
      <c r="N72" s="38"/>
      <c r="O72" s="38"/>
      <c r="P72" s="38"/>
      <c r="Q72" s="38"/>
      <c r="R72" s="38"/>
      <c r="S72" s="38"/>
    </row>
    <row r="73" spans="1:19" x14ac:dyDescent="0.25">
      <c r="A73" s="67">
        <v>33450</v>
      </c>
      <c r="B73" s="8">
        <v>628.61569999999995</v>
      </c>
      <c r="C73" s="53">
        <f t="shared" si="3"/>
        <v>4.6513238494676701E-2</v>
      </c>
      <c r="D73" s="62"/>
      <c r="E73" s="8">
        <v>172.77</v>
      </c>
      <c r="F73" s="53">
        <f t="shared" si="2"/>
        <v>3.0785752640057229E-2</v>
      </c>
      <c r="G73" s="38"/>
      <c r="H73" s="70">
        <v>1.44E-2</v>
      </c>
      <c r="I73" s="72"/>
      <c r="J73" s="53">
        <v>1.1699999999999999E-2</v>
      </c>
      <c r="K73" s="38"/>
      <c r="L73" s="38"/>
      <c r="M73" s="38"/>
      <c r="N73" s="38"/>
      <c r="O73" s="38"/>
      <c r="P73" s="38"/>
      <c r="Q73" s="38"/>
      <c r="R73" s="38"/>
      <c r="S73" s="38"/>
    </row>
    <row r="74" spans="1:19" x14ac:dyDescent="0.25">
      <c r="A74" s="67">
        <v>33480</v>
      </c>
      <c r="B74" s="8">
        <v>643.3913</v>
      </c>
      <c r="C74" s="53">
        <f t="shared" si="3"/>
        <v>2.350498086509778E-2</v>
      </c>
      <c r="D74" s="62"/>
      <c r="E74" s="8">
        <v>179.11</v>
      </c>
      <c r="F74" s="53">
        <f t="shared" si="2"/>
        <v>3.6696185680384241E-2</v>
      </c>
      <c r="G74" s="38"/>
      <c r="H74" s="70">
        <v>2.2599999999999999E-2</v>
      </c>
      <c r="I74" s="72"/>
      <c r="J74" s="53">
        <v>2.3199999999999998E-2</v>
      </c>
      <c r="K74" s="38"/>
      <c r="L74" s="38"/>
      <c r="M74" s="38"/>
      <c r="N74" s="38"/>
      <c r="O74" s="38"/>
      <c r="P74" s="38"/>
      <c r="Q74" s="38"/>
      <c r="R74" s="38"/>
      <c r="S74" s="38"/>
    </row>
    <row r="75" spans="1:19" x14ac:dyDescent="0.25">
      <c r="A75" s="67">
        <v>33511</v>
      </c>
      <c r="B75" s="8">
        <v>632.62040000000002</v>
      </c>
      <c r="C75" s="53">
        <f t="shared" si="3"/>
        <v>-1.6740823197329502E-2</v>
      </c>
      <c r="D75" s="62"/>
      <c r="E75" s="8">
        <v>180.15</v>
      </c>
      <c r="F75" s="53">
        <f t="shared" si="2"/>
        <v>5.8064876332979409E-3</v>
      </c>
      <c r="G75" s="38"/>
      <c r="H75" s="70">
        <v>2.06E-2</v>
      </c>
      <c r="I75" s="72"/>
      <c r="J75" s="53">
        <v>2.1099999999999997E-2</v>
      </c>
      <c r="K75" s="38"/>
      <c r="L75" s="38"/>
      <c r="M75" s="38"/>
      <c r="N75" s="38"/>
      <c r="O75" s="38"/>
      <c r="P75" s="38"/>
      <c r="Q75" s="38"/>
      <c r="R75" s="38"/>
      <c r="S75" s="38"/>
    </row>
    <row r="76" spans="1:19" x14ac:dyDescent="0.25">
      <c r="A76" s="67">
        <v>33542</v>
      </c>
      <c r="B76" s="8">
        <v>641.09979999999996</v>
      </c>
      <c r="C76" s="53">
        <f t="shared" si="3"/>
        <v>1.3403614553055831E-2</v>
      </c>
      <c r="D76" s="62"/>
      <c r="E76" s="8">
        <v>184.97</v>
      </c>
      <c r="F76" s="53">
        <f t="shared" si="2"/>
        <v>2.6755481543158544E-2</v>
      </c>
      <c r="G76" s="38"/>
      <c r="H76" s="70">
        <v>9.4999999999999998E-3</v>
      </c>
      <c r="I76" s="72"/>
      <c r="J76" s="53">
        <v>8.8999999999999999E-3</v>
      </c>
      <c r="K76" s="38"/>
      <c r="L76" s="38"/>
      <c r="M76" s="38"/>
      <c r="N76" s="38"/>
      <c r="O76" s="38"/>
      <c r="P76" s="38"/>
      <c r="Q76" s="38"/>
      <c r="R76" s="38"/>
      <c r="S76" s="38"/>
    </row>
    <row r="77" spans="1:19" x14ac:dyDescent="0.25">
      <c r="A77" s="67">
        <v>33571</v>
      </c>
      <c r="B77" s="8">
        <v>615.30849999999998</v>
      </c>
      <c r="C77" s="53">
        <f t="shared" si="3"/>
        <v>-4.0229773897917265E-2</v>
      </c>
      <c r="D77" s="62"/>
      <c r="E77" s="8">
        <v>176.37</v>
      </c>
      <c r="F77" s="53">
        <f t="shared" si="2"/>
        <v>-4.649402605827968E-2</v>
      </c>
      <c r="G77" s="38"/>
      <c r="H77" s="70">
        <v>9.7999999999999997E-3</v>
      </c>
      <c r="I77" s="72"/>
      <c r="J77" s="53">
        <v>0.01</v>
      </c>
      <c r="K77" s="38"/>
      <c r="L77" s="38"/>
      <c r="M77" s="38"/>
      <c r="N77" s="38"/>
      <c r="O77" s="38"/>
      <c r="P77" s="38"/>
      <c r="Q77" s="38"/>
      <c r="R77" s="38"/>
      <c r="S77" s="38"/>
    </row>
    <row r="78" spans="1:19" x14ac:dyDescent="0.25">
      <c r="A78" s="67">
        <v>33603</v>
      </c>
      <c r="B78" s="8">
        <v>685.5308</v>
      </c>
      <c r="C78" s="53">
        <f t="shared" si="3"/>
        <v>0.11412535337964624</v>
      </c>
      <c r="D78" s="62"/>
      <c r="E78" s="8">
        <v>189.91</v>
      </c>
      <c r="F78" s="53">
        <f t="shared" si="2"/>
        <v>7.6770425809377985E-2</v>
      </c>
      <c r="G78" s="38"/>
      <c r="H78" s="70">
        <v>3.27E-2</v>
      </c>
      <c r="I78" s="72"/>
      <c r="J78" s="53">
        <v>3.4599999999999999E-2</v>
      </c>
      <c r="K78" s="38"/>
      <c r="L78" s="38"/>
      <c r="M78" s="38"/>
      <c r="N78" s="38"/>
      <c r="O78" s="38"/>
      <c r="P78" s="38"/>
      <c r="Q78" s="38"/>
      <c r="R78" s="38"/>
      <c r="S78" s="38"/>
    </row>
    <row r="79" spans="1:19" x14ac:dyDescent="0.25">
      <c r="A79" s="67">
        <v>33634</v>
      </c>
      <c r="B79" s="8">
        <v>672.77359999999999</v>
      </c>
      <c r="C79" s="53">
        <f t="shared" si="3"/>
        <v>-1.8609229519665704E-2</v>
      </c>
      <c r="D79" s="62"/>
      <c r="E79" s="8">
        <v>205.16</v>
      </c>
      <c r="F79" s="53">
        <f t="shared" si="2"/>
        <v>8.0301195303038364E-2</v>
      </c>
      <c r="G79" s="38"/>
      <c r="H79" s="70">
        <v>-1.2500000000000001E-2</v>
      </c>
      <c r="I79" s="72"/>
      <c r="J79" s="53">
        <v>-1.6E-2</v>
      </c>
      <c r="K79" s="38"/>
      <c r="L79" s="38"/>
      <c r="M79" s="38"/>
      <c r="N79" s="38"/>
      <c r="O79" s="38"/>
      <c r="P79" s="38"/>
      <c r="Q79" s="38"/>
      <c r="R79" s="38"/>
      <c r="S79" s="38"/>
    </row>
    <row r="80" spans="1:19" x14ac:dyDescent="0.25">
      <c r="A80" s="67">
        <v>33662</v>
      </c>
      <c r="B80" s="8">
        <v>681.47479999999996</v>
      </c>
      <c r="C80" s="53">
        <f t="shared" si="3"/>
        <v>1.2933325564498999E-2</v>
      </c>
      <c r="D80" s="62"/>
      <c r="E80" s="8">
        <v>211.15</v>
      </c>
      <c r="F80" s="53">
        <f t="shared" si="2"/>
        <v>2.9196724507701388E-2</v>
      </c>
      <c r="G80" s="38"/>
      <c r="H80" s="70">
        <v>9.5906599999999991E-3</v>
      </c>
      <c r="I80" s="72"/>
      <c r="J80" s="53">
        <v>3.8765200000000001E-3</v>
      </c>
      <c r="K80" s="38"/>
      <c r="L80" s="38"/>
      <c r="M80" s="38"/>
      <c r="N80" s="38"/>
      <c r="O80" s="38"/>
      <c r="P80" s="38"/>
      <c r="Q80" s="38"/>
      <c r="R80" s="38"/>
      <c r="S80" s="38"/>
    </row>
    <row r="81" spans="1:19" x14ac:dyDescent="0.25">
      <c r="A81" s="67">
        <v>33694</v>
      </c>
      <c r="B81" s="8">
        <v>668.23270000000002</v>
      </c>
      <c r="C81" s="53">
        <f t="shared" si="3"/>
        <v>-1.9431532904811699E-2</v>
      </c>
      <c r="D81" s="62"/>
      <c r="E81" s="8">
        <v>203.69</v>
      </c>
      <c r="F81" s="53">
        <f t="shared" si="2"/>
        <v>-3.5330333885863152E-2</v>
      </c>
      <c r="G81" s="38"/>
      <c r="H81" s="70">
        <v>-4.2897099999999995E-3</v>
      </c>
      <c r="I81" s="72"/>
      <c r="J81" s="53">
        <v>-6.0103600000000002E-3</v>
      </c>
      <c r="K81" s="38"/>
      <c r="L81" s="38"/>
      <c r="M81" s="38"/>
      <c r="N81" s="38"/>
      <c r="O81" s="38"/>
      <c r="P81" s="38"/>
      <c r="Q81" s="38"/>
      <c r="R81" s="38"/>
      <c r="S81" s="38"/>
    </row>
    <row r="82" spans="1:19" x14ac:dyDescent="0.25">
      <c r="A82" s="67">
        <v>33724</v>
      </c>
      <c r="B82" s="8">
        <v>687.82730000000004</v>
      </c>
      <c r="C82" s="53">
        <f t="shared" si="3"/>
        <v>2.9323018762775321E-2</v>
      </c>
      <c r="D82" s="62"/>
      <c r="E82" s="8">
        <v>196.25</v>
      </c>
      <c r="F82" s="53">
        <f t="shared" si="2"/>
        <v>-3.652609357356762E-2</v>
      </c>
      <c r="G82" s="38"/>
      <c r="H82" s="70">
        <v>4.9810200000000001E-3</v>
      </c>
      <c r="I82" s="72"/>
      <c r="J82" s="53">
        <v>6.2661900000000005E-3</v>
      </c>
      <c r="K82" s="38"/>
      <c r="L82" s="38"/>
      <c r="M82" s="38"/>
      <c r="N82" s="38"/>
      <c r="O82" s="38"/>
      <c r="P82" s="38"/>
      <c r="Q82" s="38"/>
      <c r="R82" s="38"/>
      <c r="S82" s="38"/>
    </row>
    <row r="83" spans="1:19" x14ac:dyDescent="0.25">
      <c r="A83" s="67">
        <v>33753</v>
      </c>
      <c r="B83" s="8">
        <v>691.24180000000001</v>
      </c>
      <c r="C83" s="53">
        <f t="shared" si="3"/>
        <v>4.964182142813911E-3</v>
      </c>
      <c r="D83" s="62"/>
      <c r="E83" s="8">
        <v>198.52</v>
      </c>
      <c r="F83" s="53">
        <f t="shared" si="2"/>
        <v>1.1566878980891815E-2</v>
      </c>
      <c r="G83" s="38"/>
      <c r="H83" s="70">
        <v>2.234775E-2</v>
      </c>
      <c r="I83" s="72"/>
      <c r="J83" s="53">
        <v>1.837921E-2</v>
      </c>
      <c r="K83" s="38"/>
      <c r="L83" s="38"/>
      <c r="M83" s="38"/>
      <c r="N83" s="38"/>
      <c r="O83" s="38"/>
      <c r="P83" s="38"/>
      <c r="Q83" s="38"/>
      <c r="R83" s="38"/>
      <c r="S83" s="38"/>
    </row>
    <row r="84" spans="1:19" x14ac:dyDescent="0.25">
      <c r="A84" s="67">
        <v>33785</v>
      </c>
      <c r="B84" s="8">
        <v>680.96259999999995</v>
      </c>
      <c r="C84" s="53">
        <f t="shared" si="3"/>
        <v>-1.4870628483404924E-2</v>
      </c>
      <c r="D84" s="62"/>
      <c r="E84" s="8">
        <v>188.64</v>
      </c>
      <c r="F84" s="53">
        <f t="shared" si="2"/>
        <v>-4.9768285311303728E-2</v>
      </c>
      <c r="G84" s="38"/>
      <c r="H84" s="70">
        <v>1.5642759999999999E-2</v>
      </c>
      <c r="I84" s="72"/>
      <c r="J84" s="53">
        <v>1.4490449999999998E-2</v>
      </c>
      <c r="K84" s="38"/>
      <c r="L84" s="38"/>
      <c r="M84" s="38"/>
      <c r="N84" s="38"/>
      <c r="O84" s="38"/>
      <c r="P84" s="38"/>
      <c r="Q84" s="38"/>
      <c r="R84" s="38"/>
      <c r="S84" s="38"/>
    </row>
    <row r="85" spans="1:19" x14ac:dyDescent="0.25">
      <c r="A85" s="67">
        <v>33816</v>
      </c>
      <c r="B85" s="8">
        <v>708.75850000000003</v>
      </c>
      <c r="C85" s="53">
        <f t="shared" si="3"/>
        <v>4.0818541282590326E-2</v>
      </c>
      <c r="D85" s="62"/>
      <c r="E85" s="8">
        <v>194.74</v>
      </c>
      <c r="F85" s="53">
        <f t="shared" si="2"/>
        <v>3.2336726039016161E-2</v>
      </c>
      <c r="G85" s="38"/>
      <c r="H85" s="70">
        <v>2.6690599999999998E-2</v>
      </c>
      <c r="I85" s="72"/>
      <c r="J85" s="53">
        <v>2.5493000000000002E-2</v>
      </c>
      <c r="K85" s="38"/>
      <c r="L85" s="38"/>
      <c r="M85" s="38"/>
      <c r="N85" s="38"/>
      <c r="O85" s="38"/>
      <c r="P85" s="38"/>
      <c r="Q85" s="38"/>
      <c r="R85" s="38"/>
      <c r="S85" s="38"/>
    </row>
    <row r="86" spans="1:19" x14ac:dyDescent="0.25">
      <c r="A86" s="67">
        <v>33847</v>
      </c>
      <c r="B86" s="8">
        <v>694.27449999999999</v>
      </c>
      <c r="C86" s="53">
        <f t="shared" si="3"/>
        <v>-2.0435733751341334E-2</v>
      </c>
      <c r="D86" s="62"/>
      <c r="E86" s="8">
        <v>188.79</v>
      </c>
      <c r="F86" s="53">
        <f t="shared" si="2"/>
        <v>-3.0553558590941887E-2</v>
      </c>
      <c r="G86" s="38"/>
      <c r="H86" s="70">
        <v>7.7692899999999999E-3</v>
      </c>
      <c r="I86" s="72"/>
      <c r="J86" s="53">
        <v>9.4636700000000004E-3</v>
      </c>
      <c r="K86" s="38"/>
      <c r="L86" s="38"/>
      <c r="M86" s="38"/>
      <c r="N86" s="38"/>
      <c r="O86" s="38"/>
      <c r="P86" s="38"/>
      <c r="Q86" s="38"/>
      <c r="R86" s="38"/>
      <c r="S86" s="38"/>
    </row>
    <row r="87" spans="1:19" x14ac:dyDescent="0.25">
      <c r="A87" s="67">
        <v>33877</v>
      </c>
      <c r="B87" s="8">
        <v>702.43820000000005</v>
      </c>
      <c r="C87" s="53">
        <f t="shared" si="3"/>
        <v>1.1758605565954205E-2</v>
      </c>
      <c r="D87" s="62"/>
      <c r="E87" s="8">
        <v>192.88</v>
      </c>
      <c r="F87" s="53">
        <f t="shared" si="2"/>
        <v>2.1664283065840451E-2</v>
      </c>
      <c r="G87" s="38"/>
      <c r="H87" s="70">
        <v>1.2128399999999999E-2</v>
      </c>
      <c r="I87" s="72"/>
      <c r="J87" s="53">
        <v>1.4582619999999999E-2</v>
      </c>
      <c r="K87" s="38"/>
      <c r="L87" s="38"/>
      <c r="M87" s="38"/>
      <c r="N87" s="38"/>
      <c r="O87" s="38"/>
      <c r="P87" s="38"/>
      <c r="Q87" s="38"/>
      <c r="R87" s="38"/>
      <c r="S87" s="38"/>
    </row>
    <row r="88" spans="1:19" x14ac:dyDescent="0.25">
      <c r="A88" s="67">
        <v>33907</v>
      </c>
      <c r="B88" s="8">
        <v>704.84659999999997</v>
      </c>
      <c r="C88" s="53">
        <f t="shared" si="3"/>
        <v>3.4286290238769723E-3</v>
      </c>
      <c r="D88" s="62"/>
      <c r="E88" s="8">
        <v>198.89</v>
      </c>
      <c r="F88" s="53">
        <f t="shared" si="2"/>
        <v>3.1159270012443008E-2</v>
      </c>
      <c r="G88" s="38"/>
      <c r="H88" s="70">
        <v>-1.778418E-2</v>
      </c>
      <c r="I88" s="72"/>
      <c r="J88" s="53">
        <v>-1.468801E-2</v>
      </c>
      <c r="K88" s="38"/>
      <c r="L88" s="38"/>
      <c r="M88" s="38"/>
      <c r="N88" s="38"/>
      <c r="O88" s="38"/>
      <c r="P88" s="38"/>
      <c r="Q88" s="38"/>
      <c r="R88" s="38"/>
      <c r="S88" s="38"/>
    </row>
    <row r="89" spans="1:19" x14ac:dyDescent="0.25">
      <c r="A89" s="67">
        <v>33938</v>
      </c>
      <c r="B89" s="8">
        <v>728.77570000000003</v>
      </c>
      <c r="C89" s="53">
        <f t="shared" si="3"/>
        <v>3.3949372813886214E-2</v>
      </c>
      <c r="D89" s="62"/>
      <c r="E89" s="8">
        <v>213.81</v>
      </c>
      <c r="F89" s="53">
        <f t="shared" si="2"/>
        <v>7.5016340690834182E-2</v>
      </c>
      <c r="G89" s="38"/>
      <c r="H89" s="70">
        <v>1.5990199999999998E-3</v>
      </c>
      <c r="I89" s="72"/>
      <c r="J89" s="53">
        <v>-2.0436299999999998E-3</v>
      </c>
      <c r="K89" s="38"/>
      <c r="L89" s="38"/>
      <c r="M89" s="38"/>
      <c r="N89" s="38"/>
      <c r="O89" s="38"/>
      <c r="P89" s="38"/>
      <c r="Q89" s="38"/>
      <c r="R89" s="38"/>
      <c r="S89" s="38"/>
    </row>
    <row r="90" spans="1:19" x14ac:dyDescent="0.25">
      <c r="A90" s="67">
        <v>33969</v>
      </c>
      <c r="B90" s="8">
        <v>737.70460000000003</v>
      </c>
      <c r="C90" s="53">
        <f t="shared" si="3"/>
        <v>1.2251917839741333E-2</v>
      </c>
      <c r="D90" s="62"/>
      <c r="E90" s="8">
        <v>221</v>
      </c>
      <c r="F90" s="53">
        <f t="shared" si="2"/>
        <v>3.362798746550677E-2</v>
      </c>
      <c r="G90" s="38"/>
      <c r="H90" s="70">
        <v>1.845101E-2</v>
      </c>
      <c r="I90" s="72"/>
      <c r="J90" s="53">
        <v>1.7017290000000001E-2</v>
      </c>
      <c r="K90" s="38"/>
      <c r="L90" s="38"/>
      <c r="M90" s="38"/>
      <c r="N90" s="38"/>
      <c r="O90" s="38"/>
      <c r="P90" s="38"/>
      <c r="Q90" s="38"/>
      <c r="R90" s="38"/>
      <c r="S90" s="38"/>
    </row>
    <row r="91" spans="1:19" x14ac:dyDescent="0.25">
      <c r="A91" s="67">
        <v>33998</v>
      </c>
      <c r="B91" s="8">
        <v>743.86580000000004</v>
      </c>
      <c r="C91" s="53">
        <f t="shared" si="3"/>
        <v>8.3518524894652391E-3</v>
      </c>
      <c r="D91" s="62"/>
      <c r="E91" s="8">
        <v>228.08</v>
      </c>
      <c r="F91" s="53">
        <f t="shared" si="2"/>
        <v>3.2036199095022644E-2</v>
      </c>
      <c r="G91" s="38"/>
      <c r="H91" s="70">
        <v>2.330517E-2</v>
      </c>
      <c r="I91" s="72"/>
      <c r="J91" s="53">
        <v>2.1459489999999998E-2</v>
      </c>
      <c r="K91" s="38"/>
      <c r="L91" s="38"/>
      <c r="M91" s="38"/>
      <c r="N91" s="38"/>
      <c r="O91" s="38"/>
      <c r="P91" s="38"/>
      <c r="Q91" s="38"/>
      <c r="R91" s="38"/>
      <c r="S91" s="38"/>
    </row>
    <row r="92" spans="1:19" x14ac:dyDescent="0.25">
      <c r="A92" s="67">
        <v>34026</v>
      </c>
      <c r="B92" s="8">
        <v>753.995</v>
      </c>
      <c r="C92" s="53">
        <f t="shared" si="3"/>
        <v>1.3616972308714725E-2</v>
      </c>
      <c r="D92" s="62"/>
      <c r="E92" s="8">
        <v>222.37</v>
      </c>
      <c r="F92" s="53">
        <f t="shared" si="2"/>
        <v>-2.5035075412136121E-2</v>
      </c>
      <c r="G92" s="38"/>
      <c r="H92" s="70">
        <v>2.2957019999999998E-2</v>
      </c>
      <c r="I92" s="72"/>
      <c r="J92" s="53">
        <v>2.0060270000000002E-2</v>
      </c>
      <c r="K92" s="38"/>
      <c r="L92" s="38"/>
      <c r="M92" s="38"/>
      <c r="N92" s="38"/>
      <c r="O92" s="38"/>
      <c r="P92" s="38"/>
      <c r="Q92" s="38"/>
      <c r="R92" s="38"/>
      <c r="S92" s="38"/>
    </row>
    <row r="93" spans="1:19" x14ac:dyDescent="0.25">
      <c r="A93" s="67">
        <v>34059</v>
      </c>
      <c r="B93" s="8">
        <v>769.90290000000005</v>
      </c>
      <c r="C93" s="53">
        <f t="shared" si="3"/>
        <v>2.1098150518239489E-2</v>
      </c>
      <c r="D93" s="62"/>
      <c r="E93" s="8">
        <v>229.2</v>
      </c>
      <c r="F93" s="53">
        <f t="shared" si="2"/>
        <v>3.0714574807752859E-2</v>
      </c>
      <c r="G93" s="38"/>
      <c r="H93" s="70">
        <v>3.4874500000000004E-3</v>
      </c>
      <c r="I93" s="72"/>
      <c r="J93" s="53">
        <v>3.3264200000000001E-3</v>
      </c>
      <c r="K93" s="38"/>
      <c r="L93" s="38"/>
      <c r="M93" s="38"/>
      <c r="N93" s="38"/>
      <c r="O93" s="38"/>
      <c r="P93" s="38"/>
      <c r="Q93" s="38"/>
      <c r="R93" s="38"/>
      <c r="S93" s="38"/>
    </row>
    <row r="94" spans="1:19" x14ac:dyDescent="0.25">
      <c r="A94" s="67">
        <v>34089</v>
      </c>
      <c r="B94" s="8">
        <v>751.29269999999997</v>
      </c>
      <c r="C94" s="53">
        <f t="shared" si="3"/>
        <v>-2.4172139110009927E-2</v>
      </c>
      <c r="D94" s="62"/>
      <c r="E94" s="8">
        <v>222.67</v>
      </c>
      <c r="F94" s="53">
        <f t="shared" si="2"/>
        <v>-2.8490401396160547E-2</v>
      </c>
      <c r="G94" s="38"/>
      <c r="H94" s="70">
        <v>7.7059399999999997E-3</v>
      </c>
      <c r="I94" s="72"/>
      <c r="J94" s="53">
        <v>7.842120000000001E-3</v>
      </c>
      <c r="K94" s="38"/>
      <c r="L94" s="38"/>
      <c r="M94" s="38"/>
      <c r="N94" s="38"/>
      <c r="O94" s="38"/>
      <c r="P94" s="38"/>
      <c r="Q94" s="38"/>
      <c r="R94" s="38"/>
      <c r="S94" s="38"/>
    </row>
    <row r="95" spans="1:19" x14ac:dyDescent="0.25">
      <c r="A95" s="67">
        <v>34120</v>
      </c>
      <c r="B95" s="8">
        <v>771.32069999999999</v>
      </c>
      <c r="C95" s="53">
        <f t="shared" si="3"/>
        <v>2.6658052181260494E-2</v>
      </c>
      <c r="D95" s="62"/>
      <c r="E95" s="8">
        <v>232.13</v>
      </c>
      <c r="F95" s="53">
        <f t="shared" si="2"/>
        <v>4.2484393946198518E-2</v>
      </c>
      <c r="G95" s="38"/>
      <c r="H95" s="70">
        <v>1.1710900000000001E-3</v>
      </c>
      <c r="I95" s="72"/>
      <c r="J95" s="53">
        <v>-1.21992E-3</v>
      </c>
      <c r="K95" s="38"/>
      <c r="L95" s="38"/>
      <c r="M95" s="38"/>
      <c r="N95" s="38"/>
      <c r="O95" s="38"/>
      <c r="P95" s="38"/>
      <c r="Q95" s="38"/>
      <c r="R95" s="38"/>
      <c r="S95" s="38"/>
    </row>
    <row r="96" spans="1:19" x14ac:dyDescent="0.25">
      <c r="A96" s="67">
        <v>34150</v>
      </c>
      <c r="B96" s="8">
        <v>773.55820000000006</v>
      </c>
      <c r="C96" s="53">
        <f t="shared" si="3"/>
        <v>2.9008686010891793E-3</v>
      </c>
      <c r="D96" s="62"/>
      <c r="E96" s="8">
        <v>233.35</v>
      </c>
      <c r="F96" s="53">
        <f t="shared" si="2"/>
        <v>5.2556756989616815E-3</v>
      </c>
      <c r="G96" s="38"/>
      <c r="H96" s="70">
        <v>2.4288660000000004E-2</v>
      </c>
      <c r="I96" s="72"/>
      <c r="J96" s="53">
        <v>2.2370519999999998E-2</v>
      </c>
      <c r="K96" s="38"/>
      <c r="L96" s="38"/>
      <c r="M96" s="38"/>
      <c r="N96" s="38"/>
      <c r="O96" s="38"/>
      <c r="P96" s="38"/>
      <c r="Q96" s="38"/>
      <c r="R96" s="38"/>
      <c r="S96" s="38"/>
    </row>
    <row r="97" spans="1:19" x14ac:dyDescent="0.25">
      <c r="A97" s="67">
        <v>34180</v>
      </c>
      <c r="B97" s="8">
        <v>770.44690000000003</v>
      </c>
      <c r="C97" s="53">
        <f t="shared" si="3"/>
        <v>-4.0220632397148792E-3</v>
      </c>
      <c r="D97" s="62"/>
      <c r="E97" s="8">
        <v>236.44</v>
      </c>
      <c r="F97" s="53">
        <f t="shared" si="2"/>
        <v>1.3241911292050546E-2</v>
      </c>
      <c r="G97" s="38"/>
      <c r="H97" s="70">
        <v>7.2320099999999997E-3</v>
      </c>
      <c r="I97" s="72"/>
      <c r="J97" s="53">
        <v>5.8898300000000004E-3</v>
      </c>
      <c r="K97" s="38"/>
      <c r="L97" s="38"/>
      <c r="M97" s="38"/>
      <c r="N97" s="38"/>
      <c r="O97" s="38"/>
      <c r="P97" s="38"/>
      <c r="Q97" s="38"/>
      <c r="R97" s="38"/>
      <c r="S97" s="38"/>
    </row>
    <row r="98" spans="1:19" x14ac:dyDescent="0.25">
      <c r="A98" s="67">
        <v>34212</v>
      </c>
      <c r="B98" s="8">
        <v>799.60130000000004</v>
      </c>
      <c r="C98" s="53">
        <f t="shared" si="3"/>
        <v>3.7840894680736703E-2</v>
      </c>
      <c r="D98" s="62"/>
      <c r="E98" s="8">
        <v>246.14</v>
      </c>
      <c r="F98" s="53">
        <f t="shared" si="2"/>
        <v>4.1025207240737549E-2</v>
      </c>
      <c r="G98" s="38"/>
      <c r="H98" s="70">
        <v>2.4870939999999998E-2</v>
      </c>
      <c r="I98" s="72"/>
      <c r="J98" s="53">
        <v>2.2267899999999997E-2</v>
      </c>
      <c r="K98" s="38"/>
      <c r="L98" s="38"/>
      <c r="M98" s="38"/>
      <c r="N98" s="38"/>
      <c r="O98" s="38"/>
      <c r="P98" s="38"/>
      <c r="Q98" s="38"/>
      <c r="R98" s="38"/>
      <c r="S98" s="38"/>
    </row>
    <row r="99" spans="1:19" x14ac:dyDescent="0.25">
      <c r="A99" s="67">
        <v>34242</v>
      </c>
      <c r="B99" s="8">
        <v>793.4384</v>
      </c>
      <c r="C99" s="53">
        <f t="shared" si="3"/>
        <v>-7.707466208471736E-3</v>
      </c>
      <c r="D99" s="62"/>
      <c r="E99" s="8">
        <v>252.95</v>
      </c>
      <c r="F99" s="53">
        <f t="shared" si="2"/>
        <v>2.7667181278946851E-2</v>
      </c>
      <c r="G99" s="38"/>
      <c r="H99" s="70">
        <v>2.3832800000000002E-3</v>
      </c>
      <c r="I99" s="72"/>
      <c r="J99" s="53">
        <v>3.9182399999999999E-3</v>
      </c>
      <c r="K99" s="38"/>
      <c r="L99" s="38"/>
      <c r="M99" s="38"/>
      <c r="N99" s="38"/>
      <c r="O99" s="38"/>
      <c r="P99" s="38"/>
      <c r="Q99" s="38"/>
      <c r="R99" s="38"/>
      <c r="S99" s="38"/>
    </row>
    <row r="100" spans="1:19" x14ac:dyDescent="0.25">
      <c r="A100" s="67">
        <v>34271</v>
      </c>
      <c r="B100" s="8">
        <v>809.84050000000002</v>
      </c>
      <c r="C100" s="53">
        <f t="shared" si="3"/>
        <v>2.0672178205642711E-2</v>
      </c>
      <c r="D100" s="62"/>
      <c r="E100" s="8">
        <v>259.18</v>
      </c>
      <c r="F100" s="53">
        <f t="shared" si="2"/>
        <v>2.4629373393951548E-2</v>
      </c>
      <c r="G100" s="38"/>
      <c r="H100" s="70">
        <v>5.0347399999999994E-3</v>
      </c>
      <c r="I100" s="72"/>
      <c r="J100" s="53">
        <v>3.7357499999999999E-3</v>
      </c>
      <c r="K100" s="38"/>
      <c r="L100" s="38"/>
      <c r="M100" s="38"/>
      <c r="N100" s="38"/>
      <c r="O100" s="38"/>
      <c r="P100" s="38"/>
      <c r="Q100" s="38"/>
      <c r="R100" s="38"/>
      <c r="S100" s="38"/>
    </row>
    <row r="101" spans="1:19" x14ac:dyDescent="0.25">
      <c r="A101" s="67">
        <v>34303</v>
      </c>
      <c r="B101" s="8">
        <v>802.11919999999998</v>
      </c>
      <c r="C101" s="53">
        <f t="shared" si="3"/>
        <v>-9.5343465781225767E-3</v>
      </c>
      <c r="D101" s="62"/>
      <c r="E101" s="8">
        <v>250.41</v>
      </c>
      <c r="F101" s="53">
        <f t="shared" si="2"/>
        <v>-3.3837487460452231E-2</v>
      </c>
      <c r="G101" s="38"/>
      <c r="H101" s="70">
        <v>-1.227291E-2</v>
      </c>
      <c r="I101" s="72"/>
      <c r="J101" s="53">
        <v>-1.0972559999999999E-2</v>
      </c>
      <c r="K101" s="38"/>
      <c r="L101" s="38"/>
      <c r="M101" s="38"/>
      <c r="N101" s="38"/>
      <c r="O101" s="38"/>
      <c r="P101" s="38"/>
      <c r="Q101" s="38"/>
      <c r="R101" s="38"/>
      <c r="S101" s="38"/>
    </row>
    <row r="102" spans="1:19" x14ac:dyDescent="0.25">
      <c r="A102" s="67">
        <v>34334</v>
      </c>
      <c r="B102" s="8">
        <v>811.79780000000005</v>
      </c>
      <c r="C102" s="53">
        <f t="shared" si="3"/>
        <v>1.2066286407307114E-2</v>
      </c>
      <c r="D102" s="62"/>
      <c r="E102" s="8">
        <v>258.58999999999997</v>
      </c>
      <c r="F102" s="53">
        <f t="shared" si="2"/>
        <v>3.2666427059622194E-2</v>
      </c>
      <c r="G102" s="38"/>
      <c r="H102" s="70">
        <v>5.8698099999999996E-3</v>
      </c>
      <c r="I102" s="72"/>
      <c r="J102" s="53">
        <v>3.8697100000000002E-3</v>
      </c>
      <c r="K102" s="38"/>
      <c r="L102" s="38"/>
      <c r="M102" s="38"/>
      <c r="N102" s="38"/>
      <c r="O102" s="38"/>
      <c r="P102" s="38"/>
      <c r="Q102" s="38"/>
      <c r="R102" s="38"/>
      <c r="S102" s="38"/>
    </row>
    <row r="103" spans="1:19" x14ac:dyDescent="0.25">
      <c r="A103" s="67">
        <v>34365</v>
      </c>
      <c r="B103" s="8">
        <v>839.37530000000004</v>
      </c>
      <c r="C103" s="53">
        <f t="shared" si="3"/>
        <v>3.3970897679200363E-2</v>
      </c>
      <c r="D103" s="62"/>
      <c r="E103" s="8">
        <v>266.52</v>
      </c>
      <c r="F103" s="53">
        <f t="shared" si="2"/>
        <v>3.0666305734947219E-2</v>
      </c>
      <c r="G103" s="38"/>
      <c r="H103" s="70">
        <v>1.9413630000000001E-2</v>
      </c>
      <c r="I103" s="72"/>
      <c r="J103" s="53">
        <v>1.3777349999999999E-2</v>
      </c>
      <c r="K103" s="38"/>
      <c r="L103" s="38"/>
      <c r="M103" s="38"/>
      <c r="N103" s="38"/>
      <c r="O103" s="38"/>
      <c r="P103" s="38"/>
      <c r="Q103" s="38"/>
      <c r="R103" s="38"/>
      <c r="S103" s="38"/>
    </row>
    <row r="104" spans="1:19" x14ac:dyDescent="0.25">
      <c r="A104" s="67">
        <v>34393</v>
      </c>
      <c r="B104" s="8">
        <v>816.61249999999995</v>
      </c>
      <c r="C104" s="53">
        <f t="shared" si="3"/>
        <v>-2.7118739376772338E-2</v>
      </c>
      <c r="D104" s="62"/>
      <c r="E104" s="8">
        <v>265.52999999999997</v>
      </c>
      <c r="F104" s="53">
        <f t="shared" si="2"/>
        <v>-3.7145429986492617E-3</v>
      </c>
      <c r="G104" s="38"/>
      <c r="H104" s="70">
        <v>-2.361096E-2</v>
      </c>
      <c r="I104" s="72"/>
      <c r="J104" s="53">
        <v>-2.1472500000000002E-2</v>
      </c>
      <c r="K104" s="38"/>
      <c r="L104" s="38"/>
      <c r="M104" s="38"/>
      <c r="N104" s="38"/>
      <c r="O104" s="38"/>
      <c r="P104" s="38"/>
      <c r="Q104" s="38"/>
      <c r="R104" s="38"/>
      <c r="S104" s="38"/>
    </row>
    <row r="105" spans="1:19" x14ac:dyDescent="0.25">
      <c r="A105" s="67">
        <v>34424</v>
      </c>
      <c r="B105" s="8">
        <v>781.09140000000002</v>
      </c>
      <c r="C105" s="53">
        <f t="shared" si="3"/>
        <v>-4.3498109568491761E-2</v>
      </c>
      <c r="D105" s="62"/>
      <c r="E105" s="8">
        <v>251.06</v>
      </c>
      <c r="F105" s="53">
        <f t="shared" si="2"/>
        <v>-5.44947840168718E-2</v>
      </c>
      <c r="G105" s="38"/>
      <c r="H105" s="70">
        <v>-3.0694740000000002E-2</v>
      </c>
      <c r="I105" s="72"/>
      <c r="J105" s="53">
        <v>-2.2439250000000001E-2</v>
      </c>
      <c r="K105" s="38"/>
      <c r="L105" s="38"/>
      <c r="M105" s="38"/>
      <c r="N105" s="38"/>
      <c r="O105" s="38"/>
      <c r="P105" s="38"/>
      <c r="Q105" s="38"/>
      <c r="R105" s="38"/>
      <c r="S105" s="38"/>
    </row>
    <row r="106" spans="1:19" x14ac:dyDescent="0.25">
      <c r="A106" s="67">
        <v>34453</v>
      </c>
      <c r="B106" s="8">
        <v>791.09730000000002</v>
      </c>
      <c r="C106" s="53">
        <f t="shared" si="3"/>
        <v>1.2810152563451638E-2</v>
      </c>
      <c r="D106" s="62"/>
      <c r="E106" s="8">
        <v>252.55</v>
      </c>
      <c r="F106" s="53">
        <f t="shared" si="2"/>
        <v>5.9348362941129551E-3</v>
      </c>
      <c r="G106" s="38"/>
      <c r="H106" s="70">
        <v>-9.6224399999999995E-3</v>
      </c>
      <c r="I106" s="72"/>
      <c r="J106" s="53">
        <v>-7.8226800000000003E-3</v>
      </c>
      <c r="K106" s="38"/>
      <c r="L106" s="38"/>
      <c r="M106" s="38"/>
      <c r="N106" s="38"/>
      <c r="O106" s="38"/>
      <c r="P106" s="38"/>
      <c r="Q106" s="38"/>
      <c r="R106" s="38"/>
      <c r="S106" s="38"/>
    </row>
    <row r="107" spans="1:19" x14ac:dyDescent="0.25">
      <c r="A107" s="67">
        <v>34485</v>
      </c>
      <c r="B107" s="8">
        <v>804.01760000000002</v>
      </c>
      <c r="C107" s="53">
        <f t="shared" si="3"/>
        <v>1.6332125011676801E-2</v>
      </c>
      <c r="D107" s="62"/>
      <c r="E107" s="8">
        <v>249.28</v>
      </c>
      <c r="F107" s="53">
        <f t="shared" si="2"/>
        <v>-1.2947931102751942E-2</v>
      </c>
      <c r="G107" s="38"/>
      <c r="H107" s="70">
        <v>-3.6918599999999999E-3</v>
      </c>
      <c r="I107" s="72"/>
      <c r="J107" s="53">
        <v>-1.21295E-3</v>
      </c>
      <c r="K107" s="38"/>
      <c r="L107" s="38"/>
      <c r="M107" s="38"/>
      <c r="N107" s="38"/>
      <c r="O107" s="38"/>
      <c r="P107" s="38"/>
      <c r="Q107" s="38"/>
      <c r="R107" s="38"/>
      <c r="S107" s="38"/>
    </row>
    <row r="108" spans="1:19" x14ac:dyDescent="0.25">
      <c r="A108" s="67">
        <v>34515</v>
      </c>
      <c r="B108" s="8">
        <v>784.35829999999999</v>
      </c>
      <c r="C108" s="53">
        <f t="shared" si="3"/>
        <v>-2.4451330418637673E-2</v>
      </c>
      <c r="D108" s="62"/>
      <c r="E108" s="8">
        <v>240.28</v>
      </c>
      <c r="F108" s="53">
        <f t="shared" si="2"/>
        <v>-3.6103979460847202E-2</v>
      </c>
      <c r="G108" s="38"/>
      <c r="H108" s="70">
        <v>-2.4560799999999998E-3</v>
      </c>
      <c r="I108" s="72"/>
      <c r="J108" s="53">
        <v>-2.2403600000000003E-3</v>
      </c>
      <c r="K108" s="38"/>
      <c r="L108" s="38"/>
      <c r="M108" s="38"/>
      <c r="N108" s="38"/>
      <c r="O108" s="38"/>
      <c r="P108" s="38"/>
      <c r="Q108" s="38"/>
      <c r="R108" s="38"/>
      <c r="S108" s="38"/>
    </row>
    <row r="109" spans="1:19" x14ac:dyDescent="0.25">
      <c r="A109" s="67">
        <v>34544</v>
      </c>
      <c r="B109" s="8">
        <v>810.05550000000005</v>
      </c>
      <c r="C109" s="53">
        <f t="shared" si="3"/>
        <v>3.2762068049767556E-2</v>
      </c>
      <c r="D109" s="62"/>
      <c r="E109" s="8">
        <v>244.06</v>
      </c>
      <c r="F109" s="53">
        <f t="shared" si="2"/>
        <v>1.5731646412518785E-2</v>
      </c>
      <c r="G109" s="38"/>
      <c r="H109" s="70">
        <v>2.5253800000000003E-2</v>
      </c>
      <c r="I109" s="72"/>
      <c r="J109" s="53">
        <v>1.8227449999999999E-2</v>
      </c>
      <c r="K109" s="38"/>
      <c r="L109" s="38"/>
      <c r="M109" s="38"/>
      <c r="N109" s="38"/>
      <c r="O109" s="38"/>
      <c r="P109" s="38"/>
      <c r="Q109" s="38"/>
      <c r="R109" s="38"/>
      <c r="S109" s="38"/>
    </row>
    <row r="110" spans="1:19" x14ac:dyDescent="0.25">
      <c r="A110" s="67">
        <v>34577</v>
      </c>
      <c r="B110" s="8">
        <v>843.19039999999995</v>
      </c>
      <c r="C110" s="53">
        <f t="shared" si="3"/>
        <v>4.0904481236162082E-2</v>
      </c>
      <c r="D110" s="62"/>
      <c r="E110" s="8">
        <v>257.31</v>
      </c>
      <c r="F110" s="53">
        <f t="shared" si="2"/>
        <v>5.4289928706055868E-2</v>
      </c>
      <c r="G110" s="38"/>
      <c r="H110" s="70">
        <v>1.1235500000000001E-3</v>
      </c>
      <c r="I110" s="72"/>
      <c r="J110" s="53">
        <v>2.3102000000000002E-4</v>
      </c>
      <c r="K110" s="38"/>
      <c r="L110" s="38"/>
      <c r="M110" s="38"/>
      <c r="N110" s="38"/>
      <c r="O110" s="38"/>
      <c r="P110" s="38"/>
      <c r="Q110" s="38"/>
      <c r="R110" s="38"/>
      <c r="S110" s="38"/>
    </row>
    <row r="111" spans="1:19" x14ac:dyDescent="0.25">
      <c r="A111" s="67">
        <v>34607</v>
      </c>
      <c r="B111" s="8">
        <v>822.56799999999998</v>
      </c>
      <c r="C111" s="53">
        <f t="shared" si="3"/>
        <v>-2.4457583957312568E-2</v>
      </c>
      <c r="D111" s="62"/>
      <c r="E111" s="8">
        <v>256.13</v>
      </c>
      <c r="F111" s="53">
        <f t="shared" si="2"/>
        <v>-4.5859080486573278E-3</v>
      </c>
      <c r="G111" s="38"/>
      <c r="H111" s="70">
        <v>-1.8631580000000002E-2</v>
      </c>
      <c r="I111" s="72"/>
      <c r="J111" s="53">
        <v>-1.4046099999999999E-2</v>
      </c>
      <c r="K111" s="38"/>
      <c r="L111" s="38"/>
      <c r="M111" s="38"/>
      <c r="N111" s="38"/>
      <c r="O111" s="38"/>
      <c r="P111" s="38"/>
      <c r="Q111" s="38"/>
      <c r="R111" s="38"/>
      <c r="S111" s="38"/>
    </row>
    <row r="112" spans="1:19" x14ac:dyDescent="0.25">
      <c r="A112" s="67">
        <v>34638</v>
      </c>
      <c r="B112" s="8">
        <v>841.00879999999995</v>
      </c>
      <c r="C112" s="53">
        <f t="shared" si="3"/>
        <v>2.2418572081578603E-2</v>
      </c>
      <c r="D112" s="62"/>
      <c r="E112" s="8">
        <v>255.03</v>
      </c>
      <c r="F112" s="53">
        <f t="shared" si="2"/>
        <v>-4.2946941006519745E-3</v>
      </c>
      <c r="G112" s="38"/>
      <c r="H112" s="70">
        <v>-2.2924600000000001E-3</v>
      </c>
      <c r="I112" s="72"/>
      <c r="J112" s="53">
        <v>-6.2441999999999999E-4</v>
      </c>
      <c r="K112" s="38"/>
      <c r="L112" s="38"/>
      <c r="M112" s="38"/>
      <c r="N112" s="38"/>
      <c r="O112" s="38"/>
      <c r="P112" s="38"/>
      <c r="Q112" s="38"/>
      <c r="R112" s="38"/>
      <c r="S112" s="38"/>
    </row>
    <row r="113" spans="1:19" x14ac:dyDescent="0.25">
      <c r="A113" s="67">
        <v>34668</v>
      </c>
      <c r="B113" s="8">
        <v>810.42219999999998</v>
      </c>
      <c r="C113" s="53">
        <f t="shared" si="3"/>
        <v>-3.6368941680515077E-2</v>
      </c>
      <c r="D113" s="62"/>
      <c r="E113" s="8">
        <v>244.25</v>
      </c>
      <c r="F113" s="53">
        <f t="shared" si="2"/>
        <v>-4.2269536917225459E-2</v>
      </c>
      <c r="G113" s="38"/>
      <c r="H113" s="70">
        <v>-1.64061E-3</v>
      </c>
      <c r="I113" s="72"/>
      <c r="J113" s="53">
        <v>-2.0175599999999998E-3</v>
      </c>
      <c r="K113" s="38"/>
      <c r="L113" s="38"/>
      <c r="M113" s="38"/>
      <c r="N113" s="38"/>
      <c r="O113" s="38"/>
      <c r="P113" s="38"/>
      <c r="Q113" s="38"/>
      <c r="R113" s="38"/>
      <c r="S113" s="38"/>
    </row>
    <row r="114" spans="1:19" x14ac:dyDescent="0.25">
      <c r="A114" s="67">
        <v>34698</v>
      </c>
      <c r="B114" s="8">
        <v>822.37959999999998</v>
      </c>
      <c r="C114" s="53">
        <f t="shared" si="3"/>
        <v>1.4754531650292835E-2</v>
      </c>
      <c r="D114" s="62"/>
      <c r="E114" s="8">
        <v>250.38</v>
      </c>
      <c r="F114" s="53">
        <f t="shared" si="2"/>
        <v>2.509723643807571E-2</v>
      </c>
      <c r="G114" s="38"/>
      <c r="H114" s="70">
        <v>8.2640500000000002E-3</v>
      </c>
      <c r="I114" s="72"/>
      <c r="J114" s="53">
        <v>6.13774E-3</v>
      </c>
      <c r="K114" s="38"/>
      <c r="L114" s="38"/>
      <c r="M114" s="38"/>
      <c r="N114" s="38"/>
      <c r="O114" s="38"/>
      <c r="P114" s="38"/>
      <c r="Q114" s="38"/>
      <c r="R114" s="38"/>
      <c r="S114" s="38"/>
    </row>
    <row r="115" spans="1:19" x14ac:dyDescent="0.25">
      <c r="A115" s="67">
        <v>34730</v>
      </c>
      <c r="B115" s="8">
        <v>843.66139999999996</v>
      </c>
      <c r="C115" s="53">
        <f t="shared" si="3"/>
        <v>2.5878317020509689E-2</v>
      </c>
      <c r="D115" s="62"/>
      <c r="E115" s="8">
        <v>246.9008</v>
      </c>
      <c r="F115" s="53">
        <f t="shared" si="2"/>
        <v>-1.3895678568575764E-2</v>
      </c>
      <c r="G115" s="38"/>
      <c r="H115" s="70">
        <v>2.1213570000000001E-2</v>
      </c>
      <c r="I115" s="72"/>
      <c r="J115" s="53">
        <v>1.8510370000000002E-2</v>
      </c>
      <c r="K115" s="38"/>
      <c r="L115" s="38"/>
      <c r="M115" s="38"/>
      <c r="N115" s="38"/>
      <c r="O115" s="38"/>
      <c r="P115" s="38"/>
      <c r="Q115" s="38"/>
      <c r="R115" s="38"/>
      <c r="S115" s="38"/>
    </row>
    <row r="116" spans="1:19" x14ac:dyDescent="0.25">
      <c r="A116" s="67">
        <v>34758</v>
      </c>
      <c r="B116" s="8">
        <v>876.50829999999996</v>
      </c>
      <c r="C116" s="53">
        <f t="shared" si="3"/>
        <v>3.8933747591154422E-2</v>
      </c>
      <c r="D116" s="62"/>
      <c r="E116" s="8">
        <v>256.96370000000002</v>
      </c>
      <c r="F116" s="53">
        <f t="shared" si="2"/>
        <v>4.0756854574792944E-2</v>
      </c>
      <c r="G116" s="38"/>
      <c r="H116" s="70">
        <v>2.881999E-2</v>
      </c>
      <c r="I116" s="72"/>
      <c r="J116" s="53">
        <v>2.1338320000000001E-2</v>
      </c>
      <c r="K116" s="38"/>
      <c r="L116" s="38"/>
      <c r="M116" s="38"/>
      <c r="N116" s="38"/>
      <c r="O116" s="38"/>
      <c r="P116" s="38"/>
      <c r="Q116" s="38"/>
      <c r="R116" s="38"/>
      <c r="S116" s="38"/>
    </row>
    <row r="117" spans="1:19" x14ac:dyDescent="0.25">
      <c r="A117" s="67">
        <v>34789</v>
      </c>
      <c r="B117" s="8">
        <v>902.32619999999997</v>
      </c>
      <c r="C117" s="53">
        <f t="shared" si="3"/>
        <v>2.9455397056707966E-2</v>
      </c>
      <c r="D117" s="62"/>
      <c r="E117" s="8">
        <v>261.60270000000003</v>
      </c>
      <c r="F117" s="53">
        <f t="shared" si="2"/>
        <v>1.8053133574897906E-2</v>
      </c>
      <c r="G117" s="38"/>
      <c r="H117" s="70">
        <v>8.1594100000000006E-3</v>
      </c>
      <c r="I117" s="72"/>
      <c r="J117" s="53">
        <v>6.2852699999999991E-3</v>
      </c>
      <c r="K117" s="38"/>
      <c r="L117" s="38"/>
      <c r="M117" s="38"/>
      <c r="N117" s="38"/>
      <c r="O117" s="38"/>
      <c r="P117" s="38"/>
      <c r="Q117" s="38"/>
      <c r="R117" s="38"/>
      <c r="S117" s="38"/>
    </row>
    <row r="118" spans="1:19" x14ac:dyDescent="0.25">
      <c r="A118" s="67">
        <v>34817</v>
      </c>
      <c r="B118" s="8">
        <v>928.84690000000001</v>
      </c>
      <c r="C118" s="53">
        <f t="shared" si="3"/>
        <v>2.9391477272853184E-2</v>
      </c>
      <c r="D118" s="62"/>
      <c r="E118" s="8">
        <v>267.23219999999998</v>
      </c>
      <c r="F118" s="53">
        <f t="shared" si="2"/>
        <v>2.1519273310252274E-2</v>
      </c>
      <c r="G118" s="38"/>
      <c r="H118" s="70">
        <v>1.6882809999999998E-2</v>
      </c>
      <c r="I118" s="72"/>
      <c r="J118" s="53">
        <v>1.3083050000000001E-2</v>
      </c>
      <c r="K118" s="38"/>
      <c r="L118" s="38"/>
      <c r="M118" s="38"/>
      <c r="N118" s="38"/>
      <c r="O118" s="38"/>
      <c r="P118" s="38"/>
      <c r="Q118" s="38"/>
      <c r="R118" s="38"/>
      <c r="S118" s="38"/>
    </row>
    <row r="119" spans="1:19" x14ac:dyDescent="0.25">
      <c r="A119" s="67">
        <v>34850</v>
      </c>
      <c r="B119" s="8">
        <v>965.87890000000004</v>
      </c>
      <c r="C119" s="53">
        <f t="shared" si="3"/>
        <v>3.9868787848675646E-2</v>
      </c>
      <c r="D119" s="62"/>
      <c r="E119" s="8">
        <v>271.75959999999998</v>
      </c>
      <c r="F119" s="53">
        <f t="shared" si="2"/>
        <v>1.6941820633890714E-2</v>
      </c>
      <c r="G119" s="38"/>
      <c r="H119" s="70">
        <v>4.713088E-2</v>
      </c>
      <c r="I119" s="72"/>
      <c r="J119" s="53">
        <v>4.0432629999999997E-2</v>
      </c>
      <c r="K119" s="38"/>
      <c r="L119" s="38"/>
      <c r="M119" s="38"/>
      <c r="N119" s="38"/>
      <c r="O119" s="38"/>
      <c r="P119" s="38"/>
      <c r="Q119" s="38"/>
      <c r="R119" s="38"/>
      <c r="S119" s="38"/>
    </row>
    <row r="120" spans="1:19" x14ac:dyDescent="0.25">
      <c r="A120" s="67">
        <v>34880</v>
      </c>
      <c r="B120" s="8">
        <v>988.28830000000005</v>
      </c>
      <c r="C120" s="53">
        <f t="shared" si="3"/>
        <v>2.3201045182786428E-2</v>
      </c>
      <c r="D120" s="62"/>
      <c r="E120" s="8">
        <v>285.59019999999998</v>
      </c>
      <c r="F120" s="53">
        <f t="shared" si="2"/>
        <v>5.0892774349093894E-2</v>
      </c>
      <c r="G120" s="38"/>
      <c r="H120" s="70">
        <v>9.0046899999999992E-3</v>
      </c>
      <c r="I120" s="72"/>
      <c r="J120" s="53">
        <v>7.8840300000000002E-3</v>
      </c>
      <c r="K120" s="38"/>
      <c r="L120" s="38"/>
      <c r="M120" s="38"/>
      <c r="N120" s="38"/>
      <c r="O120" s="38"/>
      <c r="P120" s="38"/>
      <c r="Q120" s="38"/>
      <c r="R120" s="38"/>
      <c r="S120" s="38"/>
    </row>
    <row r="121" spans="1:19" x14ac:dyDescent="0.25">
      <c r="A121" s="67">
        <v>34911</v>
      </c>
      <c r="B121" s="8">
        <v>1021.0155</v>
      </c>
      <c r="C121" s="53">
        <f t="shared" si="3"/>
        <v>3.3115033335920252E-2</v>
      </c>
      <c r="D121" s="62"/>
      <c r="E121" s="8">
        <v>302.03719999999998</v>
      </c>
      <c r="F121" s="53">
        <f t="shared" si="2"/>
        <v>5.7589511124681358E-2</v>
      </c>
      <c r="G121" s="38"/>
      <c r="H121" s="70">
        <v>-4.4208199999999998E-3</v>
      </c>
      <c r="I121" s="72"/>
      <c r="J121" s="53">
        <v>-3.7089200000000001E-3</v>
      </c>
      <c r="K121" s="38"/>
      <c r="L121" s="38"/>
      <c r="M121" s="38"/>
      <c r="N121" s="38"/>
      <c r="O121" s="38"/>
      <c r="P121" s="38"/>
      <c r="Q121" s="38"/>
      <c r="R121" s="38"/>
      <c r="S121" s="38"/>
    </row>
    <row r="122" spans="1:19" x14ac:dyDescent="0.25">
      <c r="A122" s="67">
        <v>34942</v>
      </c>
      <c r="B122" s="8">
        <v>1023.5338</v>
      </c>
      <c r="C122" s="53">
        <f t="shared" si="3"/>
        <v>2.4664659841109327E-3</v>
      </c>
      <c r="D122" s="62"/>
      <c r="E122" s="8">
        <v>308.0958</v>
      </c>
      <c r="F122" s="53">
        <f t="shared" si="2"/>
        <v>2.0059118545662669E-2</v>
      </c>
      <c r="G122" s="38"/>
      <c r="H122" s="70">
        <v>1.612038E-2</v>
      </c>
      <c r="I122" s="72"/>
      <c r="J122" s="53">
        <v>1.159608E-2</v>
      </c>
      <c r="K122" s="38"/>
      <c r="L122" s="38"/>
      <c r="M122" s="38"/>
      <c r="N122" s="38"/>
      <c r="O122" s="38"/>
      <c r="P122" s="38"/>
      <c r="Q122" s="38"/>
      <c r="R122" s="38"/>
      <c r="S122" s="38"/>
    </row>
    <row r="123" spans="1:19" x14ac:dyDescent="0.25">
      <c r="A123" s="67">
        <v>34971</v>
      </c>
      <c r="B123" s="8">
        <v>1066.7070000000001</v>
      </c>
      <c r="C123" s="53">
        <f t="shared" si="3"/>
        <v>4.2180531800708465E-2</v>
      </c>
      <c r="D123" s="62"/>
      <c r="E123" s="8">
        <v>313.64170000000001</v>
      </c>
      <c r="F123" s="53">
        <f t="shared" si="2"/>
        <v>1.8000569952592693E-2</v>
      </c>
      <c r="G123" s="38"/>
      <c r="H123" s="70">
        <v>1.184732E-2</v>
      </c>
      <c r="I123" s="72"/>
      <c r="J123" s="53">
        <v>9.5848400000000007E-3</v>
      </c>
      <c r="K123" s="38"/>
      <c r="L123" s="38"/>
      <c r="M123" s="38"/>
      <c r="N123" s="38"/>
      <c r="O123" s="38"/>
      <c r="P123" s="38"/>
      <c r="Q123" s="38"/>
      <c r="R123" s="38"/>
      <c r="S123" s="38"/>
    </row>
    <row r="124" spans="1:19" x14ac:dyDescent="0.25">
      <c r="A124" s="67">
        <v>35003</v>
      </c>
      <c r="B124" s="8">
        <v>1062.8553999999999</v>
      </c>
      <c r="C124" s="53">
        <f t="shared" si="3"/>
        <v>-3.6107384689517685E-3</v>
      </c>
      <c r="D124" s="62"/>
      <c r="E124" s="8">
        <v>299.63940000000002</v>
      </c>
      <c r="F124" s="53">
        <f t="shared" si="2"/>
        <v>-4.464425489340218E-2</v>
      </c>
      <c r="G124" s="38"/>
      <c r="H124" s="70">
        <v>1.3018320000000002E-2</v>
      </c>
      <c r="I124" s="72"/>
      <c r="J124" s="53">
        <v>1.5457780000000001E-2</v>
      </c>
      <c r="K124" s="38"/>
      <c r="L124" s="38"/>
      <c r="M124" s="38"/>
      <c r="N124" s="38"/>
      <c r="O124" s="38"/>
      <c r="P124" s="38"/>
      <c r="Q124" s="38"/>
      <c r="R124" s="38"/>
      <c r="S124" s="38"/>
    </row>
    <row r="125" spans="1:19" x14ac:dyDescent="0.25">
      <c r="A125" s="67">
        <v>35033</v>
      </c>
      <c r="B125" s="8">
        <v>1109.4341999999999</v>
      </c>
      <c r="C125" s="53">
        <f t="shared" si="3"/>
        <v>4.3824211647228717E-2</v>
      </c>
      <c r="D125" s="62"/>
      <c r="E125" s="8">
        <v>312.53399999999999</v>
      </c>
      <c r="F125" s="53">
        <f t="shared" si="2"/>
        <v>4.3033726539300154E-2</v>
      </c>
      <c r="G125" s="38"/>
      <c r="H125" s="70">
        <v>1.9138619999999999E-2</v>
      </c>
      <c r="I125" s="72"/>
      <c r="J125" s="53">
        <v>1.5498829999999998E-2</v>
      </c>
      <c r="K125" s="38"/>
      <c r="L125" s="38"/>
      <c r="M125" s="38"/>
      <c r="N125" s="38"/>
      <c r="O125" s="38"/>
      <c r="P125" s="38"/>
      <c r="Q125" s="38"/>
      <c r="R125" s="38"/>
      <c r="S125" s="38"/>
    </row>
    <row r="126" spans="1:19" x14ac:dyDescent="0.25">
      <c r="A126" s="67">
        <v>35062</v>
      </c>
      <c r="B126" s="8">
        <v>1130.7592</v>
      </c>
      <c r="C126" s="53">
        <f t="shared" si="3"/>
        <v>1.9221509486547328E-2</v>
      </c>
      <c r="D126" s="62"/>
      <c r="E126" s="8">
        <v>320.51830000000001</v>
      </c>
      <c r="F126" s="53">
        <f t="shared" si="2"/>
        <v>2.5546980488522886E-2</v>
      </c>
      <c r="G126" s="38"/>
      <c r="H126" s="70">
        <v>1.6480640000000001E-2</v>
      </c>
      <c r="I126" s="72"/>
      <c r="J126" s="53">
        <v>1.4307780000000001E-2</v>
      </c>
      <c r="K126" s="38"/>
      <c r="L126" s="38"/>
      <c r="M126" s="38"/>
      <c r="N126" s="38"/>
      <c r="O126" s="38"/>
      <c r="P126" s="38"/>
      <c r="Q126" s="38"/>
      <c r="R126" s="38"/>
      <c r="S126" s="38"/>
    </row>
    <row r="127" spans="1:19" x14ac:dyDescent="0.25">
      <c r="A127" s="67">
        <v>35095</v>
      </c>
      <c r="B127" s="8">
        <v>1169.0836999999999</v>
      </c>
      <c r="C127" s="53">
        <f t="shared" si="3"/>
        <v>3.3892715619735725E-2</v>
      </c>
      <c r="D127" s="62"/>
      <c r="E127" s="8">
        <v>320.15980000000002</v>
      </c>
      <c r="F127" s="53">
        <f t="shared" si="2"/>
        <v>-1.1185008781089412E-3</v>
      </c>
      <c r="G127" s="38"/>
      <c r="H127" s="70">
        <v>6.4570700000000005E-3</v>
      </c>
      <c r="I127" s="72"/>
      <c r="J127" s="53">
        <v>6.3087600000000001E-3</v>
      </c>
      <c r="K127" s="38"/>
      <c r="L127" s="38"/>
      <c r="M127" s="38"/>
      <c r="N127" s="38"/>
      <c r="O127" s="38"/>
      <c r="P127" s="38"/>
      <c r="Q127" s="38"/>
      <c r="R127" s="38"/>
      <c r="S127" s="38"/>
    </row>
    <row r="128" spans="1:19" x14ac:dyDescent="0.25">
      <c r="A128" s="67">
        <v>35124</v>
      </c>
      <c r="B128" s="8">
        <v>1179.9459999999999</v>
      </c>
      <c r="C128" s="53">
        <f t="shared" si="3"/>
        <v>9.2912936858156048E-3</v>
      </c>
      <c r="D128" s="62"/>
      <c r="E128" s="8">
        <v>330.29</v>
      </c>
      <c r="F128" s="53">
        <f t="shared" si="2"/>
        <v>3.1641074238552225E-2</v>
      </c>
      <c r="G128" s="38"/>
      <c r="H128" s="70">
        <v>-2.3759269999999999E-2</v>
      </c>
      <c r="I128" s="72"/>
      <c r="J128" s="53">
        <v>-2.0478429999999999E-2</v>
      </c>
      <c r="K128" s="38"/>
      <c r="L128" s="38"/>
      <c r="M128" s="38"/>
      <c r="N128" s="38"/>
      <c r="O128" s="38"/>
      <c r="P128" s="38"/>
      <c r="Q128" s="38"/>
      <c r="R128" s="38"/>
      <c r="S128" s="38"/>
    </row>
    <row r="129" spans="1:19" x14ac:dyDescent="0.25">
      <c r="A129" s="67">
        <v>35153</v>
      </c>
      <c r="B129" s="8">
        <v>1191.3051</v>
      </c>
      <c r="C129" s="53">
        <f t="shared" si="3"/>
        <v>9.6267964805170081E-3</v>
      </c>
      <c r="D129" s="62"/>
      <c r="E129" s="8">
        <v>336.7328</v>
      </c>
      <c r="F129" s="53">
        <f t="shared" si="2"/>
        <v>1.9506494292893972E-2</v>
      </c>
      <c r="G129" s="38"/>
      <c r="H129" s="70">
        <v>-8.5219199999999988E-3</v>
      </c>
      <c r="I129" s="72"/>
      <c r="J129" s="53">
        <v>-8.6504700000000004E-3</v>
      </c>
      <c r="K129" s="38"/>
      <c r="L129" s="38"/>
      <c r="M129" s="38"/>
      <c r="N129" s="38"/>
      <c r="O129" s="38"/>
      <c r="P129" s="38"/>
      <c r="Q129" s="38"/>
      <c r="R129" s="38"/>
      <c r="S129" s="38"/>
    </row>
    <row r="130" spans="1:19" x14ac:dyDescent="0.25">
      <c r="A130" s="67">
        <v>35185</v>
      </c>
      <c r="B130" s="8">
        <v>1208.7593999999999</v>
      </c>
      <c r="C130" s="53">
        <f t="shared" si="3"/>
        <v>1.465141045732099E-2</v>
      </c>
      <c r="D130" s="62"/>
      <c r="E130" s="8">
        <v>354.84320000000002</v>
      </c>
      <c r="F130" s="53">
        <f t="shared" si="2"/>
        <v>5.3782702486957046E-2</v>
      </c>
      <c r="G130" s="38"/>
      <c r="H130" s="70">
        <v>-8.2937900000000005E-3</v>
      </c>
      <c r="I130" s="72"/>
      <c r="J130" s="53">
        <v>-6.4060100000000002E-3</v>
      </c>
      <c r="K130" s="38"/>
      <c r="L130" s="38"/>
      <c r="M130" s="38"/>
      <c r="N130" s="38"/>
      <c r="O130" s="38"/>
      <c r="P130" s="38"/>
      <c r="Q130" s="38"/>
      <c r="R130" s="38"/>
      <c r="S130" s="38"/>
    </row>
    <row r="131" spans="1:19" x14ac:dyDescent="0.25">
      <c r="A131" s="67">
        <v>35216</v>
      </c>
      <c r="B131" s="8">
        <v>1239.797</v>
      </c>
      <c r="C131" s="53">
        <f t="shared" si="3"/>
        <v>2.5677235684785638E-2</v>
      </c>
      <c r="D131" s="62"/>
      <c r="E131" s="8">
        <v>369.10520000000002</v>
      </c>
      <c r="F131" s="53">
        <f t="shared" si="2"/>
        <v>4.0192400474350354E-2</v>
      </c>
      <c r="G131" s="38"/>
      <c r="H131" s="70">
        <v>-1.75319E-3</v>
      </c>
      <c r="I131" s="72"/>
      <c r="J131" s="53">
        <v>-1.62042E-3</v>
      </c>
      <c r="K131" s="38"/>
      <c r="L131" s="38"/>
      <c r="M131" s="38"/>
      <c r="N131" s="38"/>
      <c r="O131" s="38"/>
      <c r="P131" s="38"/>
      <c r="Q131" s="38"/>
      <c r="R131" s="38"/>
      <c r="S131" s="38"/>
    </row>
    <row r="132" spans="1:19" x14ac:dyDescent="0.25">
      <c r="A132" s="67">
        <v>35244</v>
      </c>
      <c r="B132" s="8">
        <v>1244.5028</v>
      </c>
      <c r="C132" s="53">
        <f t="shared" si="3"/>
        <v>3.795621379951708E-3</v>
      </c>
      <c r="D132" s="62"/>
      <c r="E132" s="8">
        <v>354.07249999999999</v>
      </c>
      <c r="F132" s="53">
        <f t="shared" si="2"/>
        <v>-4.0727413214444064E-2</v>
      </c>
      <c r="G132" s="38"/>
      <c r="H132" s="70">
        <v>1.467516E-2</v>
      </c>
      <c r="I132" s="72"/>
      <c r="J132" s="53">
        <v>1.2681199999999998E-2</v>
      </c>
      <c r="K132" s="38"/>
      <c r="L132" s="38"/>
      <c r="M132" s="38"/>
      <c r="N132" s="38"/>
      <c r="O132" s="38"/>
      <c r="P132" s="38"/>
      <c r="Q132" s="38"/>
      <c r="R132" s="38"/>
      <c r="S132" s="38"/>
    </row>
    <row r="133" spans="1:19" x14ac:dyDescent="0.25">
      <c r="A133" s="67">
        <v>35277</v>
      </c>
      <c r="B133" s="8">
        <v>1189.4670000000001</v>
      </c>
      <c r="C133" s="53">
        <f t="shared" si="3"/>
        <v>-4.4223122679997062E-2</v>
      </c>
      <c r="D133" s="62"/>
      <c r="E133" s="8">
        <v>323.1429</v>
      </c>
      <c r="F133" s="53">
        <f t="shared" si="2"/>
        <v>-8.7353861144257139E-2</v>
      </c>
      <c r="G133" s="38"/>
      <c r="H133" s="70">
        <v>1.93027E-3</v>
      </c>
      <c r="I133" s="72"/>
      <c r="J133" s="53">
        <v>2.3673100000000001E-3</v>
      </c>
      <c r="K133" s="38"/>
      <c r="L133" s="38"/>
      <c r="M133" s="38"/>
      <c r="N133" s="38"/>
      <c r="O133" s="38"/>
      <c r="P133" s="38"/>
      <c r="Q133" s="38"/>
      <c r="R133" s="38"/>
      <c r="S133" s="38"/>
    </row>
    <row r="134" spans="1:19" x14ac:dyDescent="0.25">
      <c r="A134" s="67">
        <v>35307</v>
      </c>
      <c r="B134" s="8">
        <v>1214.5983000000001</v>
      </c>
      <c r="C134" s="53">
        <f t="shared" si="3"/>
        <v>2.1128202800077656E-2</v>
      </c>
      <c r="D134" s="62"/>
      <c r="E134" s="8">
        <v>341.91019999999997</v>
      </c>
      <c r="F134" s="53">
        <f t="shared" si="2"/>
        <v>5.8077401669663686E-2</v>
      </c>
      <c r="G134" s="38"/>
      <c r="H134" s="70">
        <v>-3.08435E-3</v>
      </c>
      <c r="I134" s="72"/>
      <c r="J134" s="53">
        <v>-2.0829200000000003E-3</v>
      </c>
      <c r="K134" s="38"/>
      <c r="L134" s="38"/>
      <c r="M134" s="38"/>
      <c r="N134" s="38"/>
      <c r="O134" s="38"/>
      <c r="P134" s="38"/>
      <c r="Q134" s="38"/>
      <c r="R134" s="38"/>
      <c r="S134" s="38"/>
    </row>
    <row r="135" spans="1:19" x14ac:dyDescent="0.25">
      <c r="A135" s="67">
        <v>35338</v>
      </c>
      <c r="B135" s="8">
        <v>1282.9021</v>
      </c>
      <c r="C135" s="53">
        <f t="shared" si="3"/>
        <v>5.6235711839873304E-2</v>
      </c>
      <c r="D135" s="62"/>
      <c r="E135" s="8">
        <v>355.22620000000001</v>
      </c>
      <c r="F135" s="53">
        <f t="shared" ref="F135:F198" si="4">E135/E134-1</f>
        <v>3.8945898659940692E-2</v>
      </c>
      <c r="G135" s="38"/>
      <c r="H135" s="70">
        <v>2.1206619999999999E-2</v>
      </c>
      <c r="I135" s="72"/>
      <c r="J135" s="53">
        <v>1.6440440000000001E-2</v>
      </c>
      <c r="K135" s="38"/>
      <c r="L135" s="38"/>
      <c r="M135" s="38"/>
      <c r="N135" s="38"/>
      <c r="O135" s="38"/>
      <c r="P135" s="38"/>
      <c r="Q135" s="38"/>
      <c r="R135" s="38"/>
      <c r="S135" s="38"/>
    </row>
    <row r="136" spans="1:19" x14ac:dyDescent="0.25">
      <c r="A136" s="67">
        <v>35369</v>
      </c>
      <c r="B136" s="8">
        <v>1318.1965</v>
      </c>
      <c r="C136" s="53">
        <f t="shared" ref="C136:C199" si="5">B136/B135-1</f>
        <v>2.7511374406511635E-2</v>
      </c>
      <c r="D136" s="62"/>
      <c r="E136" s="8">
        <v>349.65539999999999</v>
      </c>
      <c r="F136" s="53">
        <f t="shared" si="4"/>
        <v>-1.5682401804821833E-2</v>
      </c>
      <c r="G136" s="38"/>
      <c r="H136" s="70">
        <v>2.729883E-2</v>
      </c>
      <c r="I136" s="72"/>
      <c r="J136" s="53">
        <v>2.1976059999999999E-2</v>
      </c>
      <c r="K136" s="38"/>
      <c r="L136" s="38"/>
      <c r="M136" s="38"/>
      <c r="N136" s="38"/>
      <c r="O136" s="38"/>
      <c r="P136" s="38"/>
      <c r="Q136" s="38"/>
      <c r="R136" s="38"/>
      <c r="S136" s="38"/>
    </row>
    <row r="137" spans="1:19" x14ac:dyDescent="0.25">
      <c r="A137" s="67">
        <v>35398</v>
      </c>
      <c r="B137" s="8">
        <v>1417.7408</v>
      </c>
      <c r="C137" s="53">
        <f t="shared" si="5"/>
        <v>7.5515524430538328E-2</v>
      </c>
      <c r="D137" s="62"/>
      <c r="E137" s="8">
        <v>363.9896</v>
      </c>
      <c r="F137" s="53">
        <f t="shared" si="4"/>
        <v>4.0995219865044286E-2</v>
      </c>
      <c r="G137" s="38"/>
      <c r="H137" s="70">
        <v>2.137091E-2</v>
      </c>
      <c r="I137" s="72"/>
      <c r="J137" s="53">
        <v>1.7318170000000001E-2</v>
      </c>
      <c r="K137" s="38"/>
      <c r="L137" s="38"/>
      <c r="M137" s="38"/>
      <c r="N137" s="38"/>
      <c r="O137" s="38"/>
      <c r="P137" s="38"/>
      <c r="Q137" s="38"/>
      <c r="R137" s="38"/>
      <c r="S137" s="38"/>
    </row>
    <row r="138" spans="1:19" x14ac:dyDescent="0.25">
      <c r="A138" s="67">
        <v>35430</v>
      </c>
      <c r="B138" s="8">
        <v>1389.6293000000001</v>
      </c>
      <c r="C138" s="53">
        <f t="shared" si="5"/>
        <v>-1.9828377655492391E-2</v>
      </c>
      <c r="D138" s="62"/>
      <c r="E138" s="8">
        <v>373.3143</v>
      </c>
      <c r="F138" s="53">
        <f t="shared" si="4"/>
        <v>2.5618039636297274E-2</v>
      </c>
      <c r="G138" s="38"/>
      <c r="H138" s="70">
        <v>-1.3816749999999999E-2</v>
      </c>
      <c r="I138" s="72"/>
      <c r="J138" s="53">
        <v>-1.029674E-2</v>
      </c>
      <c r="K138" s="38"/>
      <c r="L138" s="38"/>
      <c r="M138" s="38"/>
      <c r="N138" s="38"/>
      <c r="O138" s="38"/>
      <c r="P138" s="38"/>
      <c r="Q138" s="38"/>
      <c r="R138" s="38"/>
      <c r="S138" s="38"/>
    </row>
    <row r="139" spans="1:19" x14ac:dyDescent="0.25">
      <c r="A139" s="67">
        <v>35461</v>
      </c>
      <c r="B139" s="8">
        <v>1476.3144</v>
      </c>
      <c r="C139" s="53">
        <f t="shared" si="5"/>
        <v>6.238001746221089E-2</v>
      </c>
      <c r="D139" s="62"/>
      <c r="E139" s="8">
        <v>380.70179999999999</v>
      </c>
      <c r="F139" s="53">
        <f t="shared" si="4"/>
        <v>1.9788955311918155E-2</v>
      </c>
      <c r="G139" s="38"/>
      <c r="H139" s="70">
        <v>1.41493E-3</v>
      </c>
      <c r="I139" s="72"/>
      <c r="J139" s="53">
        <v>9.9102000000000001E-4</v>
      </c>
      <c r="K139" s="38"/>
      <c r="L139" s="38"/>
      <c r="M139" s="38"/>
      <c r="N139" s="38"/>
      <c r="O139" s="38"/>
      <c r="P139" s="38"/>
      <c r="Q139" s="38"/>
      <c r="R139" s="38"/>
      <c r="S139" s="38"/>
    </row>
    <row r="140" spans="1:19" x14ac:dyDescent="0.25">
      <c r="A140" s="67">
        <v>35489</v>
      </c>
      <c r="B140" s="8">
        <v>1487.9054000000001</v>
      </c>
      <c r="C140" s="53">
        <f t="shared" si="5"/>
        <v>7.8513086372389296E-3</v>
      </c>
      <c r="D140" s="62"/>
      <c r="E140" s="8">
        <v>371.46499999999997</v>
      </c>
      <c r="F140" s="53">
        <f t="shared" si="4"/>
        <v>-2.4262559304946807E-2</v>
      </c>
      <c r="G140" s="38"/>
      <c r="H140" s="70">
        <v>4.1899500000000004E-3</v>
      </c>
      <c r="I140" s="72"/>
      <c r="J140" s="53">
        <v>1.2223499999999999E-3</v>
      </c>
      <c r="K140" s="38"/>
      <c r="L140" s="38"/>
      <c r="M140" s="38"/>
      <c r="N140" s="38"/>
      <c r="O140" s="38"/>
      <c r="P140" s="38"/>
      <c r="Q140" s="38"/>
      <c r="R140" s="38"/>
      <c r="S140" s="38"/>
    </row>
    <row r="141" spans="1:19" x14ac:dyDescent="0.25">
      <c r="A141" s="67">
        <v>35520</v>
      </c>
      <c r="B141" s="8">
        <v>1426.8884</v>
      </c>
      <c r="C141" s="53">
        <f t="shared" si="5"/>
        <v>-4.1008655523395499E-2</v>
      </c>
      <c r="D141" s="62"/>
      <c r="E141" s="8">
        <v>353.98239999999998</v>
      </c>
      <c r="F141" s="53">
        <f t="shared" si="4"/>
        <v>-4.7063922576824124E-2</v>
      </c>
      <c r="G141" s="38"/>
      <c r="H141" s="70">
        <v>-1.5568749999999999E-2</v>
      </c>
      <c r="I141" s="72"/>
      <c r="J141" s="53">
        <v>-1.0803419999999999E-2</v>
      </c>
      <c r="K141" s="38"/>
      <c r="L141" s="38"/>
      <c r="M141" s="38"/>
      <c r="N141" s="38"/>
      <c r="O141" s="38"/>
      <c r="P141" s="38"/>
      <c r="Q141" s="38"/>
      <c r="R141" s="38"/>
      <c r="S141" s="38"/>
    </row>
    <row r="142" spans="1:19" x14ac:dyDescent="0.25">
      <c r="A142" s="67">
        <v>35550</v>
      </c>
      <c r="B142" s="8">
        <v>1511.8966</v>
      </c>
      <c r="C142" s="53">
        <f t="shared" si="5"/>
        <v>5.9575927591814404E-2</v>
      </c>
      <c r="D142" s="62"/>
      <c r="E142" s="8">
        <v>354.80189999999999</v>
      </c>
      <c r="F142" s="53">
        <f t="shared" si="4"/>
        <v>2.3150868517756162E-3</v>
      </c>
      <c r="G142" s="38"/>
      <c r="H142" s="70">
        <v>1.515421E-2</v>
      </c>
      <c r="I142" s="72"/>
      <c r="J142" s="53">
        <v>1.4354840000000001E-2</v>
      </c>
      <c r="K142" s="38"/>
      <c r="L142" s="38"/>
      <c r="M142" s="38"/>
      <c r="N142" s="38"/>
      <c r="O142" s="38"/>
      <c r="P142" s="38"/>
      <c r="Q142" s="38"/>
      <c r="R142" s="38"/>
      <c r="S142" s="38"/>
    </row>
    <row r="143" spans="1:19" x14ac:dyDescent="0.25">
      <c r="A143" s="67">
        <v>35580</v>
      </c>
      <c r="B143" s="8">
        <v>1603.8714</v>
      </c>
      <c r="C143" s="53">
        <f t="shared" si="5"/>
        <v>6.0834054392344017E-2</v>
      </c>
      <c r="D143" s="62"/>
      <c r="E143" s="8">
        <v>394.36160000000001</v>
      </c>
      <c r="F143" s="53">
        <f t="shared" si="4"/>
        <v>0.11149799366914337</v>
      </c>
      <c r="G143" s="38"/>
      <c r="H143" s="70">
        <v>1.131974E-2</v>
      </c>
      <c r="I143" s="72"/>
      <c r="J143" s="53">
        <v>8.6373000000000005E-3</v>
      </c>
      <c r="K143" s="38"/>
      <c r="L143" s="38"/>
      <c r="M143" s="38"/>
      <c r="N143" s="38"/>
      <c r="O143" s="38"/>
      <c r="P143" s="38"/>
      <c r="Q143" s="38"/>
      <c r="R143" s="38"/>
      <c r="S143" s="38"/>
    </row>
    <row r="144" spans="1:19" x14ac:dyDescent="0.25">
      <c r="A144" s="67">
        <v>35611</v>
      </c>
      <c r="B144" s="8">
        <v>1675.6872000000001</v>
      </c>
      <c r="C144" s="53">
        <f t="shared" si="5"/>
        <v>4.477653258235037E-2</v>
      </c>
      <c r="D144" s="62"/>
      <c r="E144" s="8">
        <v>411.10120000000001</v>
      </c>
      <c r="F144" s="53">
        <f t="shared" si="4"/>
        <v>4.2447337671821961E-2</v>
      </c>
      <c r="G144" s="38"/>
      <c r="H144" s="70">
        <v>1.416164E-2</v>
      </c>
      <c r="I144" s="72"/>
      <c r="J144" s="53">
        <v>1.117314E-2</v>
      </c>
      <c r="K144" s="38"/>
      <c r="L144" s="38"/>
      <c r="M144" s="38"/>
      <c r="N144" s="38"/>
      <c r="O144" s="38"/>
      <c r="P144" s="38"/>
      <c r="Q144" s="38"/>
      <c r="R144" s="38"/>
      <c r="S144" s="38"/>
    </row>
    <row r="145" spans="1:19" x14ac:dyDescent="0.25">
      <c r="A145" s="67">
        <v>35642</v>
      </c>
      <c r="B145" s="8">
        <v>1808.8049000000001</v>
      </c>
      <c r="C145" s="53">
        <f t="shared" si="5"/>
        <v>7.9440661717771643E-2</v>
      </c>
      <c r="D145" s="62"/>
      <c r="E145" s="8">
        <v>430.26830000000001</v>
      </c>
      <c r="F145" s="53">
        <f t="shared" si="4"/>
        <v>4.6623799687278922E-2</v>
      </c>
      <c r="G145" s="38"/>
      <c r="H145" s="70">
        <v>3.6588849999999999E-2</v>
      </c>
      <c r="I145" s="72"/>
      <c r="J145" s="53">
        <v>2.868047E-2</v>
      </c>
      <c r="K145" s="38"/>
      <c r="L145" s="38"/>
      <c r="M145" s="38"/>
      <c r="N145" s="38"/>
      <c r="O145" s="38"/>
      <c r="P145" s="38"/>
      <c r="Q145" s="38"/>
      <c r="R145" s="38"/>
      <c r="S145" s="38"/>
    </row>
    <row r="146" spans="1:19" x14ac:dyDescent="0.25">
      <c r="A146" s="67">
        <v>35671</v>
      </c>
      <c r="B146" s="8">
        <v>1707.4940999999999</v>
      </c>
      <c r="C146" s="53">
        <f t="shared" si="5"/>
        <v>-5.6009799619627376E-2</v>
      </c>
      <c r="D146" s="62"/>
      <c r="E146" s="8">
        <v>439.98099999999999</v>
      </c>
      <c r="F146" s="53">
        <f t="shared" si="4"/>
        <v>2.2573589548660733E-2</v>
      </c>
      <c r="G146" s="38"/>
      <c r="H146" s="70">
        <v>-1.475768E-2</v>
      </c>
      <c r="I146" s="72"/>
      <c r="J146" s="53">
        <v>-1.012916E-2</v>
      </c>
      <c r="K146" s="38"/>
      <c r="L146" s="38"/>
      <c r="M146" s="38"/>
      <c r="N146" s="38"/>
      <c r="O146" s="38"/>
      <c r="P146" s="38"/>
      <c r="Q146" s="38"/>
      <c r="R146" s="38"/>
      <c r="S146" s="38"/>
    </row>
    <row r="147" spans="1:19" x14ac:dyDescent="0.25">
      <c r="A147" s="67">
        <v>35703</v>
      </c>
      <c r="B147" s="8">
        <v>1800.952</v>
      </c>
      <c r="C147" s="53">
        <f t="shared" si="5"/>
        <v>5.4733951935763692E-2</v>
      </c>
      <c r="D147" s="62"/>
      <c r="E147" s="8">
        <v>472.12040000000002</v>
      </c>
      <c r="F147" s="53">
        <f t="shared" si="4"/>
        <v>7.3047245221952828E-2</v>
      </c>
      <c r="G147" s="38"/>
      <c r="H147" s="70">
        <v>1.7489770000000002E-2</v>
      </c>
      <c r="I147" s="72"/>
      <c r="J147" s="53">
        <v>1.518572E-2</v>
      </c>
      <c r="K147" s="38"/>
      <c r="L147" s="38"/>
      <c r="M147" s="38"/>
      <c r="N147" s="38"/>
      <c r="O147" s="38"/>
      <c r="P147" s="38"/>
      <c r="Q147" s="38"/>
      <c r="R147" s="38"/>
      <c r="S147" s="38"/>
    </row>
    <row r="148" spans="1:19" x14ac:dyDescent="0.25">
      <c r="A148" s="67">
        <v>35734</v>
      </c>
      <c r="B148" s="8">
        <v>1740.7961</v>
      </c>
      <c r="C148" s="53">
        <f t="shared" si="5"/>
        <v>-3.3402278350561199E-2</v>
      </c>
      <c r="D148" s="62"/>
      <c r="E148" s="8">
        <v>451.15199999999999</v>
      </c>
      <c r="F148" s="53">
        <f t="shared" si="4"/>
        <v>-4.4413247129334033E-2</v>
      </c>
      <c r="G148" s="38"/>
      <c r="H148" s="70">
        <v>1.2682150000000001E-2</v>
      </c>
      <c r="I148" s="72"/>
      <c r="J148" s="53">
        <v>1.74161E-2</v>
      </c>
      <c r="K148" s="38"/>
      <c r="L148" s="38"/>
      <c r="M148" s="38"/>
      <c r="N148" s="38"/>
      <c r="O148" s="38"/>
      <c r="P148" s="38"/>
      <c r="Q148" s="38"/>
      <c r="R148" s="38"/>
      <c r="S148" s="38"/>
    </row>
    <row r="149" spans="1:19" x14ac:dyDescent="0.25">
      <c r="A149" s="67">
        <v>35762</v>
      </c>
      <c r="B149" s="8">
        <v>1821.3264999999999</v>
      </c>
      <c r="C149" s="53">
        <f t="shared" si="5"/>
        <v>4.6260673493006887E-2</v>
      </c>
      <c r="D149" s="62"/>
      <c r="E149" s="8">
        <v>448.08609999999999</v>
      </c>
      <c r="F149" s="53">
        <f t="shared" si="4"/>
        <v>-6.7957140830584573E-3</v>
      </c>
      <c r="G149" s="38"/>
      <c r="H149" s="70">
        <v>5.6468200000000003E-3</v>
      </c>
      <c r="I149" s="72"/>
      <c r="J149" s="53">
        <v>5.2137999999999993E-3</v>
      </c>
      <c r="K149" s="38"/>
      <c r="L149" s="38"/>
      <c r="M149" s="38"/>
      <c r="N149" s="38"/>
      <c r="O149" s="38"/>
      <c r="P149" s="38"/>
      <c r="Q149" s="38"/>
      <c r="R149" s="38"/>
      <c r="S149" s="38"/>
    </row>
    <row r="150" spans="1:19" x14ac:dyDescent="0.25">
      <c r="A150" s="67">
        <v>35795</v>
      </c>
      <c r="B150" s="8">
        <v>1852.5434</v>
      </c>
      <c r="C150" s="53">
        <f t="shared" si="5"/>
        <v>1.7139650688660302E-2</v>
      </c>
      <c r="D150" s="62"/>
      <c r="E150" s="8">
        <v>456.13310000000001</v>
      </c>
      <c r="F150" s="53">
        <f t="shared" si="4"/>
        <v>1.7958602152577496E-2</v>
      </c>
      <c r="G150" s="38"/>
      <c r="H150" s="70">
        <v>1.0587580000000001E-2</v>
      </c>
      <c r="I150" s="72"/>
      <c r="J150" s="53">
        <v>1.0524180000000001E-2</v>
      </c>
      <c r="K150" s="38"/>
      <c r="L150" s="38"/>
      <c r="M150" s="38"/>
      <c r="N150" s="38"/>
      <c r="O150" s="38"/>
      <c r="P150" s="38"/>
      <c r="Q150" s="38"/>
      <c r="R150" s="38"/>
      <c r="S150" s="38"/>
    </row>
    <row r="151" spans="1:19" x14ac:dyDescent="0.25">
      <c r="A151" s="67">
        <v>35825</v>
      </c>
      <c r="B151" s="8">
        <v>1872.9285</v>
      </c>
      <c r="C151" s="53">
        <f t="shared" si="5"/>
        <v>1.1003844768225024E-2</v>
      </c>
      <c r="D151" s="62"/>
      <c r="E151" s="8">
        <v>449.19470000000001</v>
      </c>
      <c r="F151" s="53">
        <f t="shared" si="4"/>
        <v>-1.5211349494259507E-2</v>
      </c>
      <c r="G151" s="38"/>
      <c r="H151" s="70">
        <v>1.1865140000000001E-2</v>
      </c>
      <c r="I151" s="72"/>
      <c r="J151" s="53">
        <v>1.5320480000000001E-2</v>
      </c>
      <c r="K151" s="38"/>
      <c r="L151" s="38"/>
      <c r="M151" s="38"/>
      <c r="N151" s="38"/>
      <c r="O151" s="38"/>
      <c r="P151" s="38"/>
      <c r="Q151" s="38"/>
      <c r="R151" s="38"/>
      <c r="S151" s="38"/>
    </row>
    <row r="152" spans="1:19" x14ac:dyDescent="0.25">
      <c r="A152" s="67">
        <v>35853</v>
      </c>
      <c r="B152" s="8">
        <v>2007.9318000000001</v>
      </c>
      <c r="C152" s="53">
        <f t="shared" si="5"/>
        <v>7.2081395525776859E-2</v>
      </c>
      <c r="D152" s="62"/>
      <c r="E152" s="8">
        <v>482.8852</v>
      </c>
      <c r="F152" s="53">
        <f t="shared" si="4"/>
        <v>7.5001998020012284E-2</v>
      </c>
      <c r="G152" s="38"/>
      <c r="H152" s="70">
        <v>-3.2260999999999998E-4</v>
      </c>
      <c r="I152" s="72"/>
      <c r="J152" s="53">
        <v>-2.98161E-3</v>
      </c>
      <c r="K152" s="38"/>
      <c r="L152" s="38"/>
      <c r="M152" s="38"/>
      <c r="N152" s="38"/>
      <c r="O152" s="38"/>
      <c r="P152" s="38"/>
      <c r="Q152" s="38"/>
      <c r="R152" s="38"/>
      <c r="S152" s="38"/>
    </row>
    <row r="153" spans="1:19" x14ac:dyDescent="0.25">
      <c r="A153" s="67">
        <v>35885</v>
      </c>
      <c r="B153" s="8">
        <v>2110.6572999999999</v>
      </c>
      <c r="C153" s="53">
        <f t="shared" si="5"/>
        <v>5.1159855130537668E-2</v>
      </c>
      <c r="D153" s="62"/>
      <c r="E153" s="8">
        <v>503.17950000000002</v>
      </c>
      <c r="F153" s="53">
        <f t="shared" si="4"/>
        <v>4.202717333229522E-2</v>
      </c>
      <c r="G153" s="38"/>
      <c r="H153" s="70">
        <v>3.6932199999999997E-3</v>
      </c>
      <c r="I153" s="72"/>
      <c r="J153" s="53">
        <v>2.72748E-3</v>
      </c>
      <c r="K153" s="38"/>
      <c r="L153" s="38"/>
      <c r="M153" s="38"/>
      <c r="N153" s="38"/>
      <c r="O153" s="38"/>
      <c r="P153" s="38"/>
      <c r="Q153" s="38"/>
      <c r="R153" s="38"/>
      <c r="S153" s="38"/>
    </row>
    <row r="154" spans="1:19" x14ac:dyDescent="0.25">
      <c r="A154" s="67">
        <v>35915</v>
      </c>
      <c r="B154" s="8">
        <v>2131.7673</v>
      </c>
      <c r="C154" s="53">
        <f t="shared" si="5"/>
        <v>1.0001623664817716E-2</v>
      </c>
      <c r="D154" s="62"/>
      <c r="E154" s="8">
        <v>505.95650000000001</v>
      </c>
      <c r="F154" s="53">
        <f t="shared" si="4"/>
        <v>5.5189052813160444E-3</v>
      </c>
      <c r="G154" s="38"/>
      <c r="H154" s="70">
        <v>6.3146100000000009E-3</v>
      </c>
      <c r="I154" s="72"/>
      <c r="J154" s="53">
        <v>4.4539799999999997E-3</v>
      </c>
      <c r="K154" s="38"/>
      <c r="L154" s="38"/>
      <c r="M154" s="38"/>
      <c r="N154" s="38"/>
      <c r="O154" s="38"/>
      <c r="P154" s="38"/>
      <c r="Q154" s="38"/>
      <c r="R154" s="38"/>
      <c r="S154" s="38"/>
    </row>
    <row r="155" spans="1:19" x14ac:dyDescent="0.25">
      <c r="A155" s="67">
        <v>35944</v>
      </c>
      <c r="B155" s="8">
        <v>2095.1091000000001</v>
      </c>
      <c r="C155" s="53">
        <f t="shared" si="5"/>
        <v>-1.7196154570904509E-2</v>
      </c>
      <c r="D155" s="62"/>
      <c r="E155" s="8">
        <v>478.90559999999999</v>
      </c>
      <c r="F155" s="53">
        <f t="shared" si="4"/>
        <v>-5.3464872968328359E-2</v>
      </c>
      <c r="G155" s="38"/>
      <c r="H155" s="70">
        <v>1.1872689999999998E-2</v>
      </c>
      <c r="I155" s="72"/>
      <c r="J155" s="53">
        <v>1.039178E-2</v>
      </c>
      <c r="K155" s="38"/>
      <c r="L155" s="38"/>
      <c r="M155" s="38"/>
      <c r="N155" s="38"/>
      <c r="O155" s="38"/>
      <c r="P155" s="38"/>
      <c r="Q155" s="38"/>
      <c r="R155" s="38"/>
      <c r="S155" s="38"/>
    </row>
    <row r="156" spans="1:19" x14ac:dyDescent="0.25">
      <c r="A156" s="67">
        <v>35976</v>
      </c>
      <c r="B156" s="8">
        <v>2180.13</v>
      </c>
      <c r="C156" s="53">
        <f t="shared" si="5"/>
        <v>4.0580655203110938E-2</v>
      </c>
      <c r="D156" s="62"/>
      <c r="E156" s="8">
        <v>480.36340000000001</v>
      </c>
      <c r="F156" s="53">
        <f t="shared" si="4"/>
        <v>3.044023707386323E-3</v>
      </c>
      <c r="G156" s="38"/>
      <c r="H156" s="70">
        <v>7.3936399999999999E-3</v>
      </c>
      <c r="I156" s="72"/>
      <c r="J156" s="53">
        <v>1.152447E-2</v>
      </c>
      <c r="K156" s="38"/>
      <c r="L156" s="38"/>
      <c r="M156" s="38"/>
      <c r="N156" s="38"/>
      <c r="O156" s="38"/>
      <c r="P156" s="38"/>
      <c r="Q156" s="38"/>
      <c r="R156" s="38"/>
      <c r="S156" s="38"/>
    </row>
    <row r="157" spans="1:19" x14ac:dyDescent="0.25">
      <c r="A157" s="67">
        <v>36007</v>
      </c>
      <c r="B157" s="8">
        <v>2156.8863999999999</v>
      </c>
      <c r="C157" s="53">
        <f t="shared" si="5"/>
        <v>-1.0661566053400628E-2</v>
      </c>
      <c r="D157" s="62"/>
      <c r="E157" s="8">
        <v>441.21449999999999</v>
      </c>
      <c r="F157" s="53">
        <f t="shared" si="4"/>
        <v>-8.1498507171862022E-2</v>
      </c>
      <c r="G157" s="38"/>
      <c r="H157" s="70">
        <v>-9.4607999999999997E-4</v>
      </c>
      <c r="I157" s="72"/>
      <c r="J157" s="53">
        <v>1.5680800000000001E-3</v>
      </c>
      <c r="K157" s="38"/>
      <c r="L157" s="38"/>
      <c r="M157" s="38"/>
      <c r="N157" s="38"/>
      <c r="O157" s="38"/>
      <c r="P157" s="38"/>
      <c r="Q157" s="38"/>
      <c r="R157" s="38"/>
      <c r="S157" s="38"/>
    </row>
    <row r="158" spans="1:19" x14ac:dyDescent="0.25">
      <c r="A158" s="67">
        <v>36038</v>
      </c>
      <c r="B158" s="8">
        <v>1845.3538000000001</v>
      </c>
      <c r="C158" s="53">
        <f t="shared" si="5"/>
        <v>-0.14443625774635127</v>
      </c>
      <c r="D158" s="62"/>
      <c r="E158" s="8">
        <v>355.72539999999998</v>
      </c>
      <c r="F158" s="53">
        <f t="shared" si="4"/>
        <v>-0.19375859134275963</v>
      </c>
      <c r="G158" s="38"/>
      <c r="H158" s="70">
        <v>4.6811099999999996E-3</v>
      </c>
      <c r="I158" s="72"/>
      <c r="J158" s="53">
        <v>2.7161189999999998E-2</v>
      </c>
      <c r="K158" s="38"/>
      <c r="L158" s="38"/>
      <c r="M158" s="38"/>
      <c r="N158" s="38"/>
      <c r="O158" s="38"/>
      <c r="P158" s="38"/>
      <c r="Q158" s="38"/>
      <c r="R158" s="38"/>
      <c r="S158" s="38"/>
    </row>
    <row r="159" spans="1:19" x14ac:dyDescent="0.25">
      <c r="A159" s="67">
        <v>36068</v>
      </c>
      <c r="B159" s="8">
        <v>1963.5814</v>
      </c>
      <c r="C159" s="53">
        <f t="shared" si="5"/>
        <v>6.4067714277879828E-2</v>
      </c>
      <c r="D159" s="62"/>
      <c r="E159" s="8">
        <v>383.28660000000002</v>
      </c>
      <c r="F159" s="53">
        <f t="shared" si="4"/>
        <v>7.7478864315002616E-2</v>
      </c>
      <c r="G159" s="38"/>
      <c r="H159" s="70">
        <v>3.240034E-2</v>
      </c>
      <c r="I159" s="72"/>
      <c r="J159" s="53">
        <v>2.7871939999999998E-2</v>
      </c>
      <c r="K159" s="38"/>
      <c r="L159" s="38"/>
      <c r="M159" s="38"/>
      <c r="N159" s="38"/>
      <c r="O159" s="38"/>
      <c r="P159" s="38"/>
      <c r="Q159" s="38"/>
      <c r="R159" s="38"/>
      <c r="S159" s="38"/>
    </row>
    <row r="160" spans="1:19" x14ac:dyDescent="0.25">
      <c r="A160" s="67">
        <v>36098</v>
      </c>
      <c r="B160" s="8">
        <v>2123.1383000000001</v>
      </c>
      <c r="C160" s="53">
        <f t="shared" si="5"/>
        <v>8.1258103178202923E-2</v>
      </c>
      <c r="D160" s="62"/>
      <c r="E160" s="8">
        <v>399.06180000000001</v>
      </c>
      <c r="F160" s="53">
        <f t="shared" si="4"/>
        <v>4.1157713314266653E-2</v>
      </c>
      <c r="G160" s="38"/>
      <c r="H160" s="70">
        <v>-1.542694E-2</v>
      </c>
      <c r="I160" s="72"/>
      <c r="J160" s="53">
        <v>-3.19747E-3</v>
      </c>
      <c r="K160" s="38"/>
      <c r="L160" s="38"/>
      <c r="M160" s="38"/>
      <c r="N160" s="38"/>
      <c r="O160" s="38"/>
      <c r="P160" s="38"/>
      <c r="Q160" s="38"/>
      <c r="R160" s="38"/>
      <c r="S160" s="38"/>
    </row>
    <row r="161" spans="1:19" x14ac:dyDescent="0.25">
      <c r="A161" s="67">
        <v>36129</v>
      </c>
      <c r="B161" s="8">
        <v>2251.7600000000002</v>
      </c>
      <c r="C161" s="53">
        <f t="shared" si="5"/>
        <v>6.0580933422942795E-2</v>
      </c>
      <c r="D161" s="62"/>
      <c r="E161" s="8">
        <v>420.19740000000002</v>
      </c>
      <c r="F161" s="53">
        <f t="shared" si="4"/>
        <v>5.2963225244811785E-2</v>
      </c>
      <c r="G161" s="38"/>
      <c r="H161" s="70">
        <v>1.8841049999999998E-2</v>
      </c>
      <c r="I161" s="72"/>
      <c r="J161" s="53">
        <v>-2.2637999999999998E-4</v>
      </c>
      <c r="K161" s="38"/>
      <c r="L161" s="38"/>
      <c r="M161" s="38"/>
      <c r="N161" s="38"/>
      <c r="O161" s="38"/>
      <c r="P161" s="38"/>
      <c r="Q161" s="38"/>
      <c r="R161" s="38"/>
      <c r="S161" s="38"/>
    </row>
    <row r="162" spans="1:19" x14ac:dyDescent="0.25">
      <c r="A162" s="67">
        <v>36160</v>
      </c>
      <c r="B162" s="8">
        <v>2381.3851</v>
      </c>
      <c r="C162" s="53">
        <f t="shared" si="5"/>
        <v>5.7566126052509992E-2</v>
      </c>
      <c r="D162" s="62"/>
      <c r="E162" s="8">
        <v>446.43630000000002</v>
      </c>
      <c r="F162" s="53">
        <f t="shared" si="4"/>
        <v>6.2444222643928793E-2</v>
      </c>
      <c r="G162" s="38"/>
      <c r="H162" s="70">
        <v>2.9121999999999998E-3</v>
      </c>
      <c r="I162" s="72"/>
      <c r="J162" s="53">
        <v>1.9653699999999997E-3</v>
      </c>
      <c r="K162" s="38"/>
      <c r="L162" s="38"/>
      <c r="M162" s="38"/>
      <c r="N162" s="38"/>
      <c r="O162" s="38"/>
      <c r="P162" s="38"/>
      <c r="Q162" s="38"/>
      <c r="R162" s="38"/>
      <c r="S162" s="38"/>
    </row>
    <row r="163" spans="1:19" x14ac:dyDescent="0.25">
      <c r="A163" s="67">
        <v>36189</v>
      </c>
      <c r="B163" s="8">
        <v>2480.9292</v>
      </c>
      <c r="C163" s="53">
        <f t="shared" si="5"/>
        <v>4.1800925016285628E-2</v>
      </c>
      <c r="D163" s="62"/>
      <c r="E163" s="8">
        <v>452.30119999999999</v>
      </c>
      <c r="F163" s="53">
        <f t="shared" si="4"/>
        <v>1.3137148569683843E-2</v>
      </c>
      <c r="G163" s="38"/>
      <c r="H163" s="70">
        <v>9.8786199999999994E-3</v>
      </c>
      <c r="I163" s="72"/>
      <c r="J163" s="53">
        <v>5.7989199999999999E-3</v>
      </c>
      <c r="K163" s="38"/>
      <c r="L163" s="38"/>
      <c r="M163" s="38"/>
      <c r="N163" s="38"/>
      <c r="O163" s="38"/>
      <c r="P163" s="38"/>
      <c r="Q163" s="38"/>
      <c r="R163" s="38"/>
      <c r="S163" s="38"/>
    </row>
    <row r="164" spans="1:19" x14ac:dyDescent="0.25">
      <c r="A164" s="67">
        <v>36217</v>
      </c>
      <c r="B164" s="8">
        <v>2403.8177000000001</v>
      </c>
      <c r="C164" s="53">
        <f t="shared" si="5"/>
        <v>-3.1081701162612774E-2</v>
      </c>
      <c r="D164" s="62"/>
      <c r="E164" s="8">
        <v>415.80489999999998</v>
      </c>
      <c r="F164" s="53">
        <f t="shared" si="4"/>
        <v>-8.0690256846543851E-2</v>
      </c>
      <c r="G164" s="38"/>
      <c r="H164" s="70">
        <v>-2.3734850000000002E-2</v>
      </c>
      <c r="I164" s="72"/>
      <c r="J164" s="53">
        <v>-2.552018E-2</v>
      </c>
      <c r="K164" s="38"/>
      <c r="L164" s="38"/>
      <c r="M164" s="38"/>
      <c r="N164" s="38"/>
      <c r="O164" s="38"/>
      <c r="P164" s="38"/>
      <c r="Q164" s="38"/>
      <c r="R164" s="38"/>
      <c r="S164" s="38"/>
    </row>
    <row r="165" spans="1:19" x14ac:dyDescent="0.25">
      <c r="A165" s="67">
        <v>36250</v>
      </c>
      <c r="B165" s="8">
        <v>2499.9639000000002</v>
      </c>
      <c r="C165" s="53">
        <f t="shared" si="5"/>
        <v>3.9997292639953663E-2</v>
      </c>
      <c r="D165" s="62"/>
      <c r="E165" s="8">
        <v>422.1576</v>
      </c>
      <c r="F165" s="53">
        <f t="shared" si="4"/>
        <v>1.5278078733560019E-2</v>
      </c>
      <c r="G165" s="38"/>
      <c r="H165" s="70">
        <v>7.0786700000000004E-3</v>
      </c>
      <c r="I165" s="72"/>
      <c r="J165" s="53">
        <v>3.8314300000000003E-3</v>
      </c>
      <c r="K165" s="38"/>
      <c r="L165" s="38"/>
      <c r="M165" s="38"/>
      <c r="N165" s="38"/>
      <c r="O165" s="38"/>
      <c r="P165" s="38"/>
      <c r="Q165" s="38"/>
      <c r="R165" s="38"/>
      <c r="S165" s="38"/>
    </row>
    <row r="166" spans="1:19" x14ac:dyDescent="0.25">
      <c r="A166" s="67">
        <v>36280</v>
      </c>
      <c r="B166" s="8">
        <v>2596.7536</v>
      </c>
      <c r="C166" s="53">
        <f t="shared" si="5"/>
        <v>3.8716439065380026E-2</v>
      </c>
      <c r="D166" s="62"/>
      <c r="E166" s="8">
        <v>459.90690000000001</v>
      </c>
      <c r="F166" s="53">
        <f t="shared" si="4"/>
        <v>8.9419922796604823E-2</v>
      </c>
      <c r="G166" s="38"/>
      <c r="H166" s="70">
        <v>2.9231700000000001E-3</v>
      </c>
      <c r="I166" s="72"/>
      <c r="J166" s="53">
        <v>2.37608E-3</v>
      </c>
      <c r="K166" s="38"/>
      <c r="L166" s="38"/>
      <c r="M166" s="38"/>
      <c r="N166" s="38"/>
      <c r="O166" s="38"/>
      <c r="P166" s="38"/>
      <c r="Q166" s="38"/>
      <c r="R166" s="38"/>
      <c r="S166" s="38"/>
    </row>
    <row r="167" spans="1:19" x14ac:dyDescent="0.25">
      <c r="A167" s="67">
        <v>36311</v>
      </c>
      <c r="B167" s="8">
        <v>2535.5129000000002</v>
      </c>
      <c r="C167" s="53">
        <f t="shared" si="5"/>
        <v>-2.358356218318125E-2</v>
      </c>
      <c r="D167" s="62"/>
      <c r="E167" s="8">
        <v>466.63580000000002</v>
      </c>
      <c r="F167" s="53">
        <f t="shared" si="4"/>
        <v>1.4631004666379344E-2</v>
      </c>
      <c r="G167" s="38"/>
      <c r="H167" s="70">
        <v>-1.3368665974699101E-2</v>
      </c>
      <c r="I167" s="72"/>
      <c r="J167" s="53">
        <v>-9.3255652868619397E-3</v>
      </c>
      <c r="K167" s="38"/>
      <c r="L167" s="38"/>
      <c r="M167" s="38"/>
      <c r="N167" s="38"/>
      <c r="O167" s="38"/>
      <c r="P167" s="38"/>
      <c r="Q167" s="38"/>
      <c r="R167" s="38"/>
      <c r="S167" s="38"/>
    </row>
    <row r="168" spans="1:19" x14ac:dyDescent="0.25">
      <c r="A168" s="67">
        <v>36341</v>
      </c>
      <c r="B168" s="8">
        <v>2676.1138999999998</v>
      </c>
      <c r="C168" s="53">
        <f t="shared" si="5"/>
        <v>5.5452685726820716E-2</v>
      </c>
      <c r="D168" s="62"/>
      <c r="E168" s="8">
        <v>487.48500000000001</v>
      </c>
      <c r="F168" s="53">
        <f t="shared" si="4"/>
        <v>4.4679812393305429E-2</v>
      </c>
      <c r="G168" s="38"/>
      <c r="H168" s="70">
        <v>-5.2134690744004598E-3</v>
      </c>
      <c r="I168" s="72"/>
      <c r="J168" s="53">
        <v>-2.0917228963229701E-3</v>
      </c>
      <c r="K168" s="38"/>
      <c r="L168" s="38"/>
      <c r="M168" s="38"/>
      <c r="N168" s="38"/>
      <c r="O168" s="38"/>
      <c r="P168" s="38"/>
      <c r="Q168" s="38"/>
      <c r="R168" s="38"/>
      <c r="S168" s="38"/>
    </row>
    <row r="169" spans="1:19" x14ac:dyDescent="0.25">
      <c r="A169" s="67">
        <v>36371</v>
      </c>
      <c r="B169" s="8">
        <v>2592.6080999999999</v>
      </c>
      <c r="C169" s="53">
        <f t="shared" si="5"/>
        <v>-3.1204127746580546E-2</v>
      </c>
      <c r="D169" s="62"/>
      <c r="E169" s="8">
        <v>474.15929999999997</v>
      </c>
      <c r="F169" s="53">
        <f t="shared" si="4"/>
        <v>-2.7335610326471693E-2</v>
      </c>
      <c r="G169" s="38"/>
      <c r="H169" s="70">
        <v>-5.5372621901815296E-3</v>
      </c>
      <c r="I169" s="72"/>
      <c r="J169" s="53">
        <v>-8.4948050329102008E-4</v>
      </c>
      <c r="K169" s="38"/>
      <c r="L169" s="38"/>
      <c r="M169" s="38"/>
      <c r="N169" s="38"/>
      <c r="O169" s="38"/>
      <c r="P169" s="38"/>
      <c r="Q169" s="38"/>
      <c r="R169" s="38"/>
      <c r="S169" s="38"/>
    </row>
    <row r="170" spans="1:19" x14ac:dyDescent="0.25">
      <c r="A170" s="67">
        <v>36403</v>
      </c>
      <c r="B170" s="8">
        <v>2579.8047999999999</v>
      </c>
      <c r="C170" s="53">
        <f t="shared" si="5"/>
        <v>-4.9383861756815417E-3</v>
      </c>
      <c r="D170" s="62"/>
      <c r="E170" s="8">
        <v>456.7577</v>
      </c>
      <c r="F170" s="53">
        <f t="shared" si="4"/>
        <v>-3.6699902332401724E-2</v>
      </c>
      <c r="G170" s="38"/>
      <c r="H170" s="70">
        <v>-2.4341682286062E-3</v>
      </c>
      <c r="I170" s="72"/>
      <c r="J170" s="53">
        <v>1.5581385172505001E-4</v>
      </c>
      <c r="K170" s="38"/>
      <c r="L170" s="38"/>
      <c r="M170" s="38"/>
      <c r="N170" s="38"/>
      <c r="O170" s="38"/>
      <c r="P170" s="38"/>
      <c r="Q170" s="38"/>
      <c r="R170" s="38"/>
      <c r="S170" s="38"/>
    </row>
    <row r="171" spans="1:19" x14ac:dyDescent="0.25">
      <c r="A171" s="67">
        <v>36433</v>
      </c>
      <c r="B171" s="8">
        <v>2509.1646000000001</v>
      </c>
      <c r="C171" s="53">
        <f t="shared" si="5"/>
        <v>-2.7381994172582247E-2</v>
      </c>
      <c r="D171" s="62"/>
      <c r="E171" s="8">
        <v>456.80239999999998</v>
      </c>
      <c r="F171" s="53">
        <f t="shared" si="4"/>
        <v>9.7863703228062704E-5</v>
      </c>
      <c r="G171" s="38"/>
      <c r="H171" s="70">
        <v>1.08586079447924E-2</v>
      </c>
      <c r="I171" s="72"/>
      <c r="J171" s="53">
        <v>7.6570294803546103E-3</v>
      </c>
      <c r="K171" s="38"/>
      <c r="L171" s="38"/>
      <c r="M171" s="38"/>
      <c r="N171" s="38"/>
      <c r="O171" s="38"/>
      <c r="P171" s="38"/>
      <c r="Q171" s="38"/>
      <c r="R171" s="38"/>
      <c r="S171" s="38"/>
    </row>
    <row r="172" spans="1:19" x14ac:dyDescent="0.25">
      <c r="A172" s="67">
        <v>36462</v>
      </c>
      <c r="B172" s="8">
        <v>2667.8607000000002</v>
      </c>
      <c r="C172" s="53">
        <f t="shared" si="5"/>
        <v>6.3246588127379155E-2</v>
      </c>
      <c r="D172" s="62"/>
      <c r="E172" s="8">
        <v>458.67329999999998</v>
      </c>
      <c r="F172" s="53">
        <f t="shared" si="4"/>
        <v>4.095643980854824E-3</v>
      </c>
      <c r="G172" s="38"/>
      <c r="H172" s="70">
        <v>4.5995452461094401E-3</v>
      </c>
      <c r="I172" s="72"/>
      <c r="J172" s="53">
        <v>1.08385957853356E-3</v>
      </c>
      <c r="K172" s="38"/>
      <c r="L172" s="38"/>
      <c r="M172" s="38"/>
      <c r="N172" s="38"/>
      <c r="O172" s="38"/>
      <c r="P172" s="38"/>
      <c r="Q172" s="38"/>
      <c r="R172" s="38"/>
      <c r="S172" s="38"/>
    </row>
    <row r="173" spans="1:19" x14ac:dyDescent="0.25">
      <c r="A173" s="67">
        <v>36494</v>
      </c>
      <c r="B173" s="8">
        <v>2722.0789</v>
      </c>
      <c r="C173" s="53">
        <f t="shared" si="5"/>
        <v>2.0322725245736972E-2</v>
      </c>
      <c r="D173" s="62"/>
      <c r="E173" s="8">
        <v>486.46879999999999</v>
      </c>
      <c r="F173" s="53">
        <f t="shared" si="4"/>
        <v>6.0599777663099319E-2</v>
      </c>
      <c r="G173" s="38"/>
      <c r="H173" s="70">
        <v>1.07141328832012E-3</v>
      </c>
      <c r="I173" s="72"/>
      <c r="J173" s="53">
        <v>-1.9019052389733502E-3</v>
      </c>
      <c r="K173" s="38"/>
      <c r="L173" s="38"/>
      <c r="M173" s="38"/>
      <c r="N173" s="38"/>
      <c r="O173" s="38"/>
      <c r="P173" s="38"/>
      <c r="Q173" s="38"/>
      <c r="R173" s="38"/>
      <c r="S173" s="38"/>
    </row>
    <row r="174" spans="1:19" x14ac:dyDescent="0.25">
      <c r="A174" s="67">
        <v>36525</v>
      </c>
      <c r="B174" s="8">
        <v>2882.2678000000001</v>
      </c>
      <c r="C174" s="53">
        <f t="shared" si="5"/>
        <v>5.8848000327984762E-2</v>
      </c>
      <c r="D174" s="62"/>
      <c r="E174" s="8">
        <v>541.45450000000005</v>
      </c>
      <c r="F174" s="53">
        <f t="shared" si="4"/>
        <v>0.11303027038938596</v>
      </c>
      <c r="G174" s="38"/>
      <c r="H174" s="70">
        <v>-5.2964339282616903E-3</v>
      </c>
      <c r="I174" s="72"/>
      <c r="J174" s="53">
        <v>-6.6480904389512293E-3</v>
      </c>
      <c r="K174" s="38"/>
      <c r="L174" s="38"/>
      <c r="M174" s="38"/>
      <c r="N174" s="38"/>
      <c r="O174" s="38"/>
      <c r="P174" s="38"/>
      <c r="Q174" s="38"/>
      <c r="R174" s="38"/>
      <c r="S174" s="38"/>
    </row>
    <row r="175" spans="1:19" x14ac:dyDescent="0.25">
      <c r="A175" s="67">
        <v>36556</v>
      </c>
      <c r="B175" s="8">
        <v>2737.4726999999998</v>
      </c>
      <c r="C175" s="53">
        <f t="shared" si="5"/>
        <v>-5.0236518619123594E-2</v>
      </c>
      <c r="D175" s="62"/>
      <c r="E175" s="8">
        <v>532.65390000000002</v>
      </c>
      <c r="F175" s="53">
        <f t="shared" si="4"/>
        <v>-1.6253627959505468E-2</v>
      </c>
      <c r="G175" s="38"/>
      <c r="H175" s="70">
        <v>-3.5258542052840096E-3</v>
      </c>
      <c r="I175" s="72"/>
      <c r="J175" s="53">
        <v>2.6140177851866901E-3</v>
      </c>
      <c r="K175" s="38"/>
      <c r="L175" s="38"/>
      <c r="M175" s="38"/>
      <c r="N175" s="38"/>
      <c r="O175" s="38"/>
      <c r="P175" s="38"/>
      <c r="Q175" s="38"/>
      <c r="R175" s="38"/>
      <c r="S175" s="38"/>
    </row>
    <row r="176" spans="1:19" x14ac:dyDescent="0.25">
      <c r="A176" s="67">
        <v>36585</v>
      </c>
      <c r="B176" s="8">
        <v>2685.6842000000001</v>
      </c>
      <c r="C176" s="53">
        <f t="shared" si="5"/>
        <v>-1.891836218129217E-2</v>
      </c>
      <c r="D176" s="62"/>
      <c r="E176" s="8">
        <v>620.65599999999995</v>
      </c>
      <c r="F176" s="53">
        <f t="shared" si="4"/>
        <v>0.16521441033286322</v>
      </c>
      <c r="G176" s="38"/>
      <c r="H176" s="70">
        <v>9.2660328134436601E-3</v>
      </c>
      <c r="I176" s="72"/>
      <c r="J176" s="53">
        <v>1.50329905550181E-2</v>
      </c>
      <c r="K176" s="38"/>
      <c r="L176" s="38"/>
      <c r="M176" s="38"/>
      <c r="N176" s="38"/>
      <c r="O176" s="38"/>
      <c r="P176" s="38"/>
      <c r="Q176" s="38"/>
      <c r="R176" s="38"/>
      <c r="S176" s="38"/>
    </row>
    <row r="177" spans="1:19" x14ac:dyDescent="0.25">
      <c r="A177" s="67">
        <v>36616</v>
      </c>
      <c r="B177" s="8">
        <v>2948.2566000000002</v>
      </c>
      <c r="C177" s="53">
        <f t="shared" si="5"/>
        <v>9.7767414351992654E-2</v>
      </c>
      <c r="D177" s="62"/>
      <c r="E177" s="8">
        <v>579.83849999999995</v>
      </c>
      <c r="F177" s="53">
        <f t="shared" si="4"/>
        <v>-6.5765093707303213E-2</v>
      </c>
      <c r="G177" s="38"/>
      <c r="H177" s="70">
        <v>8.5271222147187704E-3</v>
      </c>
      <c r="I177" s="72"/>
      <c r="J177" s="53">
        <v>1.9863633882103798E-2</v>
      </c>
      <c r="K177" s="38"/>
      <c r="L177" s="38"/>
      <c r="M177" s="38"/>
      <c r="N177" s="38"/>
      <c r="O177" s="38"/>
      <c r="P177" s="38"/>
      <c r="Q177" s="38"/>
      <c r="R177" s="38"/>
      <c r="S177" s="38"/>
    </row>
    <row r="178" spans="1:19" x14ac:dyDescent="0.25">
      <c r="A178" s="67">
        <v>36644</v>
      </c>
      <c r="B178" s="8">
        <v>2859.5702000000001</v>
      </c>
      <c r="C178" s="53">
        <f t="shared" si="5"/>
        <v>-3.0080963780425352E-2</v>
      </c>
      <c r="D178" s="62"/>
      <c r="E178" s="8">
        <v>544.9117</v>
      </c>
      <c r="F178" s="53">
        <f t="shared" si="4"/>
        <v>-6.0235393131018333E-2</v>
      </c>
      <c r="G178" s="38"/>
      <c r="H178" s="70">
        <v>-8.7811810355850201E-3</v>
      </c>
      <c r="I178" s="72"/>
      <c r="J178" s="53">
        <v>-3.1633887849956497E-3</v>
      </c>
      <c r="K178" s="38"/>
      <c r="L178" s="38"/>
      <c r="M178" s="38"/>
      <c r="N178" s="38"/>
      <c r="O178" s="38"/>
      <c r="P178" s="38"/>
      <c r="Q178" s="38"/>
      <c r="R178" s="38"/>
      <c r="S178" s="38"/>
    </row>
    <row r="179" spans="1:19" x14ac:dyDescent="0.25">
      <c r="A179" s="67">
        <v>36677</v>
      </c>
      <c r="B179" s="8">
        <v>2800.8534</v>
      </c>
      <c r="C179" s="53">
        <f t="shared" si="5"/>
        <v>-2.0533435409279432E-2</v>
      </c>
      <c r="D179" s="62"/>
      <c r="E179" s="8">
        <v>513.12030000000004</v>
      </c>
      <c r="F179" s="53">
        <f t="shared" si="4"/>
        <v>-5.8342296559240614E-2</v>
      </c>
      <c r="G179" s="38"/>
      <c r="H179" s="70">
        <v>-3.7290057116779402E-3</v>
      </c>
      <c r="I179" s="72"/>
      <c r="J179" s="53">
        <v>1.5251220209665001E-3</v>
      </c>
      <c r="K179" s="38"/>
      <c r="L179" s="38"/>
      <c r="M179" s="38"/>
      <c r="N179" s="38"/>
      <c r="O179" s="38"/>
      <c r="P179" s="38"/>
      <c r="Q179" s="38"/>
      <c r="R179" s="38"/>
      <c r="S179" s="38"/>
    </row>
    <row r="180" spans="1:19" x14ac:dyDescent="0.25">
      <c r="A180" s="67">
        <v>36707</v>
      </c>
      <c r="B180" s="8">
        <v>2869.9135000000001</v>
      </c>
      <c r="C180" s="53">
        <f t="shared" si="5"/>
        <v>2.4656806386225139E-2</v>
      </c>
      <c r="D180" s="62"/>
      <c r="E180" s="8">
        <v>557.98469999999998</v>
      </c>
      <c r="F180" s="53">
        <f t="shared" si="4"/>
        <v>8.7434467122037285E-2</v>
      </c>
      <c r="G180" s="38"/>
      <c r="H180" s="70">
        <v>2.5111994673585099E-2</v>
      </c>
      <c r="I180" s="72"/>
      <c r="J180" s="53">
        <v>1.6864262584766299E-2</v>
      </c>
      <c r="K180" s="38"/>
      <c r="L180" s="38"/>
      <c r="M180" s="38"/>
      <c r="N180" s="38"/>
      <c r="O180" s="38"/>
      <c r="P180" s="38"/>
      <c r="Q180" s="38"/>
      <c r="R180" s="38"/>
      <c r="S180" s="38"/>
    </row>
    <row r="181" spans="1:19" x14ac:dyDescent="0.25">
      <c r="A181" s="67">
        <v>36738</v>
      </c>
      <c r="B181" s="8">
        <v>2825.2646</v>
      </c>
      <c r="C181" s="53">
        <f t="shared" si="5"/>
        <v>-1.5557576909548065E-2</v>
      </c>
      <c r="D181" s="62"/>
      <c r="E181" s="8">
        <v>540.53319999999997</v>
      </c>
      <c r="F181" s="53">
        <f t="shared" si="4"/>
        <v>-3.1275947172028196E-2</v>
      </c>
      <c r="G181" s="38"/>
      <c r="H181" s="70">
        <v>1.2128033351498599E-2</v>
      </c>
      <c r="I181" s="72"/>
      <c r="J181" s="53">
        <v>1.02962327672669E-2</v>
      </c>
      <c r="K181" s="38"/>
      <c r="L181" s="38"/>
      <c r="M181" s="38"/>
      <c r="N181" s="38"/>
      <c r="O181" s="38"/>
      <c r="P181" s="38"/>
      <c r="Q181" s="38"/>
      <c r="R181" s="38"/>
      <c r="S181" s="38"/>
    </row>
    <row r="182" spans="1:19" x14ac:dyDescent="0.25">
      <c r="A182" s="67">
        <v>36769</v>
      </c>
      <c r="B182" s="8">
        <v>3000.6565000000001</v>
      </c>
      <c r="C182" s="53">
        <f t="shared" si="5"/>
        <v>6.207981369249449E-2</v>
      </c>
      <c r="D182" s="62"/>
      <c r="E182" s="8">
        <v>581.52850000000001</v>
      </c>
      <c r="F182" s="53">
        <f t="shared" si="4"/>
        <v>7.5842334938908573E-2</v>
      </c>
      <c r="G182" s="38"/>
      <c r="H182" s="70">
        <v>1.2520021184636401E-2</v>
      </c>
      <c r="I182" s="72"/>
      <c r="J182" s="53">
        <v>1.4687472507236302E-2</v>
      </c>
      <c r="K182" s="38"/>
      <c r="L182" s="38"/>
      <c r="M182" s="38"/>
      <c r="N182" s="38"/>
      <c r="O182" s="38"/>
      <c r="P182" s="38"/>
      <c r="Q182" s="38"/>
      <c r="R182" s="38"/>
      <c r="S182" s="38"/>
    </row>
    <row r="183" spans="1:19" x14ac:dyDescent="0.25">
      <c r="A183" s="67">
        <v>36798</v>
      </c>
      <c r="B183" s="8">
        <v>2842.2746000000002</v>
      </c>
      <c r="C183" s="53">
        <f t="shared" si="5"/>
        <v>-5.2782416114606878E-2</v>
      </c>
      <c r="D183" s="62"/>
      <c r="E183" s="8">
        <v>564.31560000000002</v>
      </c>
      <c r="F183" s="53">
        <f t="shared" si="4"/>
        <v>-2.9599409143317934E-2</v>
      </c>
      <c r="G183" s="38"/>
      <c r="H183" s="70">
        <v>5.4769421122326696E-3</v>
      </c>
      <c r="I183" s="72"/>
      <c r="J183" s="53">
        <v>7.8450360460742997E-4</v>
      </c>
      <c r="K183" s="38"/>
      <c r="L183" s="38"/>
      <c r="M183" s="38"/>
      <c r="N183" s="38"/>
      <c r="O183" s="38"/>
      <c r="P183" s="38"/>
      <c r="Q183" s="38"/>
      <c r="R183" s="38"/>
      <c r="S183" s="38"/>
    </row>
    <row r="184" spans="1:19" x14ac:dyDescent="0.25">
      <c r="A184" s="67">
        <v>36830</v>
      </c>
      <c r="B184" s="8">
        <v>2830.2053000000001</v>
      </c>
      <c r="C184" s="53">
        <f t="shared" si="5"/>
        <v>-4.2463525515796796E-3</v>
      </c>
      <c r="D184" s="62"/>
      <c r="E184" s="8">
        <v>539.15790000000004</v>
      </c>
      <c r="F184" s="53">
        <f t="shared" si="4"/>
        <v>-4.458090472777998E-2</v>
      </c>
      <c r="G184" s="38"/>
      <c r="H184" s="70">
        <v>2.4380215207847001E-4</v>
      </c>
      <c r="I184" s="72"/>
      <c r="J184" s="53">
        <v>9.7489996409011997E-3</v>
      </c>
      <c r="K184" s="38"/>
      <c r="L184" s="38"/>
      <c r="M184" s="38"/>
      <c r="N184" s="38"/>
      <c r="O184" s="38"/>
      <c r="P184" s="38"/>
      <c r="Q184" s="38"/>
      <c r="R184" s="38"/>
      <c r="S184" s="38"/>
    </row>
    <row r="185" spans="1:19" x14ac:dyDescent="0.25">
      <c r="A185" s="67">
        <v>36860</v>
      </c>
      <c r="B185" s="8">
        <v>2607.2482</v>
      </c>
      <c r="C185" s="53">
        <f t="shared" si="5"/>
        <v>-7.8777712698085867E-2</v>
      </c>
      <c r="D185" s="62"/>
      <c r="E185" s="8">
        <v>483.8426</v>
      </c>
      <c r="F185" s="53">
        <f t="shared" si="4"/>
        <v>-0.10259573308672665</v>
      </c>
      <c r="G185" s="38"/>
      <c r="H185" s="70">
        <v>1.1872030226158702E-2</v>
      </c>
      <c r="I185" s="72"/>
      <c r="J185" s="53">
        <v>2.05009597627057E-2</v>
      </c>
      <c r="K185" s="38"/>
      <c r="L185" s="38"/>
      <c r="M185" s="38"/>
      <c r="N185" s="38"/>
      <c r="O185" s="38"/>
      <c r="P185" s="38"/>
      <c r="Q185" s="38"/>
      <c r="R185" s="38"/>
      <c r="S185" s="38"/>
    </row>
    <row r="186" spans="1:19" x14ac:dyDescent="0.25">
      <c r="A186" s="67">
        <v>36889</v>
      </c>
      <c r="B186" s="8">
        <v>2620.0214999999998</v>
      </c>
      <c r="C186" s="53">
        <f t="shared" si="5"/>
        <v>4.899149992701135E-3</v>
      </c>
      <c r="D186" s="62"/>
      <c r="E186" s="8">
        <v>525.38879999999995</v>
      </c>
      <c r="F186" s="53">
        <f t="shared" si="4"/>
        <v>8.5867180773251395E-2</v>
      </c>
      <c r="G186" s="38"/>
      <c r="H186" s="70">
        <v>1.8644391469192702E-2</v>
      </c>
      <c r="I186" s="72"/>
      <c r="J186" s="53">
        <v>1.90790671410196E-2</v>
      </c>
      <c r="K186" s="38"/>
      <c r="L186" s="38"/>
      <c r="M186" s="38"/>
      <c r="N186" s="38"/>
      <c r="O186" s="38"/>
      <c r="P186" s="38"/>
      <c r="Q186" s="38"/>
      <c r="R186" s="38"/>
      <c r="S186" s="38"/>
    </row>
    <row r="187" spans="1:19" x14ac:dyDescent="0.25">
      <c r="A187" s="67">
        <v>36922</v>
      </c>
      <c r="B187" s="8">
        <v>2712.9204</v>
      </c>
      <c r="C187" s="53">
        <f t="shared" si="5"/>
        <v>3.545730445341766E-2</v>
      </c>
      <c r="D187" s="62"/>
      <c r="E187" s="8">
        <v>552.72619999999995</v>
      </c>
      <c r="F187" s="53">
        <f t="shared" si="4"/>
        <v>5.2032704161184995E-2</v>
      </c>
      <c r="G187" s="38"/>
      <c r="H187" s="70">
        <v>2.8618963355580597E-2</v>
      </c>
      <c r="I187" s="72"/>
      <c r="J187" s="53">
        <v>8.1388906461129888E-3</v>
      </c>
      <c r="K187" s="38"/>
      <c r="L187" s="38"/>
      <c r="M187" s="38"/>
      <c r="N187" s="38"/>
      <c r="O187" s="38"/>
      <c r="P187" s="38"/>
      <c r="Q187" s="38"/>
      <c r="R187" s="38"/>
      <c r="S187" s="38"/>
    </row>
    <row r="188" spans="1:19" x14ac:dyDescent="0.25">
      <c r="A188" s="67">
        <v>36950</v>
      </c>
      <c r="B188" s="8">
        <v>2465.6884</v>
      </c>
      <c r="C188" s="53">
        <f t="shared" si="5"/>
        <v>-9.113131369427574E-2</v>
      </c>
      <c r="D188" s="62"/>
      <c r="E188" s="8">
        <v>516.4991</v>
      </c>
      <c r="F188" s="53">
        <f t="shared" si="4"/>
        <v>-6.5542577862239826E-2</v>
      </c>
      <c r="G188" s="38"/>
      <c r="H188" s="70">
        <v>8.4547904871592906E-3</v>
      </c>
      <c r="I188" s="72"/>
      <c r="J188" s="53">
        <v>1.20833766552457E-2</v>
      </c>
      <c r="K188" s="38"/>
      <c r="L188" s="38"/>
      <c r="M188" s="38"/>
      <c r="N188" s="38"/>
      <c r="O188" s="38"/>
      <c r="P188" s="38"/>
      <c r="Q188" s="38"/>
      <c r="R188" s="38"/>
      <c r="S188" s="38"/>
    </row>
    <row r="189" spans="1:19" x14ac:dyDescent="0.25">
      <c r="A189" s="67">
        <v>36980</v>
      </c>
      <c r="B189" s="8">
        <v>2309.5742</v>
      </c>
      <c r="C189" s="53">
        <f t="shared" si="5"/>
        <v>-6.3314650788802052E-2</v>
      </c>
      <c r="D189" s="62"/>
      <c r="E189" s="8">
        <v>491.24990000000003</v>
      </c>
      <c r="F189" s="53">
        <f t="shared" si="4"/>
        <v>-4.8885273953042652E-2</v>
      </c>
      <c r="G189" s="38"/>
      <c r="H189" s="70">
        <v>6.1318785020243408E-3</v>
      </c>
      <c r="I189" s="72"/>
      <c r="J189" s="53">
        <v>3.2130548315516799E-3</v>
      </c>
      <c r="K189" s="38"/>
      <c r="L189" s="38"/>
      <c r="M189" s="38"/>
      <c r="N189" s="38"/>
      <c r="O189" s="38"/>
      <c r="P189" s="38"/>
      <c r="Q189" s="38"/>
      <c r="R189" s="38"/>
      <c r="S189" s="38"/>
    </row>
    <row r="190" spans="1:19" x14ac:dyDescent="0.25">
      <c r="A190" s="67">
        <v>37011</v>
      </c>
      <c r="B190" s="8">
        <v>2488.8899000000001</v>
      </c>
      <c r="C190" s="53">
        <f t="shared" si="5"/>
        <v>7.7640155488401419E-2</v>
      </c>
      <c r="D190" s="62"/>
      <c r="E190" s="8">
        <v>529.63710000000003</v>
      </c>
      <c r="F190" s="53">
        <f t="shared" si="4"/>
        <v>7.8141898858401726E-2</v>
      </c>
      <c r="G190" s="38"/>
      <c r="H190" s="70">
        <v>-3.2659856522841602E-3</v>
      </c>
      <c r="I190" s="72"/>
      <c r="J190" s="53">
        <v>-1.2430071880029401E-2</v>
      </c>
      <c r="K190" s="38"/>
      <c r="L190" s="38"/>
      <c r="M190" s="38"/>
      <c r="N190" s="38"/>
      <c r="O190" s="38"/>
      <c r="P190" s="38"/>
      <c r="Q190" s="38"/>
      <c r="R190" s="38"/>
      <c r="S190" s="38"/>
    </row>
    <row r="191" spans="1:19" x14ac:dyDescent="0.25">
      <c r="A191" s="67">
        <v>37042</v>
      </c>
      <c r="B191" s="8">
        <v>2505.5846999999999</v>
      </c>
      <c r="C191" s="53">
        <f t="shared" si="5"/>
        <v>6.7077294178419233E-3</v>
      </c>
      <c r="D191" s="62"/>
      <c r="E191" s="8">
        <v>542.60969999999998</v>
      </c>
      <c r="F191" s="53">
        <f t="shared" si="4"/>
        <v>2.4493374803237877E-2</v>
      </c>
      <c r="G191" s="38"/>
      <c r="H191" s="70">
        <v>8.8703850033479709E-3</v>
      </c>
      <c r="I191" s="72"/>
      <c r="J191" s="53">
        <v>3.1142733971139301E-3</v>
      </c>
      <c r="K191" s="38"/>
      <c r="L191" s="38"/>
      <c r="M191" s="38"/>
      <c r="N191" s="38"/>
      <c r="O191" s="38"/>
      <c r="P191" s="38"/>
      <c r="Q191" s="38"/>
      <c r="R191" s="38"/>
      <c r="S191" s="38"/>
    </row>
    <row r="192" spans="1:19" x14ac:dyDescent="0.25">
      <c r="A192" s="67">
        <v>37071</v>
      </c>
      <c r="B192" s="8">
        <v>2444.6077</v>
      </c>
      <c r="C192" s="53">
        <f t="shared" si="5"/>
        <v>-2.4336435323858652E-2</v>
      </c>
      <c r="D192" s="62"/>
      <c r="E192" s="8">
        <v>561.11030000000005</v>
      </c>
      <c r="F192" s="53">
        <f t="shared" si="4"/>
        <v>3.4095593941649183E-2</v>
      </c>
      <c r="G192" s="38"/>
      <c r="H192" s="70">
        <v>5.0084507687976395E-3</v>
      </c>
      <c r="I192" s="72"/>
      <c r="J192" s="53">
        <v>5.3690999613001502E-3</v>
      </c>
      <c r="K192" s="38"/>
      <c r="L192" s="38"/>
      <c r="M192" s="38"/>
      <c r="N192" s="38"/>
      <c r="O192" s="38"/>
      <c r="P192" s="38"/>
      <c r="Q192" s="38"/>
      <c r="R192" s="38"/>
      <c r="S192" s="38"/>
    </row>
    <row r="193" spans="1:19" x14ac:dyDescent="0.25">
      <c r="A193" s="67">
        <v>37103</v>
      </c>
      <c r="B193" s="8">
        <v>2420.5095000000001</v>
      </c>
      <c r="C193" s="53">
        <f t="shared" si="5"/>
        <v>-9.8576961857724799E-3</v>
      </c>
      <c r="D193" s="62"/>
      <c r="E193" s="8">
        <v>531.04939999999999</v>
      </c>
      <c r="F193" s="53">
        <f t="shared" si="4"/>
        <v>-5.3573958631663032E-2</v>
      </c>
      <c r="G193" s="38"/>
      <c r="H193" s="70">
        <v>2.7101666495011202E-2</v>
      </c>
      <c r="I193" s="72"/>
      <c r="J193" s="53">
        <v>2.4952419440784999E-2</v>
      </c>
      <c r="K193" s="38"/>
      <c r="L193" s="38"/>
      <c r="M193" s="38"/>
      <c r="N193" s="38"/>
      <c r="O193" s="38"/>
      <c r="P193" s="38"/>
      <c r="Q193" s="38"/>
      <c r="R193" s="38"/>
      <c r="S193" s="38"/>
    </row>
    <row r="194" spans="1:19" x14ac:dyDescent="0.25">
      <c r="A194" s="67">
        <v>37134</v>
      </c>
      <c r="B194" s="8">
        <v>2269.1399000000001</v>
      </c>
      <c r="C194" s="53">
        <f t="shared" si="5"/>
        <v>-6.2536255280138286E-2</v>
      </c>
      <c r="D194" s="62"/>
      <c r="E194" s="8">
        <v>513.91459999999995</v>
      </c>
      <c r="F194" s="53">
        <f t="shared" si="4"/>
        <v>-3.2265924789671274E-2</v>
      </c>
      <c r="G194" s="38"/>
      <c r="H194" s="70">
        <v>1.2985146619740999E-2</v>
      </c>
      <c r="I194" s="72"/>
      <c r="J194" s="53">
        <v>1.32421937281274E-2</v>
      </c>
      <c r="K194" s="38"/>
      <c r="L194" s="38"/>
      <c r="M194" s="38"/>
      <c r="N194" s="38"/>
      <c r="O194" s="38"/>
      <c r="P194" s="38"/>
      <c r="Q194" s="38"/>
      <c r="R194" s="38"/>
      <c r="S194" s="38"/>
    </row>
    <row r="195" spans="1:19" x14ac:dyDescent="0.25">
      <c r="A195" s="67">
        <v>37162</v>
      </c>
      <c r="B195" s="8">
        <v>2085.9175</v>
      </c>
      <c r="C195" s="53">
        <f t="shared" si="5"/>
        <v>-8.0745307946856859E-2</v>
      </c>
      <c r="D195" s="62"/>
      <c r="E195" s="8">
        <v>444.71789999999999</v>
      </c>
      <c r="F195" s="53">
        <f t="shared" si="4"/>
        <v>-0.13464630115587295</v>
      </c>
      <c r="G195" s="38"/>
      <c r="H195" s="70">
        <v>-3.3535645486757197E-3</v>
      </c>
      <c r="I195" s="72"/>
      <c r="J195" s="53">
        <v>1.5871624458567501E-2</v>
      </c>
      <c r="K195" s="38"/>
      <c r="L195" s="38"/>
      <c r="M195" s="38"/>
      <c r="N195" s="38"/>
      <c r="O195" s="38"/>
      <c r="P195" s="38"/>
      <c r="Q195" s="38"/>
      <c r="R195" s="38"/>
      <c r="S195" s="38"/>
    </row>
    <row r="196" spans="1:19" x14ac:dyDescent="0.25">
      <c r="A196" s="67">
        <v>37195</v>
      </c>
      <c r="B196" s="8">
        <v>2125.6848</v>
      </c>
      <c r="C196" s="53">
        <f t="shared" si="5"/>
        <v>1.9064656200449059E-2</v>
      </c>
      <c r="D196" s="62"/>
      <c r="E196" s="8">
        <v>470.7527</v>
      </c>
      <c r="F196" s="53">
        <f t="shared" si="4"/>
        <v>5.8542280398427904E-2</v>
      </c>
      <c r="G196" s="38"/>
      <c r="H196" s="70">
        <v>2.46111517896196E-2</v>
      </c>
      <c r="I196" s="72"/>
      <c r="J196" s="53">
        <v>2.7704337569862802E-2</v>
      </c>
      <c r="K196" s="38"/>
      <c r="L196" s="38"/>
      <c r="M196" s="38"/>
      <c r="N196" s="38"/>
      <c r="O196" s="38"/>
      <c r="P196" s="38"/>
      <c r="Q196" s="38"/>
      <c r="R196" s="38"/>
      <c r="S196" s="38"/>
    </row>
    <row r="197" spans="1:19" x14ac:dyDescent="0.25">
      <c r="A197" s="67">
        <v>37225</v>
      </c>
      <c r="B197" s="8">
        <v>2288.7179000000001</v>
      </c>
      <c r="C197" s="53">
        <f t="shared" si="5"/>
        <v>7.6696742621483738E-2</v>
      </c>
      <c r="D197" s="62"/>
      <c r="E197" s="8">
        <v>507.18709999999999</v>
      </c>
      <c r="F197" s="53">
        <f t="shared" si="4"/>
        <v>7.7396051047609493E-2</v>
      </c>
      <c r="G197" s="38"/>
      <c r="H197" s="70">
        <v>-8.4510694576344601E-3</v>
      </c>
      <c r="I197" s="72"/>
      <c r="J197" s="53">
        <v>-2.4762182744683798E-2</v>
      </c>
      <c r="K197" s="38"/>
      <c r="L197" s="38"/>
      <c r="M197" s="38"/>
      <c r="N197" s="38"/>
      <c r="O197" s="38"/>
      <c r="P197" s="38"/>
      <c r="Q197" s="38"/>
      <c r="R197" s="38"/>
      <c r="S197" s="38"/>
    </row>
    <row r="198" spans="1:19" x14ac:dyDescent="0.25">
      <c r="A198" s="67">
        <v>37256</v>
      </c>
      <c r="B198" s="8">
        <v>2308.7838999999999</v>
      </c>
      <c r="C198" s="53">
        <f t="shared" si="5"/>
        <v>8.7673539845167792E-3</v>
      </c>
      <c r="D198" s="62"/>
      <c r="E198" s="8">
        <v>538.49609999999996</v>
      </c>
      <c r="F198" s="53">
        <f t="shared" si="4"/>
        <v>6.1730670989068814E-2</v>
      </c>
      <c r="G198" s="38"/>
      <c r="H198" s="70">
        <v>-7.23598025249485E-3</v>
      </c>
      <c r="I198" s="72"/>
      <c r="J198" s="53">
        <v>-9.7352342331481594E-3</v>
      </c>
      <c r="K198" s="38"/>
      <c r="L198" s="38"/>
      <c r="M198" s="38"/>
      <c r="N198" s="38"/>
      <c r="O198" s="38"/>
      <c r="P198" s="38"/>
      <c r="Q198" s="38"/>
      <c r="R198" s="38"/>
      <c r="S198" s="38"/>
    </row>
    <row r="199" spans="1:19" x14ac:dyDescent="0.25">
      <c r="A199" s="67">
        <v>37287</v>
      </c>
      <c r="B199" s="8">
        <v>2275.1138000000001</v>
      </c>
      <c r="C199" s="53">
        <f t="shared" si="5"/>
        <v>-1.4583478341130052E-2</v>
      </c>
      <c r="D199" s="62"/>
      <c r="E199" s="8">
        <v>532.92899999999997</v>
      </c>
      <c r="F199" s="53">
        <f t="shared" ref="F199:F262" si="6">E199/E198-1</f>
        <v>-1.0338236432910097E-2</v>
      </c>
      <c r="G199" s="38"/>
      <c r="H199" s="70">
        <v>8.4865751822106802E-3</v>
      </c>
      <c r="I199" s="72"/>
      <c r="J199" s="53">
        <v>6.7287545747760002E-3</v>
      </c>
      <c r="K199" s="38"/>
      <c r="L199" s="38"/>
      <c r="M199" s="38"/>
      <c r="N199" s="38"/>
      <c r="O199" s="38"/>
      <c r="P199" s="38"/>
      <c r="Q199" s="38"/>
      <c r="R199" s="38"/>
      <c r="S199" s="38"/>
    </row>
    <row r="200" spans="1:19" x14ac:dyDescent="0.25">
      <c r="A200" s="67">
        <v>37315</v>
      </c>
      <c r="B200" s="8">
        <v>2231.1968999999999</v>
      </c>
      <c r="C200" s="53">
        <f t="shared" ref="C200:C263" si="7">B200/B199-1</f>
        <v>-1.9303166285572271E-2</v>
      </c>
      <c r="D200" s="62"/>
      <c r="E200" s="8">
        <v>518.33349999999996</v>
      </c>
      <c r="F200" s="53">
        <f t="shared" si="6"/>
        <v>-2.7387325516156968E-2</v>
      </c>
      <c r="G200" s="38"/>
      <c r="H200" s="70">
        <v>6.60057461868828E-3</v>
      </c>
      <c r="I200" s="72"/>
      <c r="J200" s="53">
        <v>9.0083032423433195E-3</v>
      </c>
      <c r="K200" s="38"/>
      <c r="L200" s="38"/>
      <c r="M200" s="38"/>
      <c r="N200" s="38"/>
      <c r="O200" s="38"/>
      <c r="P200" s="38"/>
      <c r="Q200" s="38"/>
      <c r="R200" s="38"/>
      <c r="S200" s="38"/>
    </row>
    <row r="201" spans="1:19" x14ac:dyDescent="0.25">
      <c r="A201" s="67">
        <v>37344</v>
      </c>
      <c r="B201" s="8">
        <v>2315.1057000000001</v>
      </c>
      <c r="C201" s="53">
        <f t="shared" si="7"/>
        <v>3.7607079859245163E-2</v>
      </c>
      <c r="D201" s="62"/>
      <c r="E201" s="8">
        <v>559.98360000000002</v>
      </c>
      <c r="F201" s="53">
        <f t="shared" si="6"/>
        <v>8.0353864837985789E-2</v>
      </c>
      <c r="G201" s="38"/>
      <c r="H201" s="70">
        <v>-1.8578750751529899E-2</v>
      </c>
      <c r="I201" s="72"/>
      <c r="J201" s="53">
        <v>-2.40589439177759E-2</v>
      </c>
      <c r="K201" s="38"/>
      <c r="L201" s="38"/>
      <c r="M201" s="38"/>
      <c r="N201" s="38"/>
      <c r="O201" s="38"/>
      <c r="P201" s="38"/>
      <c r="Q201" s="38"/>
      <c r="R201" s="38"/>
      <c r="S201" s="38"/>
    </row>
    <row r="202" spans="1:19" x14ac:dyDescent="0.25">
      <c r="A202" s="67">
        <v>37376</v>
      </c>
      <c r="B202" s="8">
        <v>2174.7892999999999</v>
      </c>
      <c r="C202" s="53">
        <f t="shared" si="7"/>
        <v>-6.0609068518988174E-2</v>
      </c>
      <c r="D202" s="62"/>
      <c r="E202" s="8">
        <v>565.06769999999995</v>
      </c>
      <c r="F202" s="53">
        <f t="shared" si="6"/>
        <v>9.0790158854650027E-3</v>
      </c>
      <c r="G202" s="38"/>
      <c r="H202" s="70">
        <v>1.2610119145883001E-2</v>
      </c>
      <c r="I202" s="72"/>
      <c r="J202" s="53">
        <v>2.48816535613425E-2</v>
      </c>
      <c r="K202" s="38"/>
      <c r="L202" s="38"/>
      <c r="M202" s="38"/>
      <c r="N202" s="38"/>
      <c r="O202" s="38"/>
      <c r="P202" s="38"/>
      <c r="Q202" s="38"/>
      <c r="R202" s="38"/>
      <c r="S202" s="38"/>
    </row>
    <row r="203" spans="1:19" x14ac:dyDescent="0.25">
      <c r="A203" s="67">
        <v>37407</v>
      </c>
      <c r="B203" s="8">
        <v>2158.8110999999999</v>
      </c>
      <c r="C203" s="53">
        <f t="shared" si="7"/>
        <v>-7.3470105816687559E-3</v>
      </c>
      <c r="D203" s="62"/>
      <c r="E203" s="8">
        <v>540.01649999999995</v>
      </c>
      <c r="F203" s="53">
        <f t="shared" si="6"/>
        <v>-4.4333094954816965E-2</v>
      </c>
      <c r="G203" s="38"/>
      <c r="H203" s="70">
        <v>1.4065164906361999E-2</v>
      </c>
      <c r="I203" s="72"/>
      <c r="J203" s="53">
        <v>5.6002040789246196E-3</v>
      </c>
      <c r="K203" s="38"/>
      <c r="L203" s="38"/>
      <c r="M203" s="38"/>
      <c r="N203" s="38"/>
      <c r="O203" s="38"/>
      <c r="P203" s="38"/>
      <c r="Q203" s="38"/>
      <c r="R203" s="38"/>
      <c r="S203" s="38"/>
    </row>
    <row r="204" spans="1:19" x14ac:dyDescent="0.25">
      <c r="A204" s="67">
        <v>37435</v>
      </c>
      <c r="B204" s="8">
        <v>2005.2842000000001</v>
      </c>
      <c r="C204" s="53">
        <f t="shared" si="7"/>
        <v>-7.1116412177054222E-2</v>
      </c>
      <c r="D204" s="62"/>
      <c r="E204" s="8">
        <v>513.15779999999995</v>
      </c>
      <c r="F204" s="53">
        <f t="shared" si="6"/>
        <v>-4.9736813597362262E-2</v>
      </c>
      <c r="G204" s="38"/>
      <c r="H204" s="70">
        <v>9.5585494605870001E-5</v>
      </c>
      <c r="I204" s="72"/>
      <c r="J204" s="53">
        <v>1.41175484629395E-2</v>
      </c>
      <c r="K204" s="38"/>
      <c r="L204" s="38"/>
      <c r="M204" s="38"/>
      <c r="N204" s="38"/>
      <c r="O204" s="38"/>
      <c r="P204" s="38"/>
      <c r="Q204" s="38"/>
      <c r="R204" s="38"/>
      <c r="S204" s="38"/>
    </row>
    <row r="205" spans="1:19" x14ac:dyDescent="0.25">
      <c r="A205" s="67">
        <v>37468</v>
      </c>
      <c r="B205" s="8">
        <v>1849.0233000000001</v>
      </c>
      <c r="C205" s="53">
        <f t="shared" si="7"/>
        <v>-7.7924565505477994E-2</v>
      </c>
      <c r="D205" s="62"/>
      <c r="E205" s="8">
        <v>435.65839999999997</v>
      </c>
      <c r="F205" s="53">
        <f t="shared" si="6"/>
        <v>-0.15102449967631781</v>
      </c>
      <c r="G205" s="38"/>
      <c r="H205" s="70">
        <v>-3.6349877621620901E-3</v>
      </c>
      <c r="I205" s="72"/>
      <c r="J205" s="53">
        <v>2.36902564331989E-2</v>
      </c>
      <c r="K205" s="38"/>
      <c r="L205" s="38"/>
      <c r="M205" s="38"/>
      <c r="N205" s="38"/>
      <c r="O205" s="38"/>
      <c r="P205" s="38"/>
      <c r="Q205" s="38"/>
      <c r="R205" s="38"/>
      <c r="S205" s="38"/>
    </row>
    <row r="206" spans="1:19" x14ac:dyDescent="0.25">
      <c r="A206" s="67">
        <v>37498</v>
      </c>
      <c r="B206" s="8">
        <v>1861.1066000000001</v>
      </c>
      <c r="C206" s="53">
        <f t="shared" si="7"/>
        <v>6.5349636210640938E-3</v>
      </c>
      <c r="D206" s="62"/>
      <c r="E206" s="8">
        <v>434.52679999999998</v>
      </c>
      <c r="F206" s="53">
        <f t="shared" si="6"/>
        <v>-2.5974479087285118E-3</v>
      </c>
      <c r="G206" s="38"/>
      <c r="H206" s="70">
        <v>2.6521311103965498E-2</v>
      </c>
      <c r="I206" s="72"/>
      <c r="J206" s="53">
        <v>2.1620984782893302E-2</v>
      </c>
      <c r="K206" s="38"/>
      <c r="L206" s="38"/>
      <c r="M206" s="38"/>
      <c r="N206" s="38"/>
      <c r="O206" s="38"/>
      <c r="P206" s="38"/>
      <c r="Q206" s="38"/>
      <c r="R206" s="38"/>
      <c r="S206" s="38"/>
    </row>
    <row r="207" spans="1:19" x14ac:dyDescent="0.25">
      <c r="A207" s="67">
        <v>37529</v>
      </c>
      <c r="B207" s="8">
        <v>1659.027</v>
      </c>
      <c r="C207" s="53">
        <f t="shared" si="7"/>
        <v>-0.10858034676788531</v>
      </c>
      <c r="D207" s="62"/>
      <c r="E207" s="8">
        <v>403.3424</v>
      </c>
      <c r="F207" s="53">
        <f t="shared" si="6"/>
        <v>-7.1766344446418495E-2</v>
      </c>
      <c r="G207" s="38"/>
      <c r="H207" s="70">
        <v>1.9071815350789601E-2</v>
      </c>
      <c r="I207" s="72"/>
      <c r="J207" s="53">
        <v>2.6961840276647102E-2</v>
      </c>
      <c r="K207" s="38"/>
      <c r="L207" s="38"/>
      <c r="M207" s="38"/>
      <c r="N207" s="38"/>
      <c r="O207" s="38"/>
      <c r="P207" s="38"/>
      <c r="Q207" s="38"/>
      <c r="R207" s="38"/>
      <c r="S207" s="38"/>
    </row>
    <row r="208" spans="1:19" x14ac:dyDescent="0.25">
      <c r="A208" s="67">
        <v>37560</v>
      </c>
      <c r="B208" s="8">
        <v>1804.904</v>
      </c>
      <c r="C208" s="53">
        <f t="shared" si="7"/>
        <v>8.7929250096592693E-2</v>
      </c>
      <c r="D208" s="62"/>
      <c r="E208" s="8">
        <v>416.24489999999997</v>
      </c>
      <c r="F208" s="53">
        <f t="shared" si="6"/>
        <v>3.1988950331033772E-2</v>
      </c>
      <c r="G208" s="38"/>
      <c r="H208" s="70">
        <v>-1.34203982262924E-2</v>
      </c>
      <c r="I208" s="72"/>
      <c r="J208" s="53">
        <v>-1.10660394434587E-2</v>
      </c>
      <c r="K208" s="38"/>
      <c r="L208" s="38"/>
      <c r="M208" s="38"/>
      <c r="N208" s="38"/>
      <c r="O208" s="38"/>
      <c r="P208" s="38"/>
      <c r="Q208" s="38"/>
      <c r="R208" s="38"/>
      <c r="S208" s="38"/>
    </row>
    <row r="209" spans="1:19" x14ac:dyDescent="0.25">
      <c r="A209" s="67">
        <v>37589</v>
      </c>
      <c r="B209" s="8">
        <v>1911.038</v>
      </c>
      <c r="C209" s="53">
        <f t="shared" si="7"/>
        <v>5.8803127479356343E-2</v>
      </c>
      <c r="D209" s="62"/>
      <c r="E209" s="8">
        <v>453.3562</v>
      </c>
      <c r="F209" s="53">
        <f t="shared" si="6"/>
        <v>8.9157368654847247E-2</v>
      </c>
      <c r="G209" s="38"/>
      <c r="H209" s="70">
        <v>1.5634610546116999E-2</v>
      </c>
      <c r="I209" s="72"/>
      <c r="J209" s="53">
        <v>-9.9037212879510197E-3</v>
      </c>
      <c r="K209" s="38"/>
      <c r="L209" s="38"/>
      <c r="M209" s="38"/>
      <c r="N209" s="38"/>
      <c r="O209" s="38"/>
      <c r="P209" s="38"/>
      <c r="Q209" s="38"/>
      <c r="R209" s="38"/>
      <c r="S209" s="38"/>
    </row>
    <row r="210" spans="1:19" x14ac:dyDescent="0.25">
      <c r="A210" s="67">
        <v>37621</v>
      </c>
      <c r="B210" s="8">
        <v>1798.8</v>
      </c>
      <c r="C210" s="53">
        <f t="shared" si="7"/>
        <v>-5.8731432865280597E-2</v>
      </c>
      <c r="D210" s="62"/>
      <c r="E210" s="8">
        <v>428.16699999999997</v>
      </c>
      <c r="F210" s="53">
        <f t="shared" si="6"/>
        <v>-5.5561609171772774E-2</v>
      </c>
      <c r="G210" s="38"/>
      <c r="H210" s="70">
        <v>3.0530673217475202E-2</v>
      </c>
      <c r="I210" s="72"/>
      <c r="J210" s="53">
        <v>2.5980700631685099E-2</v>
      </c>
      <c r="K210" s="38"/>
      <c r="L210" s="38"/>
      <c r="M210" s="38"/>
      <c r="N210" s="38"/>
      <c r="O210" s="38"/>
      <c r="P210" s="38"/>
      <c r="Q210" s="38"/>
      <c r="R210" s="38"/>
      <c r="S210" s="38"/>
    </row>
    <row r="211" spans="1:19" x14ac:dyDescent="0.25">
      <c r="A211" s="67">
        <v>37652</v>
      </c>
      <c r="B211" s="8">
        <v>1751.7702999999999</v>
      </c>
      <c r="C211" s="53">
        <f t="shared" si="7"/>
        <v>-2.6145041138536884E-2</v>
      </c>
      <c r="D211" s="62"/>
      <c r="E211" s="8">
        <v>416.32940000000002</v>
      </c>
      <c r="F211" s="53">
        <f t="shared" si="6"/>
        <v>-2.764715636655779E-2</v>
      </c>
      <c r="G211" s="38"/>
      <c r="H211" s="70">
        <v>4.21152631038723E-3</v>
      </c>
      <c r="I211" s="72"/>
      <c r="J211" s="53">
        <v>-3.0381381484432799E-3</v>
      </c>
      <c r="K211" s="38"/>
      <c r="L211" s="38"/>
      <c r="M211" s="38"/>
      <c r="N211" s="38"/>
      <c r="O211" s="38"/>
      <c r="P211" s="38"/>
      <c r="Q211" s="38"/>
      <c r="R211" s="38"/>
      <c r="S211" s="38"/>
    </row>
    <row r="212" spans="1:19" x14ac:dyDescent="0.25">
      <c r="A212" s="67">
        <v>37680</v>
      </c>
      <c r="B212" s="8">
        <v>1725.4492</v>
      </c>
      <c r="C212" s="53">
        <f t="shared" si="7"/>
        <v>-1.502542884760627E-2</v>
      </c>
      <c r="D212" s="62"/>
      <c r="E212" s="8">
        <v>403.7491</v>
      </c>
      <c r="F212" s="53">
        <f t="shared" si="6"/>
        <v>-3.0217178993364402E-2</v>
      </c>
      <c r="G212" s="38"/>
      <c r="H212" s="70">
        <v>2.0542505761831503E-2</v>
      </c>
      <c r="I212" s="72"/>
      <c r="J212" s="53">
        <v>1.7203701982044E-2</v>
      </c>
      <c r="K212" s="38"/>
      <c r="L212" s="38"/>
      <c r="M212" s="38"/>
      <c r="N212" s="38"/>
      <c r="O212" s="38"/>
      <c r="P212" s="38"/>
      <c r="Q212" s="38"/>
      <c r="R212" s="38"/>
      <c r="S212" s="38"/>
    </row>
    <row r="213" spans="1:19" x14ac:dyDescent="0.25">
      <c r="A213" s="67">
        <v>37711</v>
      </c>
      <c r="B213" s="8">
        <v>1742.136</v>
      </c>
      <c r="C213" s="53">
        <f t="shared" si="7"/>
        <v>9.6709888648127684E-3</v>
      </c>
      <c r="D213" s="62"/>
      <c r="E213" s="8">
        <v>408.93729999999999</v>
      </c>
      <c r="F213" s="53">
        <f t="shared" si="6"/>
        <v>1.2850059603848107E-2</v>
      </c>
      <c r="G213" s="38"/>
      <c r="H213" s="70">
        <v>4.2933688021173E-4</v>
      </c>
      <c r="I213" s="72"/>
      <c r="J213" s="53">
        <v>-4.1598892626092095E-3</v>
      </c>
      <c r="K213" s="38"/>
      <c r="L213" s="38"/>
      <c r="M213" s="38"/>
      <c r="N213" s="38"/>
      <c r="O213" s="38"/>
      <c r="P213" s="38"/>
      <c r="Q213" s="38"/>
      <c r="R213" s="38"/>
      <c r="S213" s="38"/>
    </row>
    <row r="214" spans="1:19" x14ac:dyDescent="0.25">
      <c r="A214" s="67">
        <v>37741</v>
      </c>
      <c r="B214" s="8">
        <v>1885.5246</v>
      </c>
      <c r="C214" s="53">
        <f t="shared" si="7"/>
        <v>8.2306203419250767E-2</v>
      </c>
      <c r="D214" s="62"/>
      <c r="E214" s="8">
        <v>447.69540000000001</v>
      </c>
      <c r="F214" s="53">
        <f t="shared" si="6"/>
        <v>9.4777610161753456E-2</v>
      </c>
      <c r="G214" s="38"/>
      <c r="H214" s="70">
        <v>1.99603686237541E-2</v>
      </c>
      <c r="I214" s="72"/>
      <c r="J214" s="53">
        <v>4.6506858525877295E-3</v>
      </c>
      <c r="K214" s="38"/>
      <c r="L214" s="38"/>
      <c r="M214" s="38"/>
      <c r="N214" s="38"/>
      <c r="O214" s="38"/>
      <c r="P214" s="38"/>
      <c r="Q214" s="38"/>
      <c r="R214" s="38"/>
      <c r="S214" s="38"/>
    </row>
    <row r="215" spans="1:19" x14ac:dyDescent="0.25">
      <c r="A215" s="67">
        <v>37771</v>
      </c>
      <c r="B215" s="8">
        <v>1984.7654</v>
      </c>
      <c r="C215" s="53">
        <f t="shared" si="7"/>
        <v>5.2632991370147097E-2</v>
      </c>
      <c r="D215" s="62"/>
      <c r="E215" s="8">
        <v>495.70839999999998</v>
      </c>
      <c r="F215" s="53">
        <f t="shared" si="6"/>
        <v>0.10724479188305258</v>
      </c>
      <c r="G215" s="38"/>
      <c r="H215" s="70">
        <v>3.2407422029621796E-2</v>
      </c>
      <c r="I215" s="72"/>
      <c r="J215" s="53">
        <v>2.8840253070987001E-2</v>
      </c>
      <c r="K215" s="38"/>
      <c r="L215" s="38"/>
      <c r="M215" s="38"/>
      <c r="N215" s="38"/>
      <c r="O215" s="38"/>
      <c r="P215" s="38"/>
      <c r="Q215" s="38"/>
      <c r="R215" s="38"/>
      <c r="S215" s="38"/>
    </row>
    <row r="216" spans="1:19" x14ac:dyDescent="0.25">
      <c r="A216" s="67">
        <v>37802</v>
      </c>
      <c r="B216" s="8">
        <v>2010.1196</v>
      </c>
      <c r="C216" s="53">
        <f t="shared" si="7"/>
        <v>1.2774406486529832E-2</v>
      </c>
      <c r="D216" s="62"/>
      <c r="E216" s="8">
        <v>504.70339999999999</v>
      </c>
      <c r="F216" s="53">
        <f t="shared" si="6"/>
        <v>1.8145748589291522E-2</v>
      </c>
      <c r="G216" s="38"/>
      <c r="H216" s="70">
        <v>-2.28345768686937E-3</v>
      </c>
      <c r="I216" s="72"/>
      <c r="J216" s="53">
        <v>-6.1218595131379006E-3</v>
      </c>
      <c r="K216" s="38"/>
      <c r="L216" s="38"/>
      <c r="M216" s="38"/>
      <c r="N216" s="38"/>
      <c r="O216" s="38"/>
      <c r="P216" s="38"/>
      <c r="Q216" s="38"/>
      <c r="R216" s="38"/>
      <c r="S216" s="38"/>
    </row>
    <row r="217" spans="1:19" x14ac:dyDescent="0.25">
      <c r="A217" s="67">
        <v>37833</v>
      </c>
      <c r="B217" s="8">
        <v>2045.4984999999999</v>
      </c>
      <c r="C217" s="53">
        <f t="shared" si="7"/>
        <v>1.7600395518754253E-2</v>
      </c>
      <c r="D217" s="62"/>
      <c r="E217" s="8">
        <v>536.25390000000004</v>
      </c>
      <c r="F217" s="53">
        <f t="shared" si="6"/>
        <v>6.2512953152287221E-2</v>
      </c>
      <c r="G217" s="38"/>
      <c r="H217" s="70">
        <v>-4.3438745639011504E-2</v>
      </c>
      <c r="I217" s="72"/>
      <c r="J217" s="53">
        <v>-4.3926687831454904E-2</v>
      </c>
      <c r="K217" s="38"/>
      <c r="L217" s="38"/>
      <c r="M217" s="38"/>
      <c r="N217" s="38"/>
      <c r="O217" s="38"/>
      <c r="P217" s="38"/>
      <c r="Q217" s="38"/>
      <c r="R217" s="38"/>
      <c r="S217" s="38"/>
    </row>
    <row r="218" spans="1:19" x14ac:dyDescent="0.25">
      <c r="A218" s="67">
        <v>37862</v>
      </c>
      <c r="B218" s="8">
        <v>2085.3056000000001</v>
      </c>
      <c r="C218" s="53">
        <f t="shared" si="7"/>
        <v>1.9460830697260567E-2</v>
      </c>
      <c r="D218" s="62"/>
      <c r="E218" s="8">
        <v>560.81190000000004</v>
      </c>
      <c r="F218" s="53">
        <f t="shared" si="6"/>
        <v>4.5795471137832333E-2</v>
      </c>
      <c r="G218" s="38"/>
      <c r="H218" s="70">
        <v>8.3151860930943504E-3</v>
      </c>
      <c r="I218" s="72"/>
      <c r="J218" s="53">
        <v>5.9348006101100905E-3</v>
      </c>
      <c r="K218" s="38"/>
      <c r="L218" s="38"/>
      <c r="M218" s="38"/>
      <c r="N218" s="38"/>
      <c r="O218" s="38"/>
      <c r="P218" s="38"/>
      <c r="Q218" s="38"/>
      <c r="R218" s="38"/>
      <c r="S218" s="38"/>
    </row>
    <row r="219" spans="1:19" x14ac:dyDescent="0.25">
      <c r="A219" s="67">
        <v>37894</v>
      </c>
      <c r="B219" s="8">
        <v>2063.1981999999998</v>
      </c>
      <c r="C219" s="53">
        <f t="shared" si="7"/>
        <v>-1.0601515672331363E-2</v>
      </c>
      <c r="D219" s="62"/>
      <c r="E219" s="8">
        <v>550.46960000000001</v>
      </c>
      <c r="F219" s="53">
        <f t="shared" si="6"/>
        <v>-1.8441655749458996E-2</v>
      </c>
      <c r="G219" s="38"/>
      <c r="H219" s="70">
        <v>3.58088731560227E-2</v>
      </c>
      <c r="I219" s="72"/>
      <c r="J219" s="53">
        <v>3.0151717226249302E-2</v>
      </c>
      <c r="K219" s="38"/>
      <c r="L219" s="38"/>
      <c r="M219" s="38"/>
      <c r="N219" s="38"/>
      <c r="O219" s="38"/>
      <c r="P219" s="38"/>
      <c r="Q219" s="38"/>
      <c r="R219" s="38"/>
      <c r="S219" s="38"/>
    </row>
    <row r="220" spans="1:19" x14ac:dyDescent="0.25">
      <c r="A220" s="67">
        <v>37925</v>
      </c>
      <c r="B220" s="8">
        <v>2179.7968999999998</v>
      </c>
      <c r="C220" s="53">
        <f t="shared" si="7"/>
        <v>5.6513571987412581E-2</v>
      </c>
      <c r="D220" s="62"/>
      <c r="E220" s="8">
        <v>596.67319999999995</v>
      </c>
      <c r="F220" s="53">
        <f t="shared" si="6"/>
        <v>8.3934880327632966E-2</v>
      </c>
      <c r="G220" s="38"/>
      <c r="H220" s="70">
        <v>-1.05176297494947E-2</v>
      </c>
      <c r="I220" s="72"/>
      <c r="J220" s="53">
        <v>-1.52571834839152E-2</v>
      </c>
      <c r="K220" s="38"/>
      <c r="L220" s="38"/>
      <c r="M220" s="38"/>
      <c r="N220" s="38"/>
      <c r="O220" s="38"/>
      <c r="P220" s="38"/>
      <c r="Q220" s="38"/>
      <c r="R220" s="38"/>
      <c r="S220" s="38"/>
    </row>
    <row r="221" spans="1:19" x14ac:dyDescent="0.25">
      <c r="A221" s="67">
        <v>37953</v>
      </c>
      <c r="B221" s="8">
        <v>2198.9196000000002</v>
      </c>
      <c r="C221" s="53">
        <f t="shared" si="7"/>
        <v>8.7726980435656188E-3</v>
      </c>
      <c r="D221" s="62"/>
      <c r="E221" s="8">
        <v>617.77170000000001</v>
      </c>
      <c r="F221" s="53">
        <f t="shared" si="6"/>
        <v>3.5360227340527572E-2</v>
      </c>
      <c r="G221" s="38"/>
      <c r="H221" s="70">
        <v>5.0770224222570805E-3</v>
      </c>
      <c r="I221" s="72"/>
      <c r="J221" s="53">
        <v>1.2510305831174302E-3</v>
      </c>
      <c r="K221" s="38"/>
      <c r="L221" s="38"/>
      <c r="M221" s="38"/>
      <c r="N221" s="38"/>
      <c r="O221" s="38"/>
      <c r="P221" s="38"/>
      <c r="Q221" s="38"/>
      <c r="R221" s="38"/>
      <c r="S221" s="38"/>
    </row>
    <row r="222" spans="1:19" x14ac:dyDescent="0.25">
      <c r="A222" s="67">
        <v>37986</v>
      </c>
      <c r="B222" s="8">
        <v>2314.1095</v>
      </c>
      <c r="C222" s="53">
        <f t="shared" si="7"/>
        <v>5.2384771139426745E-2</v>
      </c>
      <c r="D222" s="62"/>
      <c r="E222" s="8">
        <v>630.48030000000006</v>
      </c>
      <c r="F222" s="53">
        <f t="shared" si="6"/>
        <v>2.0571677206968175E-2</v>
      </c>
      <c r="G222" s="38"/>
      <c r="H222" s="70">
        <v>1.1389488856173101E-2</v>
      </c>
      <c r="I222" s="72"/>
      <c r="J222" s="53">
        <v>8.8565100348615197E-3</v>
      </c>
      <c r="K222" s="38"/>
      <c r="L222" s="38"/>
      <c r="M222" s="38"/>
      <c r="N222" s="38"/>
      <c r="O222" s="38"/>
      <c r="P222" s="38"/>
      <c r="Q222" s="38"/>
      <c r="R222" s="38"/>
      <c r="S222" s="38"/>
    </row>
    <row r="223" spans="1:19" x14ac:dyDescent="0.25">
      <c r="A223" s="67">
        <v>38016</v>
      </c>
      <c r="B223" s="8">
        <v>2356.5801999999999</v>
      </c>
      <c r="C223" s="53">
        <f t="shared" si="7"/>
        <v>1.8352934465719839E-2</v>
      </c>
      <c r="D223" s="62"/>
      <c r="E223" s="8">
        <v>657.83960000000002</v>
      </c>
      <c r="F223" s="53">
        <f t="shared" si="6"/>
        <v>4.3394377270788542E-2</v>
      </c>
      <c r="G223" s="38"/>
      <c r="H223" s="70">
        <v>1.04806687890335E-2</v>
      </c>
      <c r="I223" s="72"/>
      <c r="J223" s="53">
        <v>8.5177966972323597E-3</v>
      </c>
      <c r="K223" s="38"/>
      <c r="L223" s="38"/>
      <c r="M223" s="38"/>
      <c r="N223" s="38"/>
      <c r="O223" s="38"/>
      <c r="P223" s="38"/>
      <c r="Q223" s="38"/>
      <c r="R223" s="38"/>
      <c r="S223" s="38"/>
    </row>
    <row r="224" spans="1:19" x14ac:dyDescent="0.25">
      <c r="A224" s="67">
        <v>38044</v>
      </c>
      <c r="B224" s="8">
        <v>2389.3231000000001</v>
      </c>
      <c r="C224" s="53">
        <f t="shared" si="7"/>
        <v>1.3894243870843148E-2</v>
      </c>
      <c r="D224" s="62"/>
      <c r="E224" s="8">
        <v>663.76430000000005</v>
      </c>
      <c r="F224" s="53">
        <f t="shared" si="6"/>
        <v>9.0062987998897892E-3</v>
      </c>
      <c r="G224" s="38"/>
      <c r="H224" s="70">
        <v>1.2451714197758701E-2</v>
      </c>
      <c r="I224" s="72"/>
      <c r="J224" s="53">
        <v>1.2390715785454001E-2</v>
      </c>
      <c r="K224" s="38"/>
      <c r="L224" s="38"/>
      <c r="M224" s="38"/>
      <c r="N224" s="38"/>
      <c r="O224" s="38"/>
      <c r="P224" s="38"/>
      <c r="Q224" s="38"/>
      <c r="R224" s="38"/>
      <c r="S224" s="38"/>
    </row>
    <row r="225" spans="1:19" x14ac:dyDescent="0.25">
      <c r="A225" s="67">
        <v>38077</v>
      </c>
      <c r="B225" s="8">
        <v>2353.2763</v>
      </c>
      <c r="C225" s="53">
        <f t="shared" si="7"/>
        <v>-1.5086615954116867E-2</v>
      </c>
      <c r="D225" s="62"/>
      <c r="E225" s="8">
        <v>669.85709999999995</v>
      </c>
      <c r="F225" s="53">
        <f t="shared" si="6"/>
        <v>9.1791619404657521E-3</v>
      </c>
      <c r="G225" s="38"/>
      <c r="H225" s="70">
        <v>9.4471873161083696E-3</v>
      </c>
      <c r="I225" s="72"/>
      <c r="J225" s="53">
        <v>9.3835242536525598E-3</v>
      </c>
      <c r="K225" s="38"/>
      <c r="L225" s="38"/>
      <c r="M225" s="38"/>
      <c r="N225" s="38"/>
      <c r="O225" s="38"/>
      <c r="P225" s="38"/>
      <c r="Q225" s="38"/>
      <c r="R225" s="38"/>
      <c r="S225" s="38"/>
    </row>
    <row r="226" spans="1:19" x14ac:dyDescent="0.25">
      <c r="A226" s="67">
        <v>38107</v>
      </c>
      <c r="B226" s="8">
        <v>2316.3895000000002</v>
      </c>
      <c r="C226" s="53">
        <f t="shared" si="7"/>
        <v>-1.5674657497719124E-2</v>
      </c>
      <c r="D226" s="62"/>
      <c r="E226" s="8">
        <v>635.71479999999997</v>
      </c>
      <c r="F226" s="53">
        <f t="shared" si="6"/>
        <v>-5.096952767985885E-2</v>
      </c>
      <c r="G226" s="38"/>
      <c r="H226" s="70">
        <v>-3.1440231819398597E-2</v>
      </c>
      <c r="I226" s="72"/>
      <c r="J226" s="53">
        <v>-3.21608461239467E-2</v>
      </c>
      <c r="K226" s="38"/>
      <c r="L226" s="38"/>
      <c r="M226" s="38"/>
      <c r="N226" s="38"/>
      <c r="O226" s="38"/>
      <c r="P226" s="38"/>
      <c r="Q226" s="38"/>
      <c r="R226" s="38"/>
      <c r="S226" s="38"/>
    </row>
    <row r="227" spans="1:19" x14ac:dyDescent="0.25">
      <c r="A227" s="67">
        <v>38138</v>
      </c>
      <c r="B227" s="8">
        <v>2348.0906</v>
      </c>
      <c r="C227" s="53">
        <f t="shared" si="7"/>
        <v>1.3685565402536959E-2</v>
      </c>
      <c r="D227" s="62"/>
      <c r="E227" s="8">
        <v>645.81899999999996</v>
      </c>
      <c r="F227" s="53">
        <f t="shared" si="6"/>
        <v>1.5894234332754165E-2</v>
      </c>
      <c r="G227" s="38"/>
      <c r="H227" s="70">
        <v>-7.2398300357922997E-3</v>
      </c>
      <c r="I227" s="72"/>
      <c r="J227" s="53">
        <v>-3.4344859216049102E-3</v>
      </c>
      <c r="K227" s="38"/>
      <c r="L227" s="38"/>
      <c r="M227" s="38"/>
      <c r="N227" s="38"/>
      <c r="O227" s="38"/>
      <c r="P227" s="38"/>
      <c r="Q227" s="38"/>
      <c r="R227" s="38"/>
      <c r="S227" s="38"/>
    </row>
    <row r="228" spans="1:19" x14ac:dyDescent="0.25">
      <c r="A228" s="67">
        <v>38168</v>
      </c>
      <c r="B228" s="8">
        <v>2393.7201</v>
      </c>
      <c r="C228" s="53">
        <f t="shared" si="7"/>
        <v>1.9432597703001653E-2</v>
      </c>
      <c r="D228" s="62"/>
      <c r="E228" s="8">
        <v>673.00729999999999</v>
      </c>
      <c r="F228" s="53">
        <f t="shared" si="6"/>
        <v>4.2098947228248251E-2</v>
      </c>
      <c r="G228" s="38"/>
      <c r="H228" s="70">
        <v>4.4130730836398598E-3</v>
      </c>
      <c r="I228" s="72"/>
      <c r="J228" s="53">
        <v>4.01191047193357E-3</v>
      </c>
      <c r="K228" s="38"/>
      <c r="L228" s="38"/>
      <c r="M228" s="38"/>
      <c r="N228" s="38"/>
      <c r="O228" s="38"/>
      <c r="P228" s="38"/>
      <c r="Q228" s="38"/>
      <c r="R228" s="38"/>
      <c r="S228" s="38"/>
    </row>
    <row r="229" spans="1:19" x14ac:dyDescent="0.25">
      <c r="A229" s="67">
        <v>38198</v>
      </c>
      <c r="B229" s="8">
        <v>2314.5109000000002</v>
      </c>
      <c r="C229" s="53">
        <f t="shared" si="7"/>
        <v>-3.3090418549771017E-2</v>
      </c>
      <c r="D229" s="62"/>
      <c r="E229" s="8">
        <v>627.70759999999996</v>
      </c>
      <c r="F229" s="53">
        <f t="shared" si="6"/>
        <v>-6.7309373910208747E-2</v>
      </c>
      <c r="G229" s="38"/>
      <c r="H229" s="70">
        <v>1.2441895787068599E-2</v>
      </c>
      <c r="I229" s="72"/>
      <c r="J229" s="53">
        <v>9.5235461715749807E-3</v>
      </c>
      <c r="K229" s="38"/>
      <c r="L229" s="38"/>
      <c r="M229" s="38"/>
      <c r="N229" s="38"/>
      <c r="O229" s="38"/>
      <c r="P229" s="38"/>
      <c r="Q229" s="38"/>
      <c r="R229" s="38"/>
      <c r="S229" s="38"/>
    </row>
    <row r="230" spans="1:19" x14ac:dyDescent="0.25">
      <c r="A230" s="67">
        <v>38230</v>
      </c>
      <c r="B230" s="8">
        <v>2323.7755999999999</v>
      </c>
      <c r="C230" s="53">
        <f t="shared" si="7"/>
        <v>4.0028759423857974E-3</v>
      </c>
      <c r="D230" s="62"/>
      <c r="E230" s="8">
        <v>624.44029999999998</v>
      </c>
      <c r="F230" s="53">
        <f t="shared" si="6"/>
        <v>-5.2051305416725979E-3</v>
      </c>
      <c r="G230" s="38"/>
      <c r="H230" s="70">
        <v>2.3777696985285299E-2</v>
      </c>
      <c r="I230" s="72"/>
      <c r="J230" s="53">
        <v>2.0677608151822603E-2</v>
      </c>
      <c r="K230" s="38"/>
      <c r="L230" s="38"/>
      <c r="M230" s="38"/>
      <c r="N230" s="38"/>
      <c r="O230" s="38"/>
      <c r="P230" s="38"/>
      <c r="Q230" s="38"/>
      <c r="R230" s="38"/>
      <c r="S230" s="38"/>
    </row>
    <row r="231" spans="1:19" x14ac:dyDescent="0.25">
      <c r="A231" s="67">
        <v>38260</v>
      </c>
      <c r="B231" s="8">
        <v>2348.9409999999998</v>
      </c>
      <c r="C231" s="53">
        <f t="shared" si="7"/>
        <v>1.0829531044219465E-2</v>
      </c>
      <c r="D231" s="62"/>
      <c r="E231" s="8">
        <v>653.74950000000001</v>
      </c>
      <c r="F231" s="53">
        <f t="shared" si="6"/>
        <v>4.6936752800868398E-2</v>
      </c>
      <c r="G231" s="38"/>
      <c r="H231" s="70">
        <v>6.1606727523855201E-3</v>
      </c>
      <c r="I231" s="72"/>
      <c r="J231" s="53">
        <v>2.5731259748143398E-3</v>
      </c>
      <c r="K231" s="38"/>
      <c r="L231" s="38"/>
      <c r="M231" s="38"/>
      <c r="N231" s="38"/>
      <c r="O231" s="38"/>
      <c r="P231" s="38"/>
      <c r="Q231" s="38"/>
      <c r="R231" s="38"/>
      <c r="S231" s="38"/>
    </row>
    <row r="232" spans="1:19" x14ac:dyDescent="0.25">
      <c r="A232" s="67">
        <v>38289</v>
      </c>
      <c r="B232" s="8">
        <v>2384.8198000000002</v>
      </c>
      <c r="C232" s="53">
        <f t="shared" si="7"/>
        <v>1.5274457723714718E-2</v>
      </c>
      <c r="D232" s="62"/>
      <c r="E232" s="8">
        <v>666.6087</v>
      </c>
      <c r="F232" s="53">
        <f t="shared" si="6"/>
        <v>1.9669919441620998E-2</v>
      </c>
      <c r="G232" s="38"/>
      <c r="H232" s="70">
        <v>9.7573969583956491E-3</v>
      </c>
      <c r="I232" s="72"/>
      <c r="J232" s="53">
        <v>7.9273296134704102E-3</v>
      </c>
      <c r="K232" s="38"/>
      <c r="L232" s="38"/>
      <c r="M232" s="38"/>
      <c r="N232" s="38"/>
      <c r="O232" s="38"/>
      <c r="P232" s="38"/>
      <c r="Q232" s="38"/>
      <c r="R232" s="38"/>
      <c r="S232" s="38"/>
    </row>
    <row r="233" spans="1:19" x14ac:dyDescent="0.25">
      <c r="A233" s="67">
        <v>38321</v>
      </c>
      <c r="B233" s="8">
        <v>2481.2934</v>
      </c>
      <c r="C233" s="53">
        <f t="shared" si="7"/>
        <v>4.0453203214766864E-2</v>
      </c>
      <c r="D233" s="62"/>
      <c r="E233" s="8">
        <v>724.25570000000005</v>
      </c>
      <c r="F233" s="53">
        <f t="shared" si="6"/>
        <v>8.6478019263775074E-2</v>
      </c>
      <c r="G233" s="38"/>
      <c r="H233" s="70">
        <v>-1.0169669423743899E-2</v>
      </c>
      <c r="I233" s="72"/>
      <c r="J233" s="53">
        <v>-1.3427413943176701E-2</v>
      </c>
      <c r="K233" s="38"/>
      <c r="L233" s="38"/>
      <c r="M233" s="38"/>
      <c r="N233" s="38"/>
      <c r="O233" s="38"/>
      <c r="P233" s="38"/>
      <c r="Q233" s="38"/>
      <c r="R233" s="38"/>
      <c r="S233" s="38"/>
    </row>
    <row r="234" spans="1:19" x14ac:dyDescent="0.25">
      <c r="A234" s="67">
        <v>38352</v>
      </c>
      <c r="B234" s="8">
        <v>2565.6055999999999</v>
      </c>
      <c r="C234" s="53">
        <f t="shared" si="7"/>
        <v>3.3979133624423286E-2</v>
      </c>
      <c r="D234" s="62"/>
      <c r="E234" s="8">
        <v>745.62440000000004</v>
      </c>
      <c r="F234" s="53">
        <f t="shared" si="6"/>
        <v>2.950435875064561E-2</v>
      </c>
      <c r="G234" s="38"/>
      <c r="H234" s="70">
        <v>1.3678610609097299E-2</v>
      </c>
      <c r="I234" s="72"/>
      <c r="J234" s="53">
        <v>9.9086020174835206E-3</v>
      </c>
      <c r="K234" s="38"/>
      <c r="L234" s="38"/>
      <c r="M234" s="38"/>
      <c r="N234" s="38"/>
      <c r="O234" s="38"/>
      <c r="P234" s="38"/>
      <c r="Q234" s="38"/>
      <c r="R234" s="38"/>
      <c r="S234" s="38"/>
    </row>
    <row r="235" spans="1:19" x14ac:dyDescent="0.25">
      <c r="A235" s="67">
        <v>38383</v>
      </c>
      <c r="B235" s="8">
        <v>2503.0729000000001</v>
      </c>
      <c r="C235" s="53">
        <f t="shared" si="7"/>
        <v>-2.4373465664402905E-2</v>
      </c>
      <c r="D235" s="62"/>
      <c r="E235" s="8">
        <v>714.48950000000002</v>
      </c>
      <c r="F235" s="53">
        <f t="shared" si="6"/>
        <v>-4.1756814825265942E-2</v>
      </c>
      <c r="G235" s="38"/>
      <c r="H235" s="70">
        <v>7.9664163543257897E-3</v>
      </c>
      <c r="I235" s="72"/>
      <c r="J235" s="53">
        <v>7.3013496216167498E-3</v>
      </c>
      <c r="K235" s="38"/>
      <c r="L235" s="38"/>
      <c r="M235" s="38"/>
      <c r="N235" s="38"/>
      <c r="O235" s="38"/>
      <c r="P235" s="38"/>
      <c r="Q235" s="38"/>
      <c r="R235" s="38"/>
      <c r="S235" s="38"/>
    </row>
    <row r="236" spans="1:19" x14ac:dyDescent="0.25">
      <c r="A236" s="67">
        <v>38411</v>
      </c>
      <c r="B236" s="8">
        <v>2555.7239</v>
      </c>
      <c r="C236" s="53">
        <f t="shared" si="7"/>
        <v>2.1034545178448383E-2</v>
      </c>
      <c r="D236" s="62"/>
      <c r="E236" s="8">
        <v>726.56600000000003</v>
      </c>
      <c r="F236" s="53">
        <f t="shared" si="6"/>
        <v>1.69022777801493E-2</v>
      </c>
      <c r="G236" s="38"/>
      <c r="H236" s="70">
        <v>-5.9551388569041193E-3</v>
      </c>
      <c r="I236" s="72"/>
      <c r="J236" s="53">
        <v>-8.1675444382707796E-3</v>
      </c>
      <c r="K236" s="38"/>
      <c r="L236" s="38"/>
      <c r="M236" s="38"/>
      <c r="N236" s="38"/>
      <c r="O236" s="38"/>
      <c r="P236" s="38"/>
      <c r="Q236" s="38"/>
      <c r="R236" s="38"/>
      <c r="S236" s="38"/>
    </row>
    <row r="237" spans="1:19" x14ac:dyDescent="0.25">
      <c r="A237" s="67">
        <v>38442</v>
      </c>
      <c r="B237" s="8">
        <v>2510.5158999999999</v>
      </c>
      <c r="C237" s="53">
        <f t="shared" si="7"/>
        <v>-1.7688921718030715E-2</v>
      </c>
      <c r="D237" s="62"/>
      <c r="E237" s="8">
        <v>705.72410000000002</v>
      </c>
      <c r="F237" s="53">
        <f t="shared" si="6"/>
        <v>-2.8685487622597261E-2</v>
      </c>
      <c r="G237" s="38"/>
      <c r="H237" s="70">
        <v>-1.3254755252576401E-2</v>
      </c>
      <c r="I237" s="72"/>
      <c r="J237" s="53">
        <v>-3.2503524701314999E-3</v>
      </c>
      <c r="K237" s="38"/>
      <c r="L237" s="38"/>
      <c r="M237" s="38"/>
      <c r="N237" s="38"/>
      <c r="O237" s="38"/>
      <c r="P237" s="38"/>
      <c r="Q237" s="38"/>
      <c r="R237" s="38"/>
      <c r="S237" s="38"/>
    </row>
    <row r="238" spans="1:19" x14ac:dyDescent="0.25">
      <c r="A238" s="67">
        <v>38471</v>
      </c>
      <c r="B238" s="8">
        <v>2462.9184</v>
      </c>
      <c r="C238" s="53">
        <f t="shared" si="7"/>
        <v>-1.8959250566785824E-2</v>
      </c>
      <c r="D238" s="62"/>
      <c r="E238" s="8">
        <v>665.32690000000002</v>
      </c>
      <c r="F238" s="53">
        <f t="shared" si="6"/>
        <v>-5.7242199890863876E-2</v>
      </c>
      <c r="G238" s="38"/>
      <c r="H238" s="70">
        <v>1.2971864661360698E-2</v>
      </c>
      <c r="I238" s="72"/>
      <c r="J238" s="53">
        <v>1.7577178180284102E-2</v>
      </c>
      <c r="K238" s="38"/>
      <c r="L238" s="38"/>
      <c r="M238" s="38"/>
      <c r="N238" s="38"/>
      <c r="O238" s="38"/>
      <c r="P238" s="38"/>
      <c r="Q238" s="38"/>
      <c r="R238" s="38"/>
      <c r="S238" s="38"/>
    </row>
    <row r="239" spans="1:19" x14ac:dyDescent="0.25">
      <c r="A239" s="67">
        <v>38503</v>
      </c>
      <c r="B239" s="8">
        <v>2541.2199999999998</v>
      </c>
      <c r="C239" s="53">
        <f t="shared" si="7"/>
        <v>3.1792202291395455E-2</v>
      </c>
      <c r="D239" s="62"/>
      <c r="E239" s="8">
        <v>708.85260000000005</v>
      </c>
      <c r="F239" s="53">
        <f t="shared" si="6"/>
        <v>6.542002134589775E-2</v>
      </c>
      <c r="G239" s="38"/>
      <c r="H239" s="70">
        <v>1.3747235276124901E-2</v>
      </c>
      <c r="I239" s="72"/>
      <c r="J239" s="53">
        <v>1.2215902603408999E-2</v>
      </c>
      <c r="K239" s="38"/>
      <c r="L239" s="38"/>
      <c r="M239" s="38"/>
      <c r="N239" s="38"/>
      <c r="O239" s="38"/>
      <c r="P239" s="38"/>
      <c r="Q239" s="38"/>
      <c r="R239" s="38"/>
      <c r="S239" s="38"/>
    </row>
    <row r="240" spans="1:19" x14ac:dyDescent="0.25">
      <c r="A240" s="67">
        <v>38533</v>
      </c>
      <c r="B240" s="8">
        <v>2544.8559</v>
      </c>
      <c r="C240" s="53">
        <f t="shared" si="7"/>
        <v>1.4307694729303044E-3</v>
      </c>
      <c r="D240" s="62"/>
      <c r="E240" s="8">
        <v>736.18039999999996</v>
      </c>
      <c r="F240" s="53">
        <f t="shared" si="6"/>
        <v>3.8552161620060144E-2</v>
      </c>
      <c r="G240" s="38"/>
      <c r="H240" s="70">
        <v>8.19468179552796E-3</v>
      </c>
      <c r="I240" s="72"/>
      <c r="J240" s="53">
        <v>6.12480115151336E-3</v>
      </c>
      <c r="K240" s="38"/>
      <c r="L240" s="38"/>
      <c r="M240" s="38"/>
      <c r="N240" s="38"/>
      <c r="O240" s="38"/>
      <c r="P240" s="38"/>
      <c r="Q240" s="38"/>
      <c r="R240" s="38"/>
      <c r="S240" s="38"/>
    </row>
    <row r="241" spans="1:19" x14ac:dyDescent="0.25">
      <c r="A241" s="67">
        <v>38562</v>
      </c>
      <c r="B241" s="8">
        <v>2639.4603000000002</v>
      </c>
      <c r="C241" s="53">
        <f t="shared" si="7"/>
        <v>3.7174757124755153E-2</v>
      </c>
      <c r="D241" s="62"/>
      <c r="E241" s="8">
        <v>782.80859999999996</v>
      </c>
      <c r="F241" s="53">
        <f t="shared" si="6"/>
        <v>6.3338007912191019E-2</v>
      </c>
      <c r="G241" s="38"/>
      <c r="H241" s="70">
        <v>-9.8732535641169704E-3</v>
      </c>
      <c r="I241" s="72"/>
      <c r="J241" s="53">
        <v>-1.3553585495736001E-2</v>
      </c>
      <c r="K241" s="38"/>
      <c r="L241" s="38"/>
      <c r="M241" s="38"/>
      <c r="N241" s="38"/>
      <c r="O241" s="38"/>
      <c r="P241" s="38"/>
      <c r="Q241" s="38"/>
      <c r="R241" s="38"/>
      <c r="S241" s="38"/>
    </row>
    <row r="242" spans="1:19" x14ac:dyDescent="0.25">
      <c r="A242" s="67">
        <v>38595</v>
      </c>
      <c r="B242" s="8">
        <v>2615.3989999999999</v>
      </c>
      <c r="C242" s="53">
        <f t="shared" si="7"/>
        <v>-9.115992386777072E-3</v>
      </c>
      <c r="D242" s="62"/>
      <c r="E242" s="8">
        <v>768.2527</v>
      </c>
      <c r="F242" s="53">
        <f t="shared" si="6"/>
        <v>-1.8594455911700503E-2</v>
      </c>
      <c r="G242" s="38"/>
      <c r="H242" s="70">
        <v>1.53101788062396E-2</v>
      </c>
      <c r="I242" s="72"/>
      <c r="J242" s="53">
        <v>1.5880677292403701E-2</v>
      </c>
      <c r="K242" s="38"/>
      <c r="L242" s="38"/>
      <c r="M242" s="38"/>
      <c r="N242" s="38"/>
      <c r="O242" s="38"/>
      <c r="P242" s="38"/>
      <c r="Q242" s="38"/>
      <c r="R242" s="38"/>
      <c r="S242" s="38"/>
    </row>
    <row r="243" spans="1:19" x14ac:dyDescent="0.25">
      <c r="A243" s="67">
        <v>38625</v>
      </c>
      <c r="B243" s="8">
        <v>2636.5729000000001</v>
      </c>
      <c r="C243" s="53">
        <f t="shared" si="7"/>
        <v>8.0958584139552148E-3</v>
      </c>
      <c r="D243" s="62"/>
      <c r="E243" s="8">
        <v>770.68280000000004</v>
      </c>
      <c r="F243" s="53">
        <f t="shared" si="6"/>
        <v>3.1631519160297827E-3</v>
      </c>
      <c r="G243" s="38"/>
      <c r="H243" s="70">
        <v>-1.6142101971342901E-2</v>
      </c>
      <c r="I243" s="72"/>
      <c r="J243" s="53">
        <v>-1.3273305282175001E-2</v>
      </c>
      <c r="K243" s="38"/>
      <c r="L243" s="38"/>
      <c r="M243" s="38"/>
      <c r="N243" s="38"/>
      <c r="O243" s="38"/>
      <c r="P243" s="38"/>
      <c r="Q243" s="38"/>
      <c r="R243" s="38"/>
      <c r="S243" s="38"/>
    </row>
    <row r="244" spans="1:19" x14ac:dyDescent="0.25">
      <c r="A244" s="67">
        <v>38656</v>
      </c>
      <c r="B244" s="8">
        <v>2592.5841</v>
      </c>
      <c r="C244" s="53">
        <f t="shared" si="7"/>
        <v>-1.6684082583113935E-2</v>
      </c>
      <c r="D244" s="62"/>
      <c r="E244" s="8">
        <v>746.74120000000005</v>
      </c>
      <c r="F244" s="53">
        <f t="shared" si="6"/>
        <v>-3.1065439633530145E-2</v>
      </c>
      <c r="G244" s="38"/>
      <c r="H244" s="70">
        <v>-1.15512309436052E-2</v>
      </c>
      <c r="I244" s="72"/>
      <c r="J244" s="53">
        <v>-7.8161945421586394E-3</v>
      </c>
      <c r="K244" s="38"/>
      <c r="L244" s="38"/>
      <c r="M244" s="38"/>
      <c r="N244" s="38"/>
      <c r="O244" s="38"/>
      <c r="P244" s="38"/>
      <c r="Q244" s="38"/>
      <c r="R244" s="38"/>
      <c r="S244" s="38"/>
    </row>
    <row r="245" spans="1:19" x14ac:dyDescent="0.25">
      <c r="A245" s="67">
        <v>38686</v>
      </c>
      <c r="B245" s="8">
        <v>2690.5504999999998</v>
      </c>
      <c r="C245" s="53">
        <f t="shared" si="7"/>
        <v>3.778716377995206E-2</v>
      </c>
      <c r="D245" s="62"/>
      <c r="E245" s="8">
        <v>782.88589999999999</v>
      </c>
      <c r="F245" s="53">
        <f t="shared" si="6"/>
        <v>4.840324867571244E-2</v>
      </c>
      <c r="G245" s="38"/>
      <c r="H245" s="70">
        <v>5.8806081948321398E-3</v>
      </c>
      <c r="I245" s="72"/>
      <c r="J245" s="53">
        <v>4.8473667704033606E-3</v>
      </c>
      <c r="K245" s="38"/>
      <c r="L245" s="38"/>
      <c r="M245" s="38"/>
      <c r="N245" s="38"/>
      <c r="O245" s="38"/>
      <c r="P245" s="38"/>
      <c r="Q245" s="38"/>
      <c r="R245" s="38"/>
      <c r="S245" s="38"/>
    </row>
    <row r="246" spans="1:19" x14ac:dyDescent="0.25">
      <c r="A246" s="67">
        <v>38716</v>
      </c>
      <c r="B246" s="8">
        <v>2691.4041999999999</v>
      </c>
      <c r="C246" s="53">
        <f t="shared" si="7"/>
        <v>3.1729566124116815E-4</v>
      </c>
      <c r="D246" s="62"/>
      <c r="E246" s="8">
        <v>779.22040000000004</v>
      </c>
      <c r="F246" s="53">
        <f t="shared" si="6"/>
        <v>-4.6820360412672679E-3</v>
      </c>
      <c r="G246" s="38"/>
      <c r="H246" s="70">
        <v>1.0110569911813101E-2</v>
      </c>
      <c r="I246" s="72"/>
      <c r="J246" s="53">
        <v>1.03618176545893E-2</v>
      </c>
      <c r="K246" s="38"/>
      <c r="L246" s="38"/>
      <c r="M246" s="38"/>
      <c r="N246" s="38"/>
      <c r="O246" s="38"/>
      <c r="P246" s="38"/>
      <c r="Q246" s="38"/>
      <c r="R246" s="38"/>
      <c r="S246" s="38"/>
    </row>
    <row r="247" spans="1:19" x14ac:dyDescent="0.25">
      <c r="A247" s="67">
        <v>38748</v>
      </c>
      <c r="B247" s="8">
        <v>2762.6687000000002</v>
      </c>
      <c r="C247" s="53">
        <f t="shared" si="7"/>
        <v>2.6478557178442497E-2</v>
      </c>
      <c r="D247" s="62"/>
      <c r="E247" s="8">
        <v>849.08519999999999</v>
      </c>
      <c r="F247" s="53">
        <f t="shared" si="6"/>
        <v>8.9659870301136868E-2</v>
      </c>
      <c r="G247" s="38"/>
      <c r="H247" s="70">
        <v>-2.10114817035407E-3</v>
      </c>
      <c r="I247" s="72"/>
      <c r="J247" s="53">
        <v>-2.9765829258164801E-3</v>
      </c>
      <c r="K247" s="38"/>
      <c r="L247" s="38"/>
      <c r="M247" s="38"/>
      <c r="N247" s="38"/>
      <c r="O247" s="38"/>
      <c r="P247" s="38"/>
      <c r="Q247" s="38"/>
      <c r="R247" s="38"/>
      <c r="S247" s="38"/>
    </row>
    <row r="248" spans="1:19" x14ac:dyDescent="0.25">
      <c r="A248" s="67">
        <v>38776</v>
      </c>
      <c r="B248" s="8">
        <v>2770.1343999999999</v>
      </c>
      <c r="C248" s="53">
        <f t="shared" si="7"/>
        <v>2.7023508102870242E-3</v>
      </c>
      <c r="D248" s="62"/>
      <c r="E248" s="8">
        <v>846.71540000000005</v>
      </c>
      <c r="F248" s="53">
        <f t="shared" si="6"/>
        <v>-2.7910037767705509E-3</v>
      </c>
      <c r="G248" s="38"/>
      <c r="H248" s="70">
        <v>4.5160357645831596E-3</v>
      </c>
      <c r="I248" s="72"/>
      <c r="J248" s="53">
        <v>1.45664462839357E-3</v>
      </c>
      <c r="K248" s="38"/>
      <c r="L248" s="38"/>
      <c r="M248" s="38"/>
      <c r="N248" s="38"/>
      <c r="O248" s="38"/>
      <c r="P248" s="38"/>
      <c r="Q248" s="38"/>
      <c r="R248" s="38"/>
      <c r="S248" s="38"/>
    </row>
    <row r="249" spans="1:19" x14ac:dyDescent="0.25">
      <c r="A249" s="67">
        <v>38807</v>
      </c>
      <c r="B249" s="8">
        <v>2804.5551999999998</v>
      </c>
      <c r="C249" s="53">
        <f t="shared" si="7"/>
        <v>1.2425678696311504E-2</v>
      </c>
      <c r="D249" s="62"/>
      <c r="E249" s="8">
        <v>887.78399999999999</v>
      </c>
      <c r="F249" s="53">
        <f t="shared" si="6"/>
        <v>4.8503428660917169E-2</v>
      </c>
      <c r="G249" s="38"/>
      <c r="H249" s="70">
        <v>-1.4095723326333E-2</v>
      </c>
      <c r="I249" s="72"/>
      <c r="J249" s="53">
        <v>-1.0791184519452499E-2</v>
      </c>
      <c r="K249" s="38"/>
      <c r="L249" s="38"/>
      <c r="M249" s="38"/>
      <c r="N249" s="38"/>
      <c r="O249" s="38"/>
      <c r="P249" s="38"/>
      <c r="Q249" s="38"/>
      <c r="R249" s="38"/>
      <c r="S249" s="38"/>
    </row>
    <row r="250" spans="1:19" x14ac:dyDescent="0.25">
      <c r="A250" s="67">
        <v>38835</v>
      </c>
      <c r="B250" s="8">
        <v>2842.1981000000001</v>
      </c>
      <c r="C250" s="53">
        <f t="shared" si="7"/>
        <v>1.3422057087697947E-2</v>
      </c>
      <c r="D250" s="62"/>
      <c r="E250" s="8">
        <v>887.59500000000003</v>
      </c>
      <c r="F250" s="53">
        <f t="shared" si="6"/>
        <v>-2.1288962179988324E-4</v>
      </c>
      <c r="G250" s="38"/>
      <c r="H250" s="70">
        <v>-3.4967952458320501E-3</v>
      </c>
      <c r="I250" s="72"/>
      <c r="J250" s="53">
        <v>-4.1264378970071094E-3</v>
      </c>
      <c r="K250" s="38"/>
      <c r="L250" s="38"/>
      <c r="M250" s="38"/>
      <c r="N250" s="38"/>
      <c r="O250" s="38"/>
      <c r="P250" s="38"/>
      <c r="Q250" s="38"/>
      <c r="R250" s="38"/>
      <c r="S250" s="38"/>
    </row>
    <row r="251" spans="1:19" x14ac:dyDescent="0.25">
      <c r="A251" s="67">
        <v>38868</v>
      </c>
      <c r="B251" s="8">
        <v>2760.4933999999998</v>
      </c>
      <c r="C251" s="53">
        <f t="shared" si="7"/>
        <v>-2.8747010984209842E-2</v>
      </c>
      <c r="D251" s="62"/>
      <c r="E251" s="8">
        <v>837.75480000000005</v>
      </c>
      <c r="F251" s="53">
        <f t="shared" si="6"/>
        <v>-5.6151961198519618E-2</v>
      </c>
      <c r="G251" s="38"/>
      <c r="H251" s="70">
        <v>-1.68971091263321E-3</v>
      </c>
      <c r="I251" s="72"/>
      <c r="J251" s="53">
        <v>3.3335272000424999E-4</v>
      </c>
      <c r="K251" s="38"/>
      <c r="L251" s="38"/>
      <c r="M251" s="38"/>
      <c r="N251" s="38"/>
      <c r="O251" s="38"/>
      <c r="P251" s="38"/>
      <c r="Q251" s="38"/>
      <c r="R251" s="38"/>
      <c r="S251" s="38"/>
    </row>
    <row r="252" spans="1:19" x14ac:dyDescent="0.25">
      <c r="A252" s="67">
        <v>38898</v>
      </c>
      <c r="B252" s="8">
        <v>2764.098</v>
      </c>
      <c r="C252" s="53">
        <f t="shared" si="7"/>
        <v>1.3057810607335352E-3</v>
      </c>
      <c r="D252" s="62"/>
      <c r="E252" s="8">
        <v>843.06150000000002</v>
      </c>
      <c r="F252" s="53">
        <f t="shared" si="6"/>
        <v>6.334431029222376E-3</v>
      </c>
      <c r="G252" s="38"/>
      <c r="H252" s="70">
        <v>1.25814419411072E-3</v>
      </c>
      <c r="I252" s="72"/>
      <c r="J252" s="53">
        <v>3.1847625140435198E-3</v>
      </c>
      <c r="K252" s="38"/>
      <c r="L252" s="38"/>
      <c r="M252" s="38"/>
      <c r="N252" s="38"/>
      <c r="O252" s="38"/>
      <c r="P252" s="38"/>
      <c r="Q252" s="38"/>
      <c r="R252" s="38"/>
      <c r="S252" s="38"/>
    </row>
    <row r="253" spans="1:19" x14ac:dyDescent="0.25">
      <c r="A253" s="67">
        <v>38929</v>
      </c>
      <c r="B253" s="8">
        <v>2781.1262000000002</v>
      </c>
      <c r="C253" s="53">
        <f t="shared" si="7"/>
        <v>6.1604906917194224E-3</v>
      </c>
      <c r="D253" s="62"/>
      <c r="E253" s="8">
        <v>815.60170000000005</v>
      </c>
      <c r="F253" s="53">
        <f t="shared" si="6"/>
        <v>-3.2571526513783366E-2</v>
      </c>
      <c r="G253" s="38"/>
      <c r="H253" s="70">
        <v>1.4608828653757599E-2</v>
      </c>
      <c r="I253" s="72"/>
      <c r="J253" s="53">
        <v>1.2384748749164599E-2</v>
      </c>
      <c r="K253" s="38"/>
      <c r="L253" s="38"/>
      <c r="M253" s="38"/>
      <c r="N253" s="38"/>
      <c r="O253" s="38"/>
      <c r="P253" s="38"/>
      <c r="Q253" s="38"/>
      <c r="R253" s="38"/>
      <c r="S253" s="38"/>
    </row>
    <row r="254" spans="1:19" x14ac:dyDescent="0.25">
      <c r="A254" s="67">
        <v>38960</v>
      </c>
      <c r="B254" s="8">
        <v>2847.1934999999999</v>
      </c>
      <c r="C254" s="53">
        <f t="shared" si="7"/>
        <v>2.3755592248924096E-2</v>
      </c>
      <c r="D254" s="62"/>
      <c r="E254" s="8">
        <v>839.69960000000003</v>
      </c>
      <c r="F254" s="53">
        <f t="shared" si="6"/>
        <v>2.9546162054345793E-2</v>
      </c>
      <c r="G254" s="38"/>
      <c r="H254" s="70">
        <v>1.86360514085946E-2</v>
      </c>
      <c r="I254" s="72"/>
      <c r="J254" s="53">
        <v>1.46829496034491E-2</v>
      </c>
      <c r="K254" s="38"/>
      <c r="L254" s="38"/>
      <c r="M254" s="38"/>
      <c r="N254" s="38"/>
      <c r="O254" s="38"/>
      <c r="P254" s="38"/>
      <c r="Q254" s="38"/>
      <c r="R254" s="38"/>
      <c r="S254" s="38"/>
    </row>
    <row r="255" spans="1:19" x14ac:dyDescent="0.25">
      <c r="A255" s="67">
        <v>38989</v>
      </c>
      <c r="B255" s="8">
        <v>2920.4454999999998</v>
      </c>
      <c r="C255" s="53">
        <f t="shared" si="7"/>
        <v>2.572779124425506E-2</v>
      </c>
      <c r="D255" s="62"/>
      <c r="E255" s="8">
        <v>846.76679999999999</v>
      </c>
      <c r="F255" s="53">
        <f t="shared" si="6"/>
        <v>8.4163431779649134E-3</v>
      </c>
      <c r="G255" s="38"/>
      <c r="H255" s="70">
        <v>1.1451914032669E-2</v>
      </c>
      <c r="I255" s="72"/>
      <c r="J255" s="53">
        <v>9.2847516536938707E-3</v>
      </c>
      <c r="K255" s="38"/>
      <c r="L255" s="38"/>
      <c r="M255" s="38"/>
      <c r="N255" s="38"/>
      <c r="O255" s="38"/>
      <c r="P255" s="38"/>
      <c r="Q255" s="38"/>
      <c r="R255" s="38"/>
      <c r="S255" s="38"/>
    </row>
    <row r="256" spans="1:19" x14ac:dyDescent="0.25">
      <c r="A256" s="67">
        <v>39021</v>
      </c>
      <c r="B256" s="8">
        <v>3015.5668000000001</v>
      </c>
      <c r="C256" s="53">
        <f t="shared" si="7"/>
        <v>3.2570818390550427E-2</v>
      </c>
      <c r="D256" s="62"/>
      <c r="E256" s="8">
        <v>895.50639999999999</v>
      </c>
      <c r="F256" s="53">
        <f t="shared" si="6"/>
        <v>5.7559649244632638E-2</v>
      </c>
      <c r="G256" s="38"/>
      <c r="H256" s="70">
        <v>8.0917082818143804E-3</v>
      </c>
      <c r="I256" s="72"/>
      <c r="J256" s="53">
        <v>5.0713331430561103E-3</v>
      </c>
      <c r="K256" s="38"/>
      <c r="L256" s="38"/>
      <c r="M256" s="38"/>
      <c r="N256" s="38"/>
      <c r="O256" s="38"/>
      <c r="P256" s="38"/>
      <c r="Q256" s="38"/>
      <c r="R256" s="38"/>
      <c r="S256" s="38"/>
    </row>
    <row r="257" spans="1:19" x14ac:dyDescent="0.25">
      <c r="A257" s="67">
        <v>39051</v>
      </c>
      <c r="B257" s="8">
        <v>3072.8366999999998</v>
      </c>
      <c r="C257" s="53">
        <f t="shared" si="7"/>
        <v>1.8991421446873602E-2</v>
      </c>
      <c r="D257" s="62"/>
      <c r="E257" s="8">
        <v>918.88909999999998</v>
      </c>
      <c r="F257" s="53">
        <f t="shared" si="6"/>
        <v>2.611114783769275E-2</v>
      </c>
      <c r="G257" s="38"/>
      <c r="H257" s="70">
        <v>1.4656852030043199E-2</v>
      </c>
      <c r="I257" s="72"/>
      <c r="J257" s="53">
        <v>1.04462848961995E-2</v>
      </c>
      <c r="K257" s="38"/>
      <c r="L257" s="38"/>
      <c r="M257" s="38"/>
      <c r="N257" s="38"/>
      <c r="O257" s="38"/>
      <c r="P257" s="38"/>
      <c r="Q257" s="38"/>
      <c r="R257" s="38"/>
      <c r="S257" s="38"/>
    </row>
    <row r="258" spans="1:19" x14ac:dyDescent="0.25">
      <c r="A258" s="67">
        <v>39080</v>
      </c>
      <c r="B258" s="8">
        <v>3115.6605</v>
      </c>
      <c r="C258" s="53">
        <f t="shared" si="7"/>
        <v>1.3936243341535315E-2</v>
      </c>
      <c r="D258" s="62"/>
      <c r="E258" s="8">
        <v>921.92330000000004</v>
      </c>
      <c r="F258" s="53">
        <f t="shared" si="6"/>
        <v>3.3020306803073218E-3</v>
      </c>
      <c r="G258" s="38"/>
      <c r="H258" s="70">
        <v>-9.0916412028008899E-3</v>
      </c>
      <c r="I258" s="72"/>
      <c r="J258" s="53">
        <v>-8.2183160468714406E-3</v>
      </c>
      <c r="K258" s="38"/>
      <c r="L258" s="38"/>
      <c r="M258" s="38"/>
      <c r="N258" s="38"/>
      <c r="O258" s="38"/>
      <c r="P258" s="38"/>
      <c r="Q258" s="38"/>
      <c r="R258" s="38"/>
      <c r="S258" s="38"/>
    </row>
    <row r="259" spans="1:19" x14ac:dyDescent="0.25">
      <c r="A259" s="67">
        <v>39113</v>
      </c>
      <c r="B259" s="8">
        <v>3162.7372999999998</v>
      </c>
      <c r="C259" s="53">
        <f t="shared" si="7"/>
        <v>1.5109733554089066E-2</v>
      </c>
      <c r="D259" s="62"/>
      <c r="E259" s="8">
        <v>937.33529999999996</v>
      </c>
      <c r="F259" s="53">
        <f t="shared" si="6"/>
        <v>1.6717225825618964E-2</v>
      </c>
      <c r="G259" s="38"/>
      <c r="H259" s="70">
        <v>7.4720079069019998E-5</v>
      </c>
      <c r="I259" s="72"/>
      <c r="J259" s="53">
        <v>-1.5954624180002E-3</v>
      </c>
      <c r="K259" s="38"/>
      <c r="L259" s="38"/>
      <c r="M259" s="38"/>
      <c r="N259" s="38"/>
      <c r="O259" s="38"/>
      <c r="P259" s="38"/>
      <c r="Q259" s="38"/>
      <c r="R259" s="38"/>
      <c r="S259" s="38"/>
    </row>
    <row r="260" spans="1:19" x14ac:dyDescent="0.25">
      <c r="A260" s="67">
        <v>39141</v>
      </c>
      <c r="B260" s="8">
        <v>3101.0596999999998</v>
      </c>
      <c r="C260" s="53">
        <f t="shared" si="7"/>
        <v>-1.9501335125114538E-2</v>
      </c>
      <c r="D260" s="62"/>
      <c r="E260" s="8">
        <v>929.89149999999995</v>
      </c>
      <c r="F260" s="53">
        <f t="shared" si="6"/>
        <v>-7.9414484870035107E-3</v>
      </c>
      <c r="G260" s="38"/>
      <c r="H260" s="70">
        <v>2.0593985571995897E-2</v>
      </c>
      <c r="I260" s="72"/>
      <c r="J260" s="53">
        <v>1.6583409234563598E-2</v>
      </c>
      <c r="K260" s="38"/>
      <c r="L260" s="38"/>
      <c r="M260" s="38"/>
      <c r="N260" s="38"/>
      <c r="O260" s="38"/>
      <c r="P260" s="38"/>
      <c r="Q260" s="38"/>
      <c r="R260" s="38"/>
      <c r="S260" s="38"/>
    </row>
    <row r="261" spans="1:19" x14ac:dyDescent="0.25">
      <c r="A261" s="67">
        <v>39171</v>
      </c>
      <c r="B261" s="8">
        <v>3135.6412</v>
      </c>
      <c r="C261" s="53">
        <f t="shared" si="7"/>
        <v>1.1151510562663614E-2</v>
      </c>
      <c r="D261" s="62"/>
      <c r="E261" s="8">
        <v>939.83280000000002</v>
      </c>
      <c r="F261" s="53">
        <f t="shared" si="6"/>
        <v>1.0690817154474619E-2</v>
      </c>
      <c r="G261" s="38"/>
      <c r="H261" s="70">
        <v>-5.7360529105746705E-3</v>
      </c>
      <c r="I261" s="72"/>
      <c r="J261" s="53">
        <v>-4.8500206554307997E-4</v>
      </c>
      <c r="K261" s="38"/>
      <c r="L261" s="38"/>
      <c r="M261" s="38"/>
      <c r="N261" s="38"/>
      <c r="O261" s="38"/>
      <c r="P261" s="38"/>
      <c r="Q261" s="38"/>
      <c r="R261" s="38"/>
      <c r="S261" s="38"/>
    </row>
    <row r="262" spans="1:19" x14ac:dyDescent="0.25">
      <c r="A262" s="67">
        <v>39202</v>
      </c>
      <c r="B262" s="8">
        <v>3274.4794000000002</v>
      </c>
      <c r="C262" s="53">
        <f t="shared" si="7"/>
        <v>4.4277451131845114E-2</v>
      </c>
      <c r="D262" s="62"/>
      <c r="E262" s="8">
        <v>956.78369999999995</v>
      </c>
      <c r="F262" s="53">
        <f t="shared" si="6"/>
        <v>1.8036080460269055E-2</v>
      </c>
      <c r="G262" s="38"/>
      <c r="H262" s="70">
        <v>7.3390868358460407E-3</v>
      </c>
      <c r="I262" s="72"/>
      <c r="J262" s="53">
        <v>5.1543947807628603E-3</v>
      </c>
      <c r="K262" s="38"/>
      <c r="L262" s="38"/>
      <c r="M262" s="38"/>
      <c r="N262" s="38"/>
      <c r="O262" s="38"/>
      <c r="P262" s="38"/>
      <c r="Q262" s="38"/>
      <c r="R262" s="38"/>
      <c r="S262" s="38"/>
    </row>
    <row r="263" spans="1:19" x14ac:dyDescent="0.25">
      <c r="A263" s="67">
        <v>39233</v>
      </c>
      <c r="B263" s="8">
        <v>3388.6127000000001</v>
      </c>
      <c r="C263" s="53">
        <f t="shared" si="7"/>
        <v>3.4855403274181462E-2</v>
      </c>
      <c r="D263" s="62"/>
      <c r="E263" s="8">
        <v>995.95410000000004</v>
      </c>
      <c r="F263" s="53">
        <f t="shared" ref="F263:F326" si="8">E263/E262-1</f>
        <v>4.0939660656844401E-2</v>
      </c>
      <c r="G263" s="38"/>
      <c r="H263" s="70">
        <v>-9.99608623375472E-3</v>
      </c>
      <c r="I263" s="72"/>
      <c r="J263" s="53">
        <v>-8.9817267568814401E-3</v>
      </c>
      <c r="K263" s="38"/>
      <c r="L263" s="38"/>
      <c r="M263" s="38"/>
      <c r="N263" s="38"/>
      <c r="O263" s="38"/>
      <c r="P263" s="38"/>
      <c r="Q263" s="38"/>
      <c r="R263" s="38"/>
      <c r="S263" s="38"/>
    </row>
    <row r="264" spans="1:19" x14ac:dyDescent="0.25">
      <c r="A264" s="67">
        <v>39262</v>
      </c>
      <c r="B264" s="8">
        <v>3332.31</v>
      </c>
      <c r="C264" s="53">
        <f t="shared" ref="C264:C327" si="9">B264/B263-1</f>
        <v>-1.6615265592317519E-2</v>
      </c>
      <c r="D264" s="62"/>
      <c r="E264" s="8">
        <v>981.54110000000003</v>
      </c>
      <c r="F264" s="53">
        <f t="shared" si="8"/>
        <v>-1.4471550445949277E-2</v>
      </c>
      <c r="G264" s="38"/>
      <c r="H264" s="70">
        <v>-4.8926029417905199E-3</v>
      </c>
      <c r="I264" s="72"/>
      <c r="J264" s="53">
        <v>-4.3454804643321999E-4</v>
      </c>
      <c r="K264" s="38"/>
      <c r="L264" s="38"/>
      <c r="M264" s="38"/>
      <c r="N264" s="38"/>
      <c r="O264" s="38"/>
      <c r="P264" s="38"/>
      <c r="Q264" s="38"/>
      <c r="R264" s="38"/>
      <c r="S264" s="38"/>
    </row>
    <row r="265" spans="1:19" x14ac:dyDescent="0.25">
      <c r="A265" s="67">
        <v>39294</v>
      </c>
      <c r="B265" s="8">
        <v>3229.1302999999998</v>
      </c>
      <c r="C265" s="53">
        <f t="shared" si="9"/>
        <v>-3.0963415768641034E-2</v>
      </c>
      <c r="D265" s="62"/>
      <c r="E265" s="8">
        <v>914.34460000000001</v>
      </c>
      <c r="F265" s="53">
        <f t="shared" si="8"/>
        <v>-6.846019998551256E-2</v>
      </c>
      <c r="G265" s="38"/>
      <c r="H265" s="70">
        <v>2.3131656939188098E-3</v>
      </c>
      <c r="I265" s="72"/>
      <c r="J265" s="53">
        <v>1.6585264595273999E-2</v>
      </c>
      <c r="K265" s="38"/>
      <c r="L265" s="38"/>
      <c r="M265" s="38"/>
      <c r="N265" s="38"/>
      <c r="O265" s="38"/>
      <c r="P265" s="38"/>
      <c r="Q265" s="38"/>
      <c r="R265" s="38"/>
      <c r="S265" s="38"/>
    </row>
    <row r="266" spans="1:19" x14ac:dyDescent="0.25">
      <c r="A266" s="67">
        <v>39325</v>
      </c>
      <c r="B266" s="8">
        <v>3277.4497999999999</v>
      </c>
      <c r="C266" s="53">
        <f t="shared" si="9"/>
        <v>1.4963626583913259E-2</v>
      </c>
      <c r="D266" s="62"/>
      <c r="E266" s="8">
        <v>935.01909999999998</v>
      </c>
      <c r="F266" s="53">
        <f t="shared" si="8"/>
        <v>2.2611278067371954E-2</v>
      </c>
      <c r="G266" s="38"/>
      <c r="H266" s="70">
        <v>8.0929647741188604E-3</v>
      </c>
      <c r="I266" s="72"/>
      <c r="J266" s="53">
        <v>1.5676948832776001E-2</v>
      </c>
      <c r="K266" s="38"/>
      <c r="L266" s="38"/>
      <c r="M266" s="38"/>
      <c r="N266" s="38"/>
      <c r="O266" s="38"/>
      <c r="P266" s="38"/>
      <c r="Q266" s="38"/>
      <c r="R266" s="38"/>
      <c r="S266" s="38"/>
    </row>
    <row r="267" spans="1:19" x14ac:dyDescent="0.25">
      <c r="A267" s="67">
        <v>39353</v>
      </c>
      <c r="B267" s="8">
        <v>3399.8560000000002</v>
      </c>
      <c r="C267" s="53">
        <f t="shared" si="9"/>
        <v>3.7348001485789428E-2</v>
      </c>
      <c r="D267" s="62"/>
      <c r="E267" s="8">
        <v>951.04750000000001</v>
      </c>
      <c r="F267" s="53">
        <f t="shared" si="8"/>
        <v>1.7142323616704758E-2</v>
      </c>
      <c r="G267" s="38"/>
      <c r="H267" s="70">
        <v>7.7013091396345304E-3</v>
      </c>
      <c r="I267" s="72"/>
      <c r="J267" s="53">
        <v>5.3929474167165306E-3</v>
      </c>
      <c r="K267" s="38"/>
      <c r="L267" s="38"/>
      <c r="M267" s="38"/>
      <c r="N267" s="38"/>
      <c r="O267" s="38"/>
      <c r="P267" s="38"/>
      <c r="Q267" s="38"/>
      <c r="R267" s="38"/>
      <c r="S267" s="38"/>
    </row>
    <row r="268" spans="1:19" x14ac:dyDescent="0.25">
      <c r="A268" s="67">
        <v>39386</v>
      </c>
      <c r="B268" s="8">
        <v>3453.9295000000002</v>
      </c>
      <c r="C268" s="53">
        <f t="shared" si="9"/>
        <v>1.5904644196695461E-2</v>
      </c>
      <c r="D268" s="62"/>
      <c r="E268" s="8">
        <v>978.33209999999997</v>
      </c>
      <c r="F268" s="53">
        <f t="shared" si="8"/>
        <v>2.8688998183581838E-2</v>
      </c>
      <c r="G268" s="38"/>
      <c r="H268" s="70">
        <v>1.2011046115045901E-2</v>
      </c>
      <c r="I268" s="72"/>
      <c r="J268" s="53">
        <v>7.8638008382183391E-3</v>
      </c>
      <c r="K268" s="38"/>
      <c r="L268" s="38"/>
      <c r="M268" s="38"/>
      <c r="N268" s="38"/>
      <c r="O268" s="38"/>
      <c r="P268" s="38"/>
      <c r="Q268" s="38"/>
      <c r="R268" s="38"/>
      <c r="S268" s="38"/>
    </row>
    <row r="269" spans="1:19" x14ac:dyDescent="0.25">
      <c r="A269" s="67">
        <v>39416</v>
      </c>
      <c r="B269" s="8">
        <v>3312.0754000000002</v>
      </c>
      <c r="C269" s="53">
        <f t="shared" si="9"/>
        <v>-4.1070351899191948E-2</v>
      </c>
      <c r="D269" s="62"/>
      <c r="E269" s="8">
        <v>908.05020000000002</v>
      </c>
      <c r="F269" s="53">
        <f t="shared" si="8"/>
        <v>-7.1838489200139688E-2</v>
      </c>
      <c r="G269" s="38"/>
      <c r="H269" s="70">
        <v>5.98608358855911E-3</v>
      </c>
      <c r="I269" s="72"/>
      <c r="J269" s="53">
        <v>3.0688297854051499E-2</v>
      </c>
      <c r="K269" s="38"/>
      <c r="L269" s="38"/>
      <c r="M269" s="38"/>
      <c r="N269" s="38"/>
      <c r="O269" s="38"/>
      <c r="P269" s="38"/>
      <c r="Q269" s="38"/>
      <c r="R269" s="38"/>
      <c r="S269" s="38"/>
    </row>
    <row r="270" spans="1:19" x14ac:dyDescent="0.25">
      <c r="A270" s="67">
        <v>39447</v>
      </c>
      <c r="B270" s="8">
        <v>3288.9938000000002</v>
      </c>
      <c r="C270" s="53">
        <f t="shared" si="9"/>
        <v>-6.9689234731793448E-3</v>
      </c>
      <c r="D270" s="62"/>
      <c r="E270" s="8">
        <v>907.32899999999995</v>
      </c>
      <c r="F270" s="53">
        <f t="shared" si="8"/>
        <v>-7.9422921772398514E-4</v>
      </c>
      <c r="G270" s="38"/>
      <c r="H270" s="70">
        <v>1.5804444540555402E-3</v>
      </c>
      <c r="I270" s="72"/>
      <c r="J270" s="53">
        <v>7.9827075757839998E-4</v>
      </c>
      <c r="K270" s="38"/>
      <c r="L270" s="38"/>
      <c r="M270" s="38"/>
      <c r="N270" s="38"/>
      <c r="O270" s="38"/>
      <c r="P270" s="38"/>
      <c r="Q270" s="38"/>
      <c r="R270" s="38"/>
      <c r="S270" s="38"/>
    </row>
    <row r="271" spans="1:19" x14ac:dyDescent="0.25">
      <c r="A271" s="67">
        <v>39478</v>
      </c>
      <c r="B271" s="8">
        <v>3091.7442000000001</v>
      </c>
      <c r="C271" s="53">
        <f t="shared" si="9"/>
        <v>-5.9972627494767616E-2</v>
      </c>
      <c r="D271" s="62"/>
      <c r="E271" s="8">
        <v>845.43470000000002</v>
      </c>
      <c r="F271" s="53">
        <f t="shared" si="8"/>
        <v>-6.8215939311980445E-2</v>
      </c>
      <c r="G271" s="38"/>
      <c r="H271" s="70">
        <v>1.0175751993089699E-2</v>
      </c>
      <c r="I271" s="72"/>
      <c r="J271" s="53">
        <v>2.53866739489121E-2</v>
      </c>
      <c r="K271" s="38"/>
      <c r="L271" s="38"/>
      <c r="M271" s="38"/>
      <c r="N271" s="38"/>
      <c r="O271" s="38"/>
      <c r="P271" s="38"/>
      <c r="Q271" s="38"/>
      <c r="R271" s="38"/>
      <c r="S271" s="38"/>
    </row>
    <row r="272" spans="1:19" x14ac:dyDescent="0.25">
      <c r="A272" s="67">
        <v>39507</v>
      </c>
      <c r="B272" s="8">
        <v>2991.4005000000002</v>
      </c>
      <c r="C272" s="53">
        <f t="shared" si="9"/>
        <v>-3.2455369367232922E-2</v>
      </c>
      <c r="D272" s="62"/>
      <c r="E272" s="8">
        <v>814.11490000000003</v>
      </c>
      <c r="F272" s="53">
        <f t="shared" si="8"/>
        <v>-3.7045794311494462E-2</v>
      </c>
      <c r="G272" s="38"/>
      <c r="H272" s="70">
        <v>1.1137253615106201E-3</v>
      </c>
      <c r="I272" s="72"/>
      <c r="J272" s="53">
        <v>1.1401255852191901E-2</v>
      </c>
      <c r="K272" s="38"/>
      <c r="L272" s="38"/>
      <c r="M272" s="38"/>
      <c r="N272" s="38"/>
      <c r="O272" s="38"/>
      <c r="P272" s="38"/>
      <c r="Q272" s="38"/>
      <c r="R272" s="38"/>
      <c r="S272" s="38"/>
    </row>
    <row r="273" spans="1:19" x14ac:dyDescent="0.25">
      <c r="A273" s="67">
        <v>39538</v>
      </c>
      <c r="B273" s="8">
        <v>2978.4416000000001</v>
      </c>
      <c r="C273" s="53">
        <f t="shared" si="9"/>
        <v>-4.3320511579777454E-3</v>
      </c>
      <c r="D273" s="62"/>
      <c r="E273" s="8">
        <v>817.48320000000001</v>
      </c>
      <c r="F273" s="53">
        <f t="shared" si="8"/>
        <v>4.1373766774197573E-3</v>
      </c>
      <c r="G273" s="38"/>
      <c r="H273" s="70">
        <v>-1.2706945102831999E-2</v>
      </c>
      <c r="I273" s="72"/>
      <c r="J273" s="53">
        <v>6.9316332323926099E-3</v>
      </c>
      <c r="K273" s="38"/>
      <c r="L273" s="38"/>
      <c r="M273" s="38"/>
      <c r="N273" s="38"/>
      <c r="O273" s="38"/>
      <c r="P273" s="38"/>
      <c r="Q273" s="38"/>
      <c r="R273" s="38"/>
      <c r="S273" s="38"/>
    </row>
    <row r="274" spans="1:19" x14ac:dyDescent="0.25">
      <c r="A274" s="67">
        <v>39568</v>
      </c>
      <c r="B274" s="8">
        <v>3123.4512</v>
      </c>
      <c r="C274" s="53">
        <f t="shared" si="9"/>
        <v>4.8686400297390353E-2</v>
      </c>
      <c r="D274" s="62"/>
      <c r="E274" s="8">
        <v>851.70039999999995</v>
      </c>
      <c r="F274" s="53">
        <f t="shared" si="8"/>
        <v>4.1856762316338614E-2</v>
      </c>
      <c r="G274" s="38"/>
      <c r="H274" s="70">
        <v>9.1495445498888002E-3</v>
      </c>
      <c r="I274" s="72"/>
      <c r="J274" s="53">
        <v>-1.71821429147292E-2</v>
      </c>
      <c r="K274" s="38"/>
      <c r="L274" s="38"/>
      <c r="M274" s="38"/>
      <c r="N274" s="38"/>
      <c r="O274" s="38"/>
      <c r="P274" s="38"/>
      <c r="Q274" s="38"/>
      <c r="R274" s="38"/>
      <c r="S274" s="38"/>
    </row>
    <row r="275" spans="1:19" x14ac:dyDescent="0.25">
      <c r="A275" s="67">
        <v>39598</v>
      </c>
      <c r="B275" s="8">
        <v>3163.9023000000002</v>
      </c>
      <c r="C275" s="53">
        <f t="shared" si="9"/>
        <v>1.2950770609126305E-2</v>
      </c>
      <c r="D275" s="62"/>
      <c r="E275" s="8">
        <v>890.80470000000003</v>
      </c>
      <c r="F275" s="53">
        <f t="shared" si="8"/>
        <v>4.5913210795721193E-2</v>
      </c>
      <c r="G275" s="38"/>
      <c r="H275" s="70">
        <v>-9.5433204051663702E-3</v>
      </c>
      <c r="I275" s="72"/>
      <c r="J275" s="53">
        <v>-1.1673904678349001E-2</v>
      </c>
      <c r="K275" s="38"/>
      <c r="L275" s="38"/>
      <c r="M275" s="38"/>
      <c r="N275" s="38"/>
      <c r="O275" s="38"/>
      <c r="P275" s="38"/>
      <c r="Q275" s="38"/>
      <c r="R275" s="38"/>
      <c r="S275" s="38"/>
    </row>
    <row r="276" spans="1:19" x14ac:dyDescent="0.25">
      <c r="A276" s="67">
        <v>39629</v>
      </c>
      <c r="B276" s="8">
        <v>2897.4186</v>
      </c>
      <c r="C276" s="53">
        <f t="shared" si="9"/>
        <v>-8.4226273358693815E-2</v>
      </c>
      <c r="D276" s="62"/>
      <c r="E276" s="8">
        <v>822.27</v>
      </c>
      <c r="F276" s="53">
        <f t="shared" si="8"/>
        <v>-7.6935718906736894E-2</v>
      </c>
      <c r="G276" s="38"/>
      <c r="H276" s="70">
        <v>-6.3985765505896594E-3</v>
      </c>
      <c r="I276" s="72"/>
      <c r="J276" s="53">
        <v>7.85188272683565E-3</v>
      </c>
      <c r="K276" s="38"/>
      <c r="L276" s="38"/>
      <c r="M276" s="38"/>
      <c r="N276" s="38"/>
      <c r="O276" s="38"/>
      <c r="P276" s="38"/>
      <c r="Q276" s="38"/>
      <c r="R276" s="38"/>
      <c r="S276" s="38"/>
    </row>
    <row r="277" spans="1:19" x14ac:dyDescent="0.25">
      <c r="A277" s="67">
        <v>39660</v>
      </c>
      <c r="B277" s="8">
        <v>2873.0513999999998</v>
      </c>
      <c r="C277" s="53">
        <f t="shared" si="9"/>
        <v>-8.4099687908403276E-3</v>
      </c>
      <c r="D277" s="62"/>
      <c r="E277" s="8">
        <v>852.66610000000003</v>
      </c>
      <c r="F277" s="53">
        <f t="shared" si="8"/>
        <v>3.6966081700658071E-2</v>
      </c>
      <c r="G277" s="38"/>
      <c r="H277" s="70">
        <v>-7.47616631377627E-3</v>
      </c>
      <c r="I277" s="72"/>
      <c r="J277" s="53">
        <v>4.2317057390696897E-3</v>
      </c>
      <c r="K277" s="38"/>
      <c r="L277" s="38"/>
      <c r="M277" s="38"/>
      <c r="N277" s="38"/>
      <c r="O277" s="38"/>
      <c r="P277" s="38"/>
      <c r="Q277" s="38"/>
      <c r="R277" s="38"/>
      <c r="S277" s="38"/>
    </row>
    <row r="278" spans="1:19" x14ac:dyDescent="0.25">
      <c r="A278" s="67">
        <v>39689</v>
      </c>
      <c r="B278" s="8">
        <v>2914.6279</v>
      </c>
      <c r="C278" s="53">
        <f t="shared" si="9"/>
        <v>1.4471199505863286E-2</v>
      </c>
      <c r="D278" s="62"/>
      <c r="E278" s="8">
        <v>883.44799999999998</v>
      </c>
      <c r="F278" s="53">
        <f t="shared" si="8"/>
        <v>3.6100766759696423E-2</v>
      </c>
      <c r="G278" s="38"/>
      <c r="H278" s="70">
        <v>7.1896774727840092E-3</v>
      </c>
      <c r="I278" s="72"/>
      <c r="J278" s="53">
        <v>1.2488385777685801E-2</v>
      </c>
      <c r="K278" s="38"/>
      <c r="L278" s="38"/>
      <c r="M278" s="38"/>
      <c r="N278" s="38"/>
      <c r="O278" s="38"/>
      <c r="P278" s="38"/>
      <c r="Q278" s="38"/>
      <c r="R278" s="38"/>
      <c r="S278" s="38"/>
    </row>
    <row r="279" spans="1:19" x14ac:dyDescent="0.25">
      <c r="A279" s="67">
        <v>39721</v>
      </c>
      <c r="B279" s="8">
        <v>2655.1963000000001</v>
      </c>
      <c r="C279" s="53">
        <f t="shared" si="9"/>
        <v>-8.9010195778335799E-2</v>
      </c>
      <c r="D279" s="62"/>
      <c r="E279" s="8">
        <v>813.10029999999995</v>
      </c>
      <c r="F279" s="53">
        <f t="shared" si="8"/>
        <v>-7.96285689706695E-2</v>
      </c>
      <c r="G279" s="38"/>
      <c r="H279" s="70">
        <v>-7.7687769645774007E-2</v>
      </c>
      <c r="I279" s="72"/>
      <c r="J279" s="53">
        <v>6.1225289612913802E-3</v>
      </c>
      <c r="K279" s="38"/>
      <c r="L279" s="38"/>
      <c r="M279" s="38"/>
      <c r="N279" s="38"/>
      <c r="O279" s="38"/>
      <c r="P279" s="38"/>
      <c r="Q279" s="38"/>
      <c r="R279" s="38"/>
      <c r="S279" s="38"/>
    </row>
    <row r="280" spans="1:19" x14ac:dyDescent="0.25">
      <c r="A280" s="67">
        <v>39752</v>
      </c>
      <c r="B280" s="8">
        <v>2209.3173999999999</v>
      </c>
      <c r="C280" s="53">
        <f t="shared" si="9"/>
        <v>-0.16792690619522188</v>
      </c>
      <c r="D280" s="62"/>
      <c r="E280" s="8">
        <v>643.8818</v>
      </c>
      <c r="F280" s="53">
        <f t="shared" si="8"/>
        <v>-0.20811516119229079</v>
      </c>
      <c r="G280" s="38"/>
      <c r="H280" s="70">
        <v>-6.4441874855279802E-2</v>
      </c>
      <c r="I280" s="72"/>
      <c r="J280" s="53">
        <v>-1.10436225730825E-3</v>
      </c>
      <c r="K280" s="38"/>
      <c r="L280" s="38"/>
      <c r="M280" s="38"/>
      <c r="N280" s="38"/>
      <c r="O280" s="38"/>
      <c r="P280" s="38"/>
      <c r="Q280" s="38"/>
      <c r="R280" s="38"/>
      <c r="S280" s="38"/>
    </row>
    <row r="281" spans="1:19" x14ac:dyDescent="0.25">
      <c r="A281" s="67">
        <v>39780</v>
      </c>
      <c r="B281" s="8">
        <v>2050.7224000000001</v>
      </c>
      <c r="C281" s="53">
        <f t="shared" si="9"/>
        <v>-7.1784615465392054E-2</v>
      </c>
      <c r="D281" s="62"/>
      <c r="E281" s="8">
        <v>567.68430000000001</v>
      </c>
      <c r="F281" s="53">
        <f t="shared" si="8"/>
        <v>-0.11834081969703136</v>
      </c>
      <c r="G281" s="38"/>
      <c r="H281" s="70">
        <v>4.0685470186914596E-2</v>
      </c>
      <c r="I281" s="72"/>
      <c r="J281" s="53">
        <v>5.3070497015210202E-2</v>
      </c>
      <c r="K281" s="38"/>
      <c r="L281" s="38"/>
      <c r="M281" s="38"/>
      <c r="N281" s="38"/>
      <c r="O281" s="38"/>
      <c r="P281" s="38"/>
      <c r="Q281" s="38"/>
      <c r="R281" s="38"/>
      <c r="S281" s="38"/>
    </row>
    <row r="282" spans="1:19" x14ac:dyDescent="0.25">
      <c r="A282" s="67">
        <v>39813</v>
      </c>
      <c r="B282" s="8">
        <v>2072.3364000000001</v>
      </c>
      <c r="C282" s="53">
        <f t="shared" si="9"/>
        <v>1.0539700546500219E-2</v>
      </c>
      <c r="D282" s="62"/>
      <c r="E282" s="8">
        <v>600.46019999999999</v>
      </c>
      <c r="F282" s="53">
        <f t="shared" si="8"/>
        <v>5.7736139611400228E-2</v>
      </c>
      <c r="G282" s="38"/>
      <c r="H282" s="70">
        <v>6.7968713367861505E-2</v>
      </c>
      <c r="I282" s="72"/>
      <c r="J282" s="53">
        <v>3.38785599608619E-2</v>
      </c>
      <c r="K282" s="38"/>
      <c r="L282" s="38"/>
      <c r="M282" s="38"/>
      <c r="N282" s="38"/>
      <c r="O282" s="38"/>
      <c r="P282" s="38"/>
      <c r="Q282" s="38"/>
      <c r="R282" s="38"/>
      <c r="S282" s="38"/>
    </row>
    <row r="283" spans="1:19" x14ac:dyDescent="0.25">
      <c r="A283" s="67">
        <v>39843</v>
      </c>
      <c r="B283" s="8">
        <v>1897.8671999999999</v>
      </c>
      <c r="C283" s="53">
        <f t="shared" si="9"/>
        <v>-8.4189613230747806E-2</v>
      </c>
      <c r="D283" s="62"/>
      <c r="E283" s="8">
        <v>533.68939999999998</v>
      </c>
      <c r="F283" s="53">
        <f t="shared" si="8"/>
        <v>-0.11119937674470348</v>
      </c>
      <c r="G283" s="38"/>
      <c r="H283" s="70">
        <v>4.5336087813613998E-3</v>
      </c>
      <c r="I283" s="72"/>
      <c r="J283" s="53">
        <v>-2.9158133446147899E-2</v>
      </c>
      <c r="K283" s="38"/>
      <c r="L283" s="38"/>
      <c r="M283" s="38"/>
      <c r="N283" s="38"/>
      <c r="O283" s="38"/>
      <c r="P283" s="38"/>
      <c r="Q283" s="38"/>
      <c r="R283" s="38"/>
      <c r="S283" s="38"/>
    </row>
    <row r="284" spans="1:19" x14ac:dyDescent="0.25">
      <c r="A284" s="67">
        <v>39871</v>
      </c>
      <c r="B284" s="8">
        <v>1696.4386</v>
      </c>
      <c r="C284" s="53">
        <f t="shared" si="9"/>
        <v>-0.10613419105404209</v>
      </c>
      <c r="D284" s="62"/>
      <c r="E284" s="8">
        <v>468.8664</v>
      </c>
      <c r="F284" s="53">
        <f t="shared" si="8"/>
        <v>-0.12146203390961108</v>
      </c>
      <c r="G284" s="38"/>
      <c r="H284" s="70">
        <v>-1.9672641788514598E-2</v>
      </c>
      <c r="I284" s="72"/>
      <c r="J284" s="53">
        <v>-5.2596653913522095E-3</v>
      </c>
      <c r="K284" s="38"/>
      <c r="L284" s="38"/>
      <c r="M284" s="38"/>
      <c r="N284" s="38"/>
      <c r="O284" s="38"/>
      <c r="P284" s="38"/>
      <c r="Q284" s="38"/>
      <c r="R284" s="38"/>
      <c r="S284" s="38"/>
    </row>
    <row r="285" spans="1:19" x14ac:dyDescent="0.25">
      <c r="A285" s="67">
        <v>39903</v>
      </c>
      <c r="B285" s="8">
        <v>1844.7554</v>
      </c>
      <c r="C285" s="53">
        <f t="shared" si="9"/>
        <v>8.7428333686818904E-2</v>
      </c>
      <c r="D285" s="62"/>
      <c r="E285" s="8">
        <v>510.5976</v>
      </c>
      <c r="F285" s="53">
        <f t="shared" si="8"/>
        <v>8.9004458412886844E-2</v>
      </c>
      <c r="G285" s="38"/>
      <c r="H285" s="70">
        <v>-4.1310122832072397E-3</v>
      </c>
      <c r="I285" s="72"/>
      <c r="J285" s="53">
        <v>2.1785886704055901E-2</v>
      </c>
      <c r="K285" s="38"/>
      <c r="L285" s="38"/>
      <c r="M285" s="38"/>
      <c r="N285" s="38"/>
      <c r="O285" s="38"/>
      <c r="P285" s="38"/>
      <c r="Q285" s="38"/>
      <c r="R285" s="38"/>
      <c r="S285" s="38"/>
    </row>
    <row r="286" spans="1:19" x14ac:dyDescent="0.25">
      <c r="A286" s="67">
        <v>39933</v>
      </c>
      <c r="B286" s="8">
        <v>2021.1279</v>
      </c>
      <c r="C286" s="53">
        <f t="shared" si="9"/>
        <v>9.5607526070935922E-2</v>
      </c>
      <c r="D286" s="62"/>
      <c r="E286" s="8">
        <v>589.48670000000004</v>
      </c>
      <c r="F286" s="53">
        <f t="shared" si="8"/>
        <v>0.15450346809307369</v>
      </c>
      <c r="G286" s="38"/>
      <c r="H286" s="70">
        <v>3.4718018029550504E-2</v>
      </c>
      <c r="I286" s="72"/>
      <c r="J286" s="53">
        <v>-1.8244108812672001E-2</v>
      </c>
      <c r="K286" s="38"/>
      <c r="L286" s="38"/>
      <c r="M286" s="38"/>
      <c r="N286" s="38"/>
      <c r="O286" s="38"/>
      <c r="P286" s="38"/>
      <c r="Q286" s="38"/>
      <c r="R286" s="38"/>
      <c r="S286" s="38"/>
    </row>
    <row r="287" spans="1:19" x14ac:dyDescent="0.25">
      <c r="A287" s="67">
        <v>39962</v>
      </c>
      <c r="B287" s="8">
        <v>2133.9881999999998</v>
      </c>
      <c r="C287" s="53">
        <f t="shared" si="9"/>
        <v>5.5840256324203752E-2</v>
      </c>
      <c r="D287" s="62"/>
      <c r="E287" s="8">
        <v>607.23440000000005</v>
      </c>
      <c r="F287" s="53">
        <f t="shared" si="8"/>
        <v>3.010704058293423E-2</v>
      </c>
      <c r="G287" s="38"/>
      <c r="H287" s="70">
        <v>3.9037407836129898E-2</v>
      </c>
      <c r="I287" s="72"/>
      <c r="J287" s="53">
        <v>-1.0088352586597999E-2</v>
      </c>
      <c r="K287" s="38"/>
      <c r="L287" s="38"/>
      <c r="M287" s="38"/>
      <c r="N287" s="38"/>
      <c r="O287" s="38"/>
      <c r="P287" s="38"/>
      <c r="Q287" s="38"/>
      <c r="R287" s="38"/>
      <c r="S287" s="38"/>
    </row>
    <row r="288" spans="1:19" x14ac:dyDescent="0.25">
      <c r="A288" s="67">
        <v>39994</v>
      </c>
      <c r="B288" s="8">
        <v>2138.259</v>
      </c>
      <c r="C288" s="53">
        <f t="shared" si="9"/>
        <v>2.0013231563325018E-3</v>
      </c>
      <c r="D288" s="62"/>
      <c r="E288" s="8">
        <v>616.15470000000005</v>
      </c>
      <c r="F288" s="53">
        <f t="shared" si="8"/>
        <v>1.4690043910555728E-2</v>
      </c>
      <c r="G288" s="38"/>
      <c r="H288" s="70">
        <v>2.7316884014802197E-2</v>
      </c>
      <c r="I288" s="72"/>
      <c r="J288" s="53">
        <v>-2.1206573147268901E-3</v>
      </c>
      <c r="K288" s="38"/>
      <c r="L288" s="38"/>
      <c r="M288" s="38"/>
      <c r="N288" s="38"/>
      <c r="O288" s="38"/>
      <c r="P288" s="38"/>
      <c r="Q288" s="38"/>
      <c r="R288" s="38"/>
      <c r="S288" s="38"/>
    </row>
    <row r="289" spans="1:19" x14ac:dyDescent="0.25">
      <c r="A289" s="67">
        <v>40025</v>
      </c>
      <c r="B289" s="8">
        <v>2299.7271000000001</v>
      </c>
      <c r="C289" s="53">
        <f t="shared" si="9"/>
        <v>7.5513817549698103E-2</v>
      </c>
      <c r="D289" s="62"/>
      <c r="E289" s="8">
        <v>675.44910000000004</v>
      </c>
      <c r="F289" s="53">
        <f t="shared" si="8"/>
        <v>9.6232975257674713E-2</v>
      </c>
      <c r="G289" s="38"/>
      <c r="H289" s="70">
        <v>4.3173669062316504E-2</v>
      </c>
      <c r="I289" s="72"/>
      <c r="J289" s="53">
        <v>4.1847378001132005E-3</v>
      </c>
      <c r="K289" s="38"/>
      <c r="L289" s="38"/>
      <c r="M289" s="38"/>
      <c r="N289" s="38"/>
      <c r="O289" s="38"/>
      <c r="P289" s="38"/>
      <c r="Q289" s="38"/>
      <c r="R289" s="38"/>
      <c r="S289" s="38"/>
    </row>
    <row r="290" spans="1:19" x14ac:dyDescent="0.25">
      <c r="A290" s="67">
        <v>40056</v>
      </c>
      <c r="B290" s="8">
        <v>2382.6152999999999</v>
      </c>
      <c r="C290" s="53">
        <f t="shared" si="9"/>
        <v>3.6042624361821041E-2</v>
      </c>
      <c r="D290" s="62"/>
      <c r="E290" s="8">
        <v>694.81460000000004</v>
      </c>
      <c r="F290" s="53">
        <f t="shared" si="8"/>
        <v>2.867055415426556E-2</v>
      </c>
      <c r="G290" s="38"/>
      <c r="H290" s="70">
        <v>1.8333987889202902E-2</v>
      </c>
      <c r="I290" s="72"/>
      <c r="J290" s="53">
        <v>8.9036712242319301E-3</v>
      </c>
      <c r="K290" s="38"/>
      <c r="L290" s="38"/>
      <c r="M290" s="38"/>
      <c r="N290" s="38"/>
      <c r="O290" s="38"/>
      <c r="P290" s="38"/>
      <c r="Q290" s="38"/>
      <c r="R290" s="38"/>
      <c r="S290" s="38"/>
    </row>
    <row r="291" spans="1:19" x14ac:dyDescent="0.25">
      <c r="A291" s="67">
        <v>40086</v>
      </c>
      <c r="B291" s="8">
        <v>2471.4452000000001</v>
      </c>
      <c r="C291" s="53">
        <f t="shared" si="9"/>
        <v>3.7282518919441232E-2</v>
      </c>
      <c r="D291" s="62"/>
      <c r="E291" s="8">
        <v>734.82050000000004</v>
      </c>
      <c r="F291" s="53">
        <f t="shared" si="8"/>
        <v>5.7577805647722524E-2</v>
      </c>
      <c r="G291" s="38"/>
      <c r="H291" s="70">
        <v>1.77512590520983E-2</v>
      </c>
      <c r="I291" s="72"/>
      <c r="J291" s="53">
        <v>7.7792116112539297E-3</v>
      </c>
      <c r="K291" s="38"/>
      <c r="L291" s="38"/>
      <c r="M291" s="38"/>
      <c r="N291" s="38"/>
      <c r="O291" s="38"/>
      <c r="P291" s="38"/>
      <c r="Q291" s="38"/>
      <c r="R291" s="38"/>
      <c r="S291" s="38"/>
    </row>
    <row r="292" spans="1:19" x14ac:dyDescent="0.25">
      <c r="A292" s="67">
        <v>40116</v>
      </c>
      <c r="B292" s="8">
        <v>2425.5708</v>
      </c>
      <c r="C292" s="53">
        <f t="shared" si="9"/>
        <v>-1.8561771064153132E-2</v>
      </c>
      <c r="D292" s="62"/>
      <c r="E292" s="8">
        <v>684.92169999999999</v>
      </c>
      <c r="F292" s="53">
        <f t="shared" si="8"/>
        <v>-6.7906107682080274E-2</v>
      </c>
      <c r="G292" s="38"/>
      <c r="H292" s="70">
        <v>7.0278624006094607E-3</v>
      </c>
      <c r="I292" s="72"/>
      <c r="J292" s="53">
        <v>-4.8574184135567001E-4</v>
      </c>
      <c r="K292" s="38"/>
      <c r="L292" s="38"/>
      <c r="M292" s="38"/>
      <c r="N292" s="38"/>
      <c r="O292" s="38"/>
      <c r="P292" s="38"/>
      <c r="Q292" s="38"/>
      <c r="R292" s="38"/>
      <c r="S292" s="38"/>
    </row>
    <row r="293" spans="1:19" x14ac:dyDescent="0.25">
      <c r="A293" s="67">
        <v>40147</v>
      </c>
      <c r="B293" s="8">
        <v>2570.9254000000001</v>
      </c>
      <c r="C293" s="53">
        <f t="shared" si="9"/>
        <v>5.992593578385752E-2</v>
      </c>
      <c r="D293" s="62"/>
      <c r="E293" s="8">
        <v>706.25990000000002</v>
      </c>
      <c r="F293" s="53">
        <f t="shared" si="8"/>
        <v>3.1154218066094419E-2</v>
      </c>
      <c r="G293" s="38"/>
      <c r="H293" s="70">
        <v>1.43095252622944E-2</v>
      </c>
      <c r="I293" s="72"/>
      <c r="J293" s="53">
        <v>1.39234297986916E-2</v>
      </c>
      <c r="K293" s="38"/>
      <c r="L293" s="38"/>
      <c r="M293" s="38"/>
      <c r="N293" s="38"/>
      <c r="O293" s="38"/>
      <c r="P293" s="38"/>
      <c r="Q293" s="38"/>
      <c r="R293" s="38"/>
      <c r="S293" s="38"/>
    </row>
    <row r="294" spans="1:19" x14ac:dyDescent="0.25">
      <c r="A294" s="67">
        <v>40178</v>
      </c>
      <c r="B294" s="8">
        <v>2620.5697</v>
      </c>
      <c r="C294" s="53">
        <f t="shared" si="9"/>
        <v>1.9309895184045356E-2</v>
      </c>
      <c r="D294" s="62"/>
      <c r="E294" s="8">
        <v>763.05330000000004</v>
      </c>
      <c r="F294" s="53">
        <f t="shared" si="8"/>
        <v>8.0414306404766878E-2</v>
      </c>
      <c r="G294" s="38"/>
      <c r="H294" s="70">
        <v>-7.8083774961948708E-3</v>
      </c>
      <c r="I294" s="72"/>
      <c r="J294" s="53">
        <v>-2.61237248990101E-2</v>
      </c>
      <c r="K294" s="38"/>
      <c r="L294" s="38"/>
      <c r="M294" s="38"/>
      <c r="N294" s="38"/>
      <c r="O294" s="38"/>
      <c r="P294" s="38"/>
      <c r="Q294" s="38"/>
      <c r="R294" s="38"/>
      <c r="S294" s="38"/>
    </row>
    <row r="295" spans="1:19" x14ac:dyDescent="0.25">
      <c r="A295" s="67">
        <v>40207</v>
      </c>
      <c r="B295" s="8">
        <v>2526.4351000000001</v>
      </c>
      <c r="C295" s="53">
        <f t="shared" si="9"/>
        <v>-3.5921425787682648E-2</v>
      </c>
      <c r="D295" s="62"/>
      <c r="E295" s="8">
        <v>734.94799999999998</v>
      </c>
      <c r="F295" s="53">
        <f t="shared" si="8"/>
        <v>-3.6832682592421895E-2</v>
      </c>
      <c r="G295" s="38"/>
      <c r="H295" s="70">
        <v>1.63147676968367E-2</v>
      </c>
      <c r="I295" s="72"/>
      <c r="J295" s="53">
        <v>1.5811589371444799E-2</v>
      </c>
      <c r="K295" s="38"/>
      <c r="L295" s="38"/>
      <c r="M295" s="38"/>
      <c r="N295" s="38"/>
      <c r="O295" s="38"/>
      <c r="P295" s="38"/>
      <c r="Q295" s="38"/>
      <c r="R295" s="38"/>
      <c r="S295" s="38"/>
    </row>
    <row r="296" spans="1:19" x14ac:dyDescent="0.25">
      <c r="A296" s="67">
        <v>40235</v>
      </c>
      <c r="B296" s="8">
        <v>2604.5495000000001</v>
      </c>
      <c r="C296" s="53">
        <f t="shared" si="9"/>
        <v>3.0918823127496831E-2</v>
      </c>
      <c r="D296" s="62"/>
      <c r="E296" s="8">
        <v>767.99749999999995</v>
      </c>
      <c r="F296" s="53">
        <f t="shared" si="8"/>
        <v>4.4968487566467319E-2</v>
      </c>
      <c r="G296" s="38"/>
      <c r="H296" s="70">
        <v>3.5550232216442603E-3</v>
      </c>
      <c r="I296" s="72"/>
      <c r="J296" s="53">
        <v>3.9512466707978099E-3</v>
      </c>
      <c r="K296" s="38"/>
      <c r="L296" s="38"/>
      <c r="M296" s="38"/>
      <c r="N296" s="38"/>
      <c r="O296" s="38"/>
      <c r="P296" s="38"/>
      <c r="Q296" s="38"/>
      <c r="R296" s="38"/>
      <c r="S296" s="38"/>
    </row>
    <row r="297" spans="1:19" x14ac:dyDescent="0.25">
      <c r="A297" s="67">
        <v>40268</v>
      </c>
      <c r="B297" s="8">
        <v>2761.6543000000001</v>
      </c>
      <c r="C297" s="53">
        <f t="shared" si="9"/>
        <v>6.0319375769206873E-2</v>
      </c>
      <c r="D297" s="62"/>
      <c r="E297" s="8">
        <v>830.32709999999997</v>
      </c>
      <c r="F297" s="53">
        <f t="shared" si="8"/>
        <v>8.1158597521476361E-2</v>
      </c>
      <c r="G297" s="38"/>
      <c r="H297" s="70">
        <v>2.9867099907305498E-3</v>
      </c>
      <c r="I297" s="72"/>
      <c r="J297" s="53">
        <v>-8.4744583436567808E-3</v>
      </c>
      <c r="K297" s="38"/>
      <c r="L297" s="38"/>
      <c r="M297" s="38"/>
      <c r="N297" s="38"/>
      <c r="O297" s="38"/>
      <c r="P297" s="38"/>
      <c r="Q297" s="38"/>
      <c r="R297" s="38"/>
      <c r="S297" s="38"/>
    </row>
    <row r="298" spans="1:19" x14ac:dyDescent="0.25">
      <c r="A298" s="67">
        <v>40298</v>
      </c>
      <c r="B298" s="8">
        <v>2805.2363</v>
      </c>
      <c r="C298" s="53">
        <f t="shared" si="9"/>
        <v>1.5781120757945688E-2</v>
      </c>
      <c r="D298" s="62"/>
      <c r="E298" s="8">
        <v>877.3143</v>
      </c>
      <c r="F298" s="53">
        <f t="shared" si="8"/>
        <v>5.658878290254532E-2</v>
      </c>
      <c r="G298" s="38"/>
      <c r="H298" s="70">
        <v>1.8202821762519601E-2</v>
      </c>
      <c r="I298" s="72"/>
      <c r="J298" s="53">
        <v>1.0482079068083201E-2</v>
      </c>
      <c r="K298" s="38"/>
      <c r="L298" s="38"/>
      <c r="M298" s="38"/>
      <c r="N298" s="38"/>
      <c r="O298" s="38"/>
      <c r="P298" s="38"/>
      <c r="Q298" s="38"/>
      <c r="R298" s="38"/>
      <c r="S298" s="38"/>
    </row>
    <row r="299" spans="1:19" x14ac:dyDescent="0.25">
      <c r="A299" s="67">
        <v>40329</v>
      </c>
      <c r="B299" s="8">
        <v>2581.4589000000001</v>
      </c>
      <c r="C299" s="53">
        <f t="shared" si="9"/>
        <v>-7.9771319086381354E-2</v>
      </c>
      <c r="D299" s="62"/>
      <c r="E299" s="8">
        <v>810.77909999999997</v>
      </c>
      <c r="F299" s="53">
        <f t="shared" si="8"/>
        <v>-7.5839639226215727E-2</v>
      </c>
      <c r="G299" s="38"/>
      <c r="H299" s="70">
        <v>-5.5123516995349295E-3</v>
      </c>
      <c r="I299" s="72"/>
      <c r="J299" s="53">
        <v>1.71029464228202E-2</v>
      </c>
      <c r="K299" s="38"/>
      <c r="L299" s="38"/>
      <c r="M299" s="38"/>
      <c r="N299" s="38"/>
      <c r="O299" s="38"/>
      <c r="P299" s="38"/>
      <c r="Q299" s="38"/>
      <c r="R299" s="38"/>
      <c r="S299" s="38"/>
    </row>
    <row r="300" spans="1:19" x14ac:dyDescent="0.25">
      <c r="A300" s="67">
        <v>40359</v>
      </c>
      <c r="B300" s="8">
        <v>2446.5061999999998</v>
      </c>
      <c r="C300" s="53">
        <f t="shared" si="9"/>
        <v>-5.2277686853740013E-2</v>
      </c>
      <c r="D300" s="62"/>
      <c r="E300" s="8">
        <v>747.99390000000005</v>
      </c>
      <c r="F300" s="53">
        <f t="shared" si="8"/>
        <v>-7.7438108604427458E-2</v>
      </c>
      <c r="G300" s="38"/>
      <c r="H300" s="70">
        <v>2.1312957102255101E-2</v>
      </c>
      <c r="I300" s="72"/>
      <c r="J300" s="53">
        <v>1.8570003282863099E-2</v>
      </c>
      <c r="K300" s="38"/>
      <c r="L300" s="38"/>
      <c r="M300" s="38"/>
      <c r="N300" s="38"/>
      <c r="O300" s="38"/>
      <c r="P300" s="38"/>
      <c r="Q300" s="38"/>
      <c r="R300" s="38"/>
      <c r="S300" s="38"/>
    </row>
    <row r="301" spans="1:19" x14ac:dyDescent="0.25">
      <c r="A301" s="67">
        <v>40389</v>
      </c>
      <c r="B301" s="8">
        <v>2617.8144000000002</v>
      </c>
      <c r="C301" s="53">
        <f t="shared" si="9"/>
        <v>7.0021567899562376E-2</v>
      </c>
      <c r="D301" s="62"/>
      <c r="E301" s="8">
        <v>799.34910000000002</v>
      </c>
      <c r="F301" s="53">
        <f t="shared" si="8"/>
        <v>6.865724439731391E-2</v>
      </c>
      <c r="G301" s="38"/>
      <c r="H301" s="70">
        <v>1.9591349902899499E-2</v>
      </c>
      <c r="I301" s="72"/>
      <c r="J301" s="53">
        <v>6.8186147589479598E-3</v>
      </c>
      <c r="K301" s="38"/>
      <c r="L301" s="38"/>
      <c r="M301" s="38"/>
      <c r="N301" s="38"/>
      <c r="O301" s="38"/>
      <c r="P301" s="38"/>
      <c r="Q301" s="38"/>
      <c r="R301" s="38"/>
      <c r="S301" s="38"/>
    </row>
    <row r="302" spans="1:19" x14ac:dyDescent="0.25">
      <c r="A302" s="67">
        <v>40421</v>
      </c>
      <c r="B302" s="8">
        <v>2499.8434000000002</v>
      </c>
      <c r="C302" s="53">
        <f t="shared" si="9"/>
        <v>-4.5064692134018314E-2</v>
      </c>
      <c r="D302" s="62"/>
      <c r="E302" s="8">
        <v>740.18780000000004</v>
      </c>
      <c r="F302" s="53">
        <f t="shared" si="8"/>
        <v>-7.4011842885667867E-2</v>
      </c>
      <c r="G302" s="38"/>
      <c r="H302" s="70">
        <v>1.98335728214044E-2</v>
      </c>
      <c r="I302" s="72"/>
      <c r="J302" s="53">
        <v>2.0080227676496996E-2</v>
      </c>
      <c r="K302" s="38"/>
      <c r="L302" s="38"/>
      <c r="M302" s="38"/>
      <c r="N302" s="38"/>
      <c r="O302" s="38"/>
      <c r="P302" s="38"/>
      <c r="Q302" s="38"/>
      <c r="R302" s="38"/>
      <c r="S302" s="38"/>
    </row>
    <row r="303" spans="1:19" x14ac:dyDescent="0.25">
      <c r="A303" s="67">
        <v>40451</v>
      </c>
      <c r="B303" s="8">
        <v>2722.8575000000001</v>
      </c>
      <c r="C303" s="53">
        <f t="shared" si="9"/>
        <v>8.9211228191333758E-2</v>
      </c>
      <c r="D303" s="62"/>
      <c r="E303" s="8">
        <v>832.37890000000004</v>
      </c>
      <c r="F303" s="53">
        <f t="shared" si="8"/>
        <v>0.12455095855403187</v>
      </c>
      <c r="G303" s="38"/>
      <c r="H303" s="70">
        <v>6.9912166633121298E-3</v>
      </c>
      <c r="I303" s="72"/>
      <c r="J303" s="53">
        <v>2.1091660957301E-4</v>
      </c>
      <c r="K303" s="38"/>
      <c r="L303" s="38"/>
      <c r="M303" s="38"/>
      <c r="N303" s="38"/>
      <c r="O303" s="38"/>
      <c r="P303" s="38"/>
      <c r="Q303" s="38"/>
      <c r="R303" s="38"/>
      <c r="S303" s="38"/>
    </row>
    <row r="304" spans="1:19" x14ac:dyDescent="0.25">
      <c r="A304" s="67">
        <v>40480</v>
      </c>
      <c r="B304" s="8">
        <v>2826.4059999999999</v>
      </c>
      <c r="C304" s="53">
        <f t="shared" si="9"/>
        <v>3.8029349681354851E-2</v>
      </c>
      <c r="D304" s="62"/>
      <c r="E304" s="8">
        <v>866.43169999999998</v>
      </c>
      <c r="F304" s="53">
        <f t="shared" si="8"/>
        <v>4.0910215287773388E-2</v>
      </c>
      <c r="G304" s="38"/>
      <c r="H304" s="70">
        <v>1.1800658131104701E-3</v>
      </c>
      <c r="I304" s="72"/>
      <c r="J304" s="53">
        <v>-1.5792659679843199E-3</v>
      </c>
      <c r="K304" s="38"/>
      <c r="L304" s="38"/>
      <c r="M304" s="38"/>
      <c r="N304" s="38"/>
      <c r="O304" s="38"/>
      <c r="P304" s="38"/>
      <c r="Q304" s="38"/>
      <c r="R304" s="38"/>
      <c r="S304" s="38"/>
    </row>
    <row r="305" spans="1:19" x14ac:dyDescent="0.25">
      <c r="A305" s="67">
        <v>40512</v>
      </c>
      <c r="B305" s="8">
        <v>2826.8591999999999</v>
      </c>
      <c r="C305" s="53">
        <f t="shared" si="9"/>
        <v>1.6034497520878155E-4</v>
      </c>
      <c r="D305" s="62"/>
      <c r="E305" s="8">
        <v>896.48069999999996</v>
      </c>
      <c r="F305" s="53">
        <f t="shared" si="8"/>
        <v>3.468132571788396E-2</v>
      </c>
      <c r="G305" s="38"/>
      <c r="H305" s="70">
        <v>-8.1126146393666904E-3</v>
      </c>
      <c r="I305" s="72"/>
      <c r="J305" s="53">
        <v>-6.9858346073008899E-3</v>
      </c>
      <c r="K305" s="38"/>
      <c r="L305" s="38"/>
      <c r="M305" s="38"/>
      <c r="N305" s="38"/>
      <c r="O305" s="38"/>
      <c r="P305" s="38"/>
      <c r="Q305" s="38"/>
      <c r="R305" s="38"/>
      <c r="S305" s="38"/>
    </row>
    <row r="306" spans="1:19" x14ac:dyDescent="0.25">
      <c r="A306" s="67">
        <v>40543</v>
      </c>
      <c r="B306" s="8">
        <v>3015.7188999999998</v>
      </c>
      <c r="C306" s="53">
        <f t="shared" si="9"/>
        <v>6.680902253638954E-2</v>
      </c>
      <c r="D306" s="62"/>
      <c r="E306" s="8">
        <v>967.72059999999999</v>
      </c>
      <c r="F306" s="53">
        <f t="shared" si="8"/>
        <v>7.9466183711484284E-2</v>
      </c>
      <c r="G306" s="38"/>
      <c r="H306" s="70">
        <v>-9.1751742359148201E-3</v>
      </c>
      <c r="I306" s="72"/>
      <c r="J306" s="53">
        <v>-1.7990281377527499E-2</v>
      </c>
      <c r="K306" s="38"/>
      <c r="L306" s="38"/>
      <c r="M306" s="38"/>
      <c r="N306" s="38"/>
      <c r="O306" s="38"/>
      <c r="P306" s="38"/>
      <c r="Q306" s="38"/>
      <c r="R306" s="38"/>
      <c r="S306" s="38"/>
    </row>
    <row r="307" spans="1:19" x14ac:dyDescent="0.25">
      <c r="A307" s="67">
        <v>40574</v>
      </c>
      <c r="B307" s="8">
        <v>3087.1797000000001</v>
      </c>
      <c r="C307" s="53">
        <f t="shared" si="9"/>
        <v>2.3696107750626361E-2</v>
      </c>
      <c r="D307" s="62"/>
      <c r="E307" s="8">
        <v>965.23339999999996</v>
      </c>
      <c r="F307" s="53">
        <f t="shared" si="8"/>
        <v>-2.5701633302008808E-3</v>
      </c>
      <c r="G307" s="38"/>
      <c r="H307" s="70">
        <v>1.9921965754026699E-3</v>
      </c>
      <c r="I307" s="72"/>
      <c r="J307" s="53">
        <v>-2.4818375513880003E-4</v>
      </c>
      <c r="K307" s="38"/>
      <c r="L307" s="38"/>
      <c r="M307" s="38"/>
      <c r="N307" s="38"/>
      <c r="O307" s="38"/>
      <c r="P307" s="38"/>
      <c r="Q307" s="38"/>
      <c r="R307" s="38"/>
      <c r="S307" s="38"/>
    </row>
    <row r="308" spans="1:19" x14ac:dyDescent="0.25">
      <c r="A308" s="67">
        <v>40602</v>
      </c>
      <c r="B308" s="8">
        <v>3192.8863999999999</v>
      </c>
      <c r="C308" s="53">
        <f t="shared" si="9"/>
        <v>3.4240539998368069E-2</v>
      </c>
      <c r="D308" s="62"/>
      <c r="E308" s="8">
        <v>1018.158</v>
      </c>
      <c r="F308" s="53">
        <f t="shared" si="8"/>
        <v>5.4830883390483587E-2</v>
      </c>
      <c r="G308" s="38"/>
      <c r="H308" s="70">
        <v>7.9233812827605998E-3</v>
      </c>
      <c r="I308" s="72"/>
      <c r="J308" s="53">
        <v>-7.4322379072336005E-4</v>
      </c>
      <c r="K308" s="38"/>
      <c r="L308" s="38"/>
      <c r="M308" s="38"/>
      <c r="N308" s="38"/>
      <c r="O308" s="38"/>
      <c r="P308" s="38"/>
      <c r="Q308" s="38"/>
      <c r="R308" s="38"/>
      <c r="S308" s="38"/>
    </row>
    <row r="309" spans="1:19" x14ac:dyDescent="0.25">
      <c r="A309" s="67">
        <v>40633</v>
      </c>
      <c r="B309" s="8">
        <v>3194.1001999999999</v>
      </c>
      <c r="C309" s="53">
        <f t="shared" si="9"/>
        <v>3.8015759032328234E-4</v>
      </c>
      <c r="D309" s="62"/>
      <c r="E309" s="8">
        <v>1044.4865</v>
      </c>
      <c r="F309" s="53">
        <f t="shared" si="8"/>
        <v>2.5858953129082041E-2</v>
      </c>
      <c r="G309" s="38"/>
      <c r="H309" s="70">
        <v>-1.3332528820876898E-3</v>
      </c>
      <c r="I309" s="72"/>
      <c r="J309" s="53">
        <v>-6.1011312463283001E-4</v>
      </c>
      <c r="K309" s="38"/>
      <c r="L309" s="38"/>
      <c r="M309" s="38"/>
      <c r="N309" s="38"/>
      <c r="O309" s="38"/>
      <c r="P309" s="38"/>
      <c r="Q309" s="38"/>
      <c r="R309" s="38"/>
      <c r="S309" s="38"/>
    </row>
    <row r="310" spans="1:19" x14ac:dyDescent="0.25">
      <c r="A310" s="67">
        <v>40662</v>
      </c>
      <c r="B310" s="8">
        <v>3288.6084000000001</v>
      </c>
      <c r="C310" s="53">
        <f t="shared" si="9"/>
        <v>2.9588364197215888E-2</v>
      </c>
      <c r="D310" s="62"/>
      <c r="E310" s="8">
        <v>1072.0535</v>
      </c>
      <c r="F310" s="53">
        <f t="shared" si="8"/>
        <v>2.6392873435894026E-2</v>
      </c>
      <c r="G310" s="38"/>
      <c r="H310" s="70">
        <v>1.7196125170153301E-2</v>
      </c>
      <c r="I310" s="72"/>
      <c r="J310" s="53">
        <v>1.1536573232504701E-2</v>
      </c>
      <c r="K310" s="38"/>
      <c r="L310" s="38"/>
      <c r="M310" s="38"/>
      <c r="N310" s="38"/>
      <c r="O310" s="38"/>
      <c r="P310" s="38"/>
      <c r="Q310" s="38"/>
      <c r="R310" s="38"/>
      <c r="S310" s="38"/>
    </row>
    <row r="311" spans="1:19" x14ac:dyDescent="0.25">
      <c r="A311" s="67">
        <v>40694</v>
      </c>
      <c r="B311" s="8">
        <v>3251.3112000000001</v>
      </c>
      <c r="C311" s="53">
        <f t="shared" si="9"/>
        <v>-1.1341332096579171E-2</v>
      </c>
      <c r="D311" s="62"/>
      <c r="E311" s="8">
        <v>1051.9381000000001</v>
      </c>
      <c r="F311" s="53">
        <f t="shared" si="8"/>
        <v>-1.876342925049912E-2</v>
      </c>
      <c r="G311" s="38"/>
      <c r="H311" s="70">
        <v>1.4440348363139E-2</v>
      </c>
      <c r="I311" s="72"/>
      <c r="J311" s="53">
        <v>1.5616768564037799E-2</v>
      </c>
      <c r="K311" s="38"/>
      <c r="L311" s="38"/>
      <c r="M311" s="38"/>
      <c r="N311" s="38"/>
      <c r="O311" s="38"/>
      <c r="P311" s="38"/>
      <c r="Q311" s="38"/>
      <c r="R311" s="38"/>
      <c r="S311" s="38"/>
    </row>
    <row r="312" spans="1:19" x14ac:dyDescent="0.25">
      <c r="A312" s="67">
        <v>40724</v>
      </c>
      <c r="B312" s="8">
        <v>3196.9796000000001</v>
      </c>
      <c r="C312" s="53">
        <f t="shared" si="9"/>
        <v>-1.6710673527652431E-2</v>
      </c>
      <c r="D312" s="62"/>
      <c r="E312" s="8">
        <v>1027.6302000000001</v>
      </c>
      <c r="F312" s="53">
        <f t="shared" si="8"/>
        <v>-2.3107728487065882E-2</v>
      </c>
      <c r="G312" s="38"/>
      <c r="H312" s="70">
        <v>-8.7605310949038593E-3</v>
      </c>
      <c r="I312" s="72"/>
      <c r="J312" s="53">
        <v>-3.3845812224138501E-3</v>
      </c>
      <c r="K312" s="38"/>
      <c r="L312" s="38"/>
      <c r="M312" s="38"/>
      <c r="N312" s="38"/>
      <c r="O312" s="38"/>
      <c r="P312" s="38"/>
      <c r="Q312" s="38"/>
      <c r="R312" s="38"/>
      <c r="S312" s="38"/>
    </row>
    <row r="313" spans="1:19" x14ac:dyDescent="0.25">
      <c r="A313" s="67">
        <v>40753</v>
      </c>
      <c r="B313" s="8">
        <v>3132.0648999999999</v>
      </c>
      <c r="C313" s="53">
        <f t="shared" si="9"/>
        <v>-2.0305009140502595E-2</v>
      </c>
      <c r="D313" s="62"/>
      <c r="E313" s="8">
        <v>990.50869999999998</v>
      </c>
      <c r="F313" s="53">
        <f t="shared" si="8"/>
        <v>-3.6123403146384847E-2</v>
      </c>
      <c r="G313" s="38"/>
      <c r="H313" s="70">
        <v>2.52136748480273E-2</v>
      </c>
      <c r="I313" s="72"/>
      <c r="J313" s="53">
        <v>1.8228367415115802E-2</v>
      </c>
      <c r="K313" s="38"/>
      <c r="L313" s="38"/>
      <c r="M313" s="38"/>
      <c r="N313" s="38"/>
      <c r="O313" s="38"/>
      <c r="P313" s="38"/>
      <c r="Q313" s="38"/>
      <c r="R313" s="38"/>
      <c r="S313" s="38"/>
    </row>
    <row r="314" spans="1:19" x14ac:dyDescent="0.25">
      <c r="A314" s="67">
        <v>40786</v>
      </c>
      <c r="B314" s="8">
        <v>2961.6801999999998</v>
      </c>
      <c r="C314" s="53">
        <f t="shared" si="9"/>
        <v>-5.4400117954133131E-2</v>
      </c>
      <c r="D314" s="62"/>
      <c r="E314" s="8">
        <v>904.2971</v>
      </c>
      <c r="F314" s="53">
        <f t="shared" si="8"/>
        <v>-8.7037700930844952E-2</v>
      </c>
      <c r="G314" s="38"/>
      <c r="H314" s="70">
        <v>6.5152465003513998E-4</v>
      </c>
      <c r="I314" s="72"/>
      <c r="J314" s="53">
        <v>2.7771850779778399E-2</v>
      </c>
      <c r="K314" s="38"/>
      <c r="L314" s="38"/>
      <c r="M314" s="38"/>
      <c r="N314" s="38"/>
      <c r="O314" s="38"/>
      <c r="P314" s="38"/>
      <c r="Q314" s="38"/>
      <c r="R314" s="38"/>
      <c r="S314" s="38"/>
    </row>
    <row r="315" spans="1:19" x14ac:dyDescent="0.25">
      <c r="A315" s="67">
        <v>40816</v>
      </c>
      <c r="B315" s="8">
        <v>2753.6457999999998</v>
      </c>
      <c r="C315" s="53">
        <f t="shared" si="9"/>
        <v>-7.0242020053346788E-2</v>
      </c>
      <c r="D315" s="62"/>
      <c r="E315" s="8">
        <v>802.99749999999995</v>
      </c>
      <c r="F315" s="53">
        <f t="shared" si="8"/>
        <v>-0.11202026413664279</v>
      </c>
      <c r="G315" s="38"/>
      <c r="H315" s="70">
        <v>2.5519619445856703E-3</v>
      </c>
      <c r="I315" s="72"/>
      <c r="J315" s="53">
        <v>1.7465744140595301E-2</v>
      </c>
      <c r="K315" s="38"/>
      <c r="L315" s="38"/>
      <c r="M315" s="38"/>
      <c r="N315" s="38"/>
      <c r="O315" s="38"/>
      <c r="P315" s="38"/>
      <c r="Q315" s="38"/>
      <c r="R315" s="38"/>
      <c r="S315" s="38"/>
    </row>
    <row r="316" spans="1:19" x14ac:dyDescent="0.25">
      <c r="A316" s="67">
        <v>40847</v>
      </c>
      <c r="B316" s="8">
        <v>3054.3132000000001</v>
      </c>
      <c r="C316" s="53">
        <f t="shared" si="9"/>
        <v>0.10918884338719237</v>
      </c>
      <c r="D316" s="62"/>
      <c r="E316" s="8">
        <v>924.49590000000001</v>
      </c>
      <c r="F316" s="53">
        <f t="shared" si="8"/>
        <v>0.15130607505004701</v>
      </c>
      <c r="G316" s="38"/>
      <c r="H316" s="70">
        <v>1.7878132155868101E-2</v>
      </c>
      <c r="I316" s="72"/>
      <c r="J316" s="53">
        <v>-8.1532515246265508E-3</v>
      </c>
      <c r="K316" s="38"/>
      <c r="L316" s="38"/>
      <c r="M316" s="38"/>
      <c r="N316" s="38"/>
      <c r="O316" s="38"/>
      <c r="P316" s="38"/>
      <c r="Q316" s="38"/>
      <c r="R316" s="38"/>
      <c r="S316" s="38"/>
    </row>
    <row r="317" spans="1:19" x14ac:dyDescent="0.25">
      <c r="A317" s="67">
        <v>40877</v>
      </c>
      <c r="B317" s="8">
        <v>3047.4431</v>
      </c>
      <c r="C317" s="53">
        <f t="shared" si="9"/>
        <v>-2.249310908914004E-3</v>
      </c>
      <c r="D317" s="62"/>
      <c r="E317" s="8">
        <v>921.09810000000004</v>
      </c>
      <c r="F317" s="53">
        <f t="shared" si="8"/>
        <v>-3.6753002365937926E-3</v>
      </c>
      <c r="G317" s="38"/>
      <c r="H317" s="70">
        <v>-1.9600157167118298E-2</v>
      </c>
      <c r="I317" s="72"/>
      <c r="J317" s="53">
        <v>7.4618284324518705E-3</v>
      </c>
      <c r="K317" s="38"/>
      <c r="L317" s="38"/>
      <c r="M317" s="38"/>
      <c r="N317" s="38"/>
      <c r="O317" s="38"/>
      <c r="P317" s="38"/>
      <c r="Q317" s="38"/>
      <c r="R317" s="38"/>
      <c r="S317" s="38"/>
    </row>
    <row r="318" spans="1:19" x14ac:dyDescent="0.25">
      <c r="A318" s="67">
        <v>40907</v>
      </c>
      <c r="B318" s="8">
        <v>3078.4886999999999</v>
      </c>
      <c r="C318" s="53">
        <f t="shared" si="9"/>
        <v>1.0187425648734871E-2</v>
      </c>
      <c r="D318" s="62"/>
      <c r="E318" s="8">
        <v>927.16179999999997</v>
      </c>
      <c r="F318" s="53">
        <f t="shared" si="8"/>
        <v>6.5831207338282738E-3</v>
      </c>
      <c r="G318" s="38"/>
      <c r="H318" s="70">
        <v>2.1376646808302101E-2</v>
      </c>
      <c r="I318" s="72"/>
      <c r="J318" s="53">
        <v>9.6621545968333701E-3</v>
      </c>
      <c r="K318" s="38"/>
      <c r="L318" s="38"/>
      <c r="M318" s="38"/>
      <c r="N318" s="38"/>
      <c r="O318" s="38"/>
      <c r="P318" s="38"/>
      <c r="Q318" s="38"/>
      <c r="R318" s="38"/>
      <c r="S318" s="38"/>
    </row>
    <row r="319" spans="1:19" x14ac:dyDescent="0.25">
      <c r="A319" s="67">
        <v>40939</v>
      </c>
      <c r="B319" s="8">
        <v>3216.3919999999998</v>
      </c>
      <c r="C319" s="53">
        <f t="shared" si="9"/>
        <v>4.4795779175671457E-2</v>
      </c>
      <c r="D319" s="63"/>
      <c r="E319" s="8">
        <v>992.65560000000005</v>
      </c>
      <c r="F319" s="53">
        <f t="shared" si="8"/>
        <v>7.0639018993232883E-2</v>
      </c>
      <c r="G319" s="38"/>
      <c r="H319" s="70">
        <v>2.2139555138519503E-2</v>
      </c>
      <c r="I319" s="72"/>
      <c r="J319" s="53">
        <v>4.2300465411935001E-3</v>
      </c>
      <c r="K319" s="38"/>
      <c r="L319" s="38"/>
      <c r="M319" s="38"/>
      <c r="N319" s="38"/>
      <c r="O319" s="38"/>
      <c r="P319" s="38"/>
      <c r="Q319" s="38"/>
      <c r="R319" s="38"/>
      <c r="S319" s="38"/>
    </row>
    <row r="320" spans="1:19" x14ac:dyDescent="0.25">
      <c r="A320" s="67">
        <v>40968</v>
      </c>
      <c r="B320" s="8">
        <v>3355.3876</v>
      </c>
      <c r="C320" s="53">
        <f t="shared" si="9"/>
        <v>4.3214757405191984E-2</v>
      </c>
      <c r="D320" s="38"/>
      <c r="E320" s="8">
        <v>1016.4256</v>
      </c>
      <c r="F320" s="53">
        <f t="shared" si="8"/>
        <v>2.3945868033182993E-2</v>
      </c>
      <c r="G320" s="38"/>
      <c r="H320" s="70">
        <v>8.4175655543281894E-3</v>
      </c>
      <c r="I320" s="72"/>
      <c r="J320" s="53">
        <v>-7.1261342323220098E-3</v>
      </c>
      <c r="K320" s="38"/>
      <c r="L320" s="38"/>
      <c r="M320" s="38"/>
      <c r="N320" s="38"/>
      <c r="O320" s="38"/>
      <c r="P320" s="38"/>
      <c r="Q320" s="38"/>
      <c r="R320" s="38"/>
      <c r="S320" s="38"/>
    </row>
    <row r="321" spans="1:19" x14ac:dyDescent="0.25">
      <c r="A321" s="67">
        <v>40998</v>
      </c>
      <c r="B321" s="8">
        <v>3465.5183000000002</v>
      </c>
      <c r="C321" s="53">
        <f t="shared" si="9"/>
        <v>3.2822050126191105E-2</v>
      </c>
      <c r="D321" s="38"/>
      <c r="E321" s="8">
        <v>1042.4532999999999</v>
      </c>
      <c r="F321" s="53">
        <f t="shared" si="8"/>
        <v>2.560708821186708E-2</v>
      </c>
      <c r="G321" s="38"/>
      <c r="H321" s="70">
        <v>-9.6574549960650805E-3</v>
      </c>
      <c r="I321" s="72"/>
      <c r="J321" s="53">
        <v>-1.00327543661502E-2</v>
      </c>
      <c r="K321" s="38"/>
      <c r="L321" s="38"/>
      <c r="M321" s="38"/>
      <c r="N321" s="38"/>
      <c r="O321" s="38"/>
      <c r="P321" s="38"/>
      <c r="Q321" s="38"/>
      <c r="R321" s="38"/>
      <c r="S321" s="38"/>
    </row>
    <row r="322" spans="1:19" x14ac:dyDescent="0.25">
      <c r="A322" s="67">
        <v>41029</v>
      </c>
      <c r="B322" s="8">
        <v>3443.7444</v>
      </c>
      <c r="C322" s="53">
        <f t="shared" si="9"/>
        <v>-6.2830140011091995E-3</v>
      </c>
      <c r="D322" s="38"/>
      <c r="E322" s="8">
        <v>1026.3492000000001</v>
      </c>
      <c r="F322" s="53">
        <f t="shared" si="8"/>
        <v>-1.5448269960870009E-2</v>
      </c>
      <c r="G322" s="38"/>
      <c r="H322" s="70">
        <v>1.3956763204863901E-2</v>
      </c>
      <c r="I322" s="72"/>
      <c r="J322" s="53">
        <v>1.4547669559341401E-2</v>
      </c>
      <c r="K322" s="38"/>
      <c r="L322" s="38"/>
      <c r="M322" s="38"/>
      <c r="N322" s="38"/>
      <c r="O322" s="38"/>
      <c r="P322" s="38"/>
      <c r="Q322" s="38"/>
      <c r="R322" s="38"/>
      <c r="S322" s="38"/>
    </row>
    <row r="323" spans="1:19" x14ac:dyDescent="0.25">
      <c r="A323" s="67">
        <v>41060</v>
      </c>
      <c r="B323" s="8">
        <v>3236.9661999999998</v>
      </c>
      <c r="C323" s="53">
        <f t="shared" si="9"/>
        <v>-6.0044584028942527E-2</v>
      </c>
      <c r="D323" s="38"/>
      <c r="E323" s="8">
        <v>958.48469999999998</v>
      </c>
      <c r="F323" s="53">
        <f t="shared" si="8"/>
        <v>-6.612223208241419E-2</v>
      </c>
      <c r="G323" s="38"/>
      <c r="H323" s="70">
        <v>7.5492837076162802E-3</v>
      </c>
      <c r="I323" s="72"/>
      <c r="J323" s="53">
        <v>1.7139075666036101E-2</v>
      </c>
      <c r="K323" s="38"/>
      <c r="L323" s="38"/>
      <c r="M323" s="38"/>
      <c r="N323" s="38"/>
      <c r="O323" s="38"/>
      <c r="P323" s="38"/>
      <c r="Q323" s="38"/>
      <c r="R323" s="38"/>
      <c r="S323" s="38"/>
    </row>
    <row r="324" spans="1:19" x14ac:dyDescent="0.25">
      <c r="A324" s="67">
        <v>41089</v>
      </c>
      <c r="B324" s="8">
        <v>3370.1743000000001</v>
      </c>
      <c r="C324" s="53">
        <f t="shared" si="9"/>
        <v>4.1152144251614509E-2</v>
      </c>
      <c r="D324" s="38"/>
      <c r="E324" s="8">
        <v>1006.2421000000001</v>
      </c>
      <c r="F324" s="53">
        <f t="shared" si="8"/>
        <v>4.9825938796936642E-2</v>
      </c>
      <c r="G324" s="38"/>
      <c r="H324" s="70">
        <v>3.5469654488165196E-3</v>
      </c>
      <c r="I324" s="72"/>
      <c r="J324" s="53">
        <v>-3.4776300114932501E-3</v>
      </c>
      <c r="K324" s="38"/>
      <c r="L324" s="38"/>
      <c r="M324" s="38"/>
      <c r="N324" s="38"/>
      <c r="O324" s="38"/>
      <c r="P324" s="38"/>
      <c r="Q324" s="38"/>
      <c r="R324" s="38"/>
      <c r="S324" s="38"/>
    </row>
    <row r="325" spans="1:19" x14ac:dyDescent="0.25">
      <c r="A325" s="67">
        <v>41121</v>
      </c>
      <c r="B325" s="8">
        <v>3416.9331999999999</v>
      </c>
      <c r="C325" s="53">
        <f t="shared" si="9"/>
        <v>1.3874326915376489E-2</v>
      </c>
      <c r="D325" s="38"/>
      <c r="E325" s="8">
        <v>992.34609999999998</v>
      </c>
      <c r="F325" s="53">
        <f t="shared" si="8"/>
        <v>-1.3809797860773299E-2</v>
      </c>
      <c r="G325" s="38"/>
      <c r="H325" s="70">
        <v>2.8773472168635399E-2</v>
      </c>
      <c r="I325" s="72"/>
      <c r="J325" s="53">
        <v>1.0068091988264001E-2</v>
      </c>
      <c r="K325" s="38"/>
      <c r="L325" s="38"/>
      <c r="M325" s="38"/>
      <c r="N325" s="38"/>
      <c r="O325" s="38"/>
      <c r="P325" s="38"/>
      <c r="Q325" s="38"/>
      <c r="R325" s="38"/>
      <c r="S325" s="38"/>
    </row>
    <row r="326" spans="1:19" x14ac:dyDescent="0.25">
      <c r="A326" s="67">
        <v>41152</v>
      </c>
      <c r="B326" s="8">
        <v>3493.8939999999998</v>
      </c>
      <c r="C326" s="53">
        <f t="shared" si="9"/>
        <v>2.2523355153679869E-2</v>
      </c>
      <c r="D326" s="38"/>
      <c r="E326" s="8">
        <v>1025.4418000000001</v>
      </c>
      <c r="F326" s="53">
        <f t="shared" si="8"/>
        <v>3.3350964950635831E-2</v>
      </c>
      <c r="G326" s="38"/>
      <c r="H326" s="70">
        <v>2.22282394338891E-3</v>
      </c>
      <c r="I326" s="72"/>
      <c r="J326" s="53">
        <v>-1.28603119497968E-3</v>
      </c>
      <c r="K326" s="38"/>
      <c r="L326" s="38"/>
      <c r="M326" s="38"/>
      <c r="N326" s="38"/>
      <c r="O326" s="38"/>
      <c r="P326" s="38"/>
      <c r="Q326" s="38"/>
      <c r="R326" s="38"/>
      <c r="S326" s="38"/>
    </row>
    <row r="327" spans="1:19" x14ac:dyDescent="0.25">
      <c r="A327" s="67">
        <v>41180</v>
      </c>
      <c r="B327" s="8">
        <v>3584.1605</v>
      </c>
      <c r="C327" s="53">
        <f t="shared" si="9"/>
        <v>2.5835500447351833E-2</v>
      </c>
      <c r="D327" s="38"/>
      <c r="E327" s="8">
        <v>1059.1246000000001</v>
      </c>
      <c r="F327" s="53">
        <f t="shared" ref="F327:F366" si="10">E327/E326-1</f>
        <v>3.2847110386957201E-2</v>
      </c>
      <c r="G327" s="38"/>
      <c r="H327" s="70">
        <v>7.0190917981169196E-3</v>
      </c>
      <c r="I327" s="72"/>
      <c r="J327" s="53">
        <v>-3.0596912846471004E-3</v>
      </c>
      <c r="K327" s="38"/>
      <c r="L327" s="38"/>
      <c r="M327" s="38"/>
      <c r="N327" s="38"/>
      <c r="O327" s="38"/>
      <c r="P327" s="38"/>
      <c r="Q327" s="38"/>
      <c r="R327" s="38"/>
      <c r="S327" s="38"/>
    </row>
    <row r="328" spans="1:19" x14ac:dyDescent="0.25">
      <c r="A328" s="67">
        <v>41213</v>
      </c>
      <c r="B328" s="8">
        <v>3518.0916000000002</v>
      </c>
      <c r="C328" s="53">
        <f t="shared" ref="C328:C366" si="11">B328/B327-1</f>
        <v>-1.8433577402574453E-2</v>
      </c>
      <c r="D328" s="38"/>
      <c r="E328" s="8">
        <v>1036.1555000000001</v>
      </c>
      <c r="F328" s="53">
        <f t="shared" si="10"/>
        <v>-2.1686872347219555E-2</v>
      </c>
      <c r="G328" s="38"/>
      <c r="H328" s="70">
        <v>1.2881743480744801E-2</v>
      </c>
      <c r="I328" s="72"/>
      <c r="J328" s="53">
        <v>-1.6939394470784899E-3</v>
      </c>
      <c r="K328" s="38"/>
      <c r="L328" s="38"/>
      <c r="M328" s="38"/>
      <c r="N328" s="38"/>
      <c r="O328" s="38"/>
      <c r="P328" s="38"/>
      <c r="Q328" s="38"/>
      <c r="R328" s="38"/>
      <c r="S328" s="38"/>
    </row>
    <row r="329" spans="1:19" x14ac:dyDescent="0.25">
      <c r="A329" s="67">
        <v>41243</v>
      </c>
      <c r="B329" s="8">
        <v>3538.2907</v>
      </c>
      <c r="C329" s="53">
        <f t="shared" si="11"/>
        <v>5.741493484706206E-3</v>
      </c>
      <c r="D329" s="38"/>
      <c r="E329" s="8">
        <v>1041.6341</v>
      </c>
      <c r="F329" s="53">
        <f t="shared" si="10"/>
        <v>5.2874303133070288E-3</v>
      </c>
      <c r="G329" s="38"/>
      <c r="H329" s="70">
        <v>-1.5916634997348899E-3</v>
      </c>
      <c r="I329" s="72"/>
      <c r="J329" s="53">
        <v>5.2021611845713004E-3</v>
      </c>
      <c r="K329" s="38"/>
      <c r="L329" s="38"/>
      <c r="M329" s="38"/>
      <c r="N329" s="38"/>
      <c r="O329" s="38"/>
      <c r="P329" s="38"/>
      <c r="Q329" s="38"/>
      <c r="R329" s="38"/>
      <c r="S329" s="38"/>
    </row>
    <row r="330" spans="1:19" x14ac:dyDescent="0.25">
      <c r="A330" s="67">
        <v>41274</v>
      </c>
      <c r="B330" s="8">
        <v>3570.3652999999999</v>
      </c>
      <c r="C330" s="53">
        <f t="shared" si="11"/>
        <v>9.0649985316355597E-3</v>
      </c>
      <c r="D330" s="38"/>
      <c r="E330" s="8">
        <v>1078.9536000000001</v>
      </c>
      <c r="F330" s="53">
        <f t="shared" si="10"/>
        <v>3.5827840121593679E-2</v>
      </c>
      <c r="G330" s="38"/>
      <c r="H330" s="70">
        <v>-6.3786621004115001E-4</v>
      </c>
      <c r="I330" s="72"/>
      <c r="J330" s="53">
        <v>-4.3534181807699697E-3</v>
      </c>
      <c r="K330" s="38"/>
      <c r="L330" s="38"/>
      <c r="M330" s="38"/>
      <c r="N330" s="38"/>
      <c r="O330" s="38"/>
      <c r="P330" s="38"/>
      <c r="Q330" s="38"/>
      <c r="R330" s="38"/>
      <c r="S330" s="38"/>
    </row>
    <row r="331" spans="1:19" x14ac:dyDescent="0.25">
      <c r="A331" s="67">
        <v>41305</v>
      </c>
      <c r="B331" s="8">
        <v>3755.2073</v>
      </c>
      <c r="C331" s="53">
        <f t="shared" si="11"/>
        <v>5.1771173106572643E-2</v>
      </c>
      <c r="D331" s="38"/>
      <c r="E331" s="8">
        <v>1146.4820999999999</v>
      </c>
      <c r="F331" s="53">
        <f t="shared" si="10"/>
        <v>6.2587028765648478E-2</v>
      </c>
      <c r="G331" s="38"/>
      <c r="H331" s="70">
        <v>-8.8959383230117796E-3</v>
      </c>
      <c r="I331" s="72"/>
      <c r="J331" s="53">
        <v>-8.0725604816361592E-3</v>
      </c>
      <c r="K331" s="38"/>
      <c r="L331" s="38"/>
      <c r="M331" s="38"/>
      <c r="N331" s="38"/>
      <c r="O331" s="38"/>
      <c r="P331" s="38"/>
      <c r="Q331" s="38"/>
      <c r="R331" s="38"/>
      <c r="S331" s="38"/>
    </row>
    <row r="332" spans="1:19" x14ac:dyDescent="0.25">
      <c r="A332" s="67">
        <v>41333</v>
      </c>
      <c r="B332" s="8">
        <v>3806.1453000000001</v>
      </c>
      <c r="C332" s="53">
        <f t="shared" si="11"/>
        <v>1.3564630639698594E-2</v>
      </c>
      <c r="D332" s="38"/>
      <c r="E332" s="8">
        <v>1159.1298999999999</v>
      </c>
      <c r="F332" s="53">
        <f t="shared" si="10"/>
        <v>1.10318338158093E-2</v>
      </c>
      <c r="G332" s="38"/>
      <c r="H332" s="70">
        <v>7.6992294271155705E-3</v>
      </c>
      <c r="I332" s="72"/>
      <c r="J332" s="53">
        <v>5.2852306598196001E-3</v>
      </c>
      <c r="K332" s="38"/>
      <c r="L332" s="38"/>
      <c r="M332" s="38"/>
      <c r="N332" s="38"/>
      <c r="O332" s="38"/>
      <c r="P332" s="38"/>
      <c r="Q332" s="38"/>
      <c r="R332" s="38"/>
      <c r="S332" s="38"/>
    </row>
    <row r="333" spans="1:19" x14ac:dyDescent="0.25">
      <c r="A333" s="67">
        <v>41362</v>
      </c>
      <c r="B333" s="8">
        <v>3948.8292000000001</v>
      </c>
      <c r="C333" s="53">
        <f t="shared" si="11"/>
        <v>3.7487770106937379E-2</v>
      </c>
      <c r="D333" s="38"/>
      <c r="E333" s="8">
        <v>1212.6419000000001</v>
      </c>
      <c r="F333" s="53">
        <f t="shared" si="10"/>
        <v>4.6165662709589439E-2</v>
      </c>
      <c r="G333" s="38"/>
      <c r="H333" s="70">
        <v>1.93690092929E-4</v>
      </c>
      <c r="I333" s="72"/>
      <c r="J333" s="53">
        <v>9.7918869540134E-4</v>
      </c>
      <c r="K333" s="38"/>
      <c r="L333" s="38"/>
      <c r="M333" s="38"/>
      <c r="N333" s="38"/>
      <c r="O333" s="38"/>
      <c r="P333" s="38"/>
      <c r="Q333" s="38"/>
      <c r="R333" s="38"/>
      <c r="S333" s="38"/>
    </row>
    <row r="334" spans="1:19" x14ac:dyDescent="0.25">
      <c r="A334" s="67">
        <v>41394</v>
      </c>
      <c r="B334" s="8">
        <v>4024.8155000000002</v>
      </c>
      <c r="C334" s="53">
        <f t="shared" si="11"/>
        <v>1.9242741620731474E-2</v>
      </c>
      <c r="D334" s="38"/>
      <c r="E334" s="8">
        <v>1208.1733999999999</v>
      </c>
      <c r="F334" s="53">
        <f t="shared" si="10"/>
        <v>-3.6849295740153387E-3</v>
      </c>
      <c r="G334" s="38"/>
      <c r="H334" s="70">
        <v>1.8257750353902199E-2</v>
      </c>
      <c r="I334" s="72"/>
      <c r="J334" s="53">
        <v>8.8917251505595887E-3</v>
      </c>
      <c r="K334" s="38"/>
      <c r="L334" s="38"/>
      <c r="M334" s="38"/>
      <c r="N334" s="38"/>
      <c r="O334" s="38"/>
      <c r="P334" s="38"/>
      <c r="Q334" s="38"/>
      <c r="R334" s="38"/>
      <c r="S334" s="38"/>
    </row>
    <row r="335" spans="1:19" x14ac:dyDescent="0.25">
      <c r="A335" s="67">
        <v>41425</v>
      </c>
      <c r="B335" s="8">
        <v>4118.9597999999996</v>
      </c>
      <c r="C335" s="53">
        <f t="shared" si="11"/>
        <v>2.3390960405514027E-2</v>
      </c>
      <c r="D335" s="38"/>
      <c r="E335" s="8">
        <v>1256.4468999999999</v>
      </c>
      <c r="F335" s="53">
        <f t="shared" si="10"/>
        <v>3.9955771249391869E-2</v>
      </c>
      <c r="G335" s="38"/>
      <c r="H335" s="70">
        <v>-2.34369231395728E-2</v>
      </c>
      <c r="I335" s="72"/>
      <c r="J335" s="53">
        <v>-1.70746991635446E-2</v>
      </c>
      <c r="K335" s="38"/>
      <c r="L335" s="38"/>
      <c r="M335" s="38"/>
      <c r="N335" s="38"/>
      <c r="O335" s="38"/>
      <c r="P335" s="38"/>
      <c r="Q335" s="38"/>
      <c r="R335" s="38"/>
      <c r="S335" s="38"/>
    </row>
    <row r="336" spans="1:19" x14ac:dyDescent="0.25">
      <c r="A336" s="67">
        <v>41453</v>
      </c>
      <c r="B336" s="8">
        <v>4063.6860000000001</v>
      </c>
      <c r="C336" s="53">
        <f t="shared" si="11"/>
        <v>-1.341935893620505E-2</v>
      </c>
      <c r="D336" s="38"/>
      <c r="E336" s="8">
        <v>1249.9958999999999</v>
      </c>
      <c r="F336" s="53">
        <f t="shared" si="10"/>
        <v>-5.1343196437509953E-3</v>
      </c>
      <c r="G336" s="38"/>
      <c r="H336" s="70">
        <v>-2.7603640871182403E-2</v>
      </c>
      <c r="I336" s="72"/>
      <c r="J336" s="53">
        <v>-1.1006516281491501E-2</v>
      </c>
      <c r="K336" s="38"/>
      <c r="L336" s="38"/>
      <c r="M336" s="38"/>
      <c r="N336" s="38"/>
      <c r="O336" s="38"/>
      <c r="P336" s="38"/>
      <c r="Q336" s="38"/>
      <c r="R336" s="38"/>
      <c r="S336" s="38"/>
    </row>
    <row r="337" spans="1:19" x14ac:dyDescent="0.25">
      <c r="A337" s="67">
        <v>41486</v>
      </c>
      <c r="B337" s="8">
        <v>4270.3549000000003</v>
      </c>
      <c r="C337" s="53">
        <f t="shared" si="11"/>
        <v>5.085749735584888E-2</v>
      </c>
      <c r="D337" s="38"/>
      <c r="E337" s="8">
        <v>1337.4546</v>
      </c>
      <c r="F337" s="53">
        <f t="shared" si="10"/>
        <v>6.9967189492381676E-2</v>
      </c>
      <c r="G337" s="38"/>
      <c r="H337" s="70">
        <v>8.335276440155321E-3</v>
      </c>
      <c r="I337" s="72"/>
      <c r="J337" s="53">
        <v>-1.0889829818511399E-3</v>
      </c>
      <c r="K337" s="38"/>
      <c r="L337" s="38"/>
      <c r="M337" s="38"/>
      <c r="N337" s="38"/>
      <c r="O337" s="38"/>
      <c r="P337" s="38"/>
      <c r="Q337" s="38"/>
      <c r="R337" s="38"/>
      <c r="S337" s="38"/>
    </row>
    <row r="338" spans="1:19" x14ac:dyDescent="0.25">
      <c r="A338" s="67">
        <v>41516</v>
      </c>
      <c r="B338" s="8">
        <v>4146.8806000000004</v>
      </c>
      <c r="C338" s="53">
        <f t="shared" si="11"/>
        <v>-2.891429468777873E-2</v>
      </c>
      <c r="D338" s="38"/>
      <c r="E338" s="8">
        <v>1294.9911</v>
      </c>
      <c r="F338" s="53">
        <f t="shared" si="10"/>
        <v>-3.1749488917231283E-2</v>
      </c>
      <c r="G338" s="38"/>
      <c r="H338" s="70">
        <v>-7.0248915924748098E-3</v>
      </c>
      <c r="I338" s="72"/>
      <c r="J338" s="53">
        <v>-4.8608274940603602E-3</v>
      </c>
      <c r="K338" s="38"/>
      <c r="L338" s="38"/>
      <c r="M338" s="38"/>
      <c r="N338" s="38"/>
      <c r="O338" s="38"/>
      <c r="P338" s="38"/>
      <c r="Q338" s="38"/>
      <c r="R338" s="38"/>
      <c r="S338" s="38"/>
    </row>
    <row r="339" spans="1:19" x14ac:dyDescent="0.25">
      <c r="A339" s="67">
        <v>41547</v>
      </c>
      <c r="B339" s="8">
        <v>4276.9353000000001</v>
      </c>
      <c r="C339" s="53">
        <f t="shared" si="11"/>
        <v>3.1362055613561646E-2</v>
      </c>
      <c r="D339" s="38"/>
      <c r="E339" s="8">
        <v>1377.5622000000001</v>
      </c>
      <c r="F339" s="53">
        <f t="shared" si="10"/>
        <v>6.3761905390701257E-2</v>
      </c>
      <c r="G339" s="38"/>
      <c r="H339" s="70">
        <v>6.9470496064188304E-3</v>
      </c>
      <c r="I339" s="72"/>
      <c r="J339" s="53">
        <v>6.9944907469097093E-3</v>
      </c>
      <c r="K339" s="38"/>
      <c r="L339" s="38"/>
      <c r="M339" s="38"/>
      <c r="N339" s="38"/>
      <c r="O339" s="38"/>
      <c r="P339" s="38"/>
      <c r="Q339" s="38"/>
      <c r="R339" s="38"/>
      <c r="S339" s="38"/>
    </row>
    <row r="340" spans="1:19" x14ac:dyDescent="0.25">
      <c r="A340" s="67">
        <v>41578</v>
      </c>
      <c r="B340" s="8">
        <v>4473.3233</v>
      </c>
      <c r="C340" s="53">
        <f t="shared" si="11"/>
        <v>4.5917926324487546E-2</v>
      </c>
      <c r="D340" s="38"/>
      <c r="E340" s="8">
        <v>1412.1949</v>
      </c>
      <c r="F340" s="53">
        <f t="shared" si="10"/>
        <v>2.5140570785115779E-2</v>
      </c>
      <c r="G340" s="38"/>
      <c r="H340" s="70">
        <v>1.47866381776082E-2</v>
      </c>
      <c r="I340" s="72"/>
      <c r="J340" s="53">
        <v>4.8262564122797599E-3</v>
      </c>
      <c r="K340" s="38"/>
      <c r="L340" s="38"/>
      <c r="M340" s="38"/>
      <c r="N340" s="38"/>
      <c r="O340" s="38"/>
      <c r="P340" s="38"/>
      <c r="Q340" s="38"/>
      <c r="R340" s="38"/>
      <c r="S340" s="38"/>
    </row>
    <row r="341" spans="1:19" x14ac:dyDescent="0.25">
      <c r="A341" s="67">
        <v>41607</v>
      </c>
      <c r="B341" s="8">
        <v>4609.4596000000001</v>
      </c>
      <c r="C341" s="53">
        <f t="shared" si="11"/>
        <v>3.0432922207970003E-2</v>
      </c>
      <c r="D341" s="38"/>
      <c r="E341" s="8">
        <v>1468.7372</v>
      </c>
      <c r="F341" s="53">
        <f t="shared" si="10"/>
        <v>4.0038595239226593E-2</v>
      </c>
      <c r="G341" s="38"/>
      <c r="H341" s="70">
        <v>-1.98379769606319E-3</v>
      </c>
      <c r="I341" s="72"/>
      <c r="J341" s="53">
        <v>-3.2726830834678001E-3</v>
      </c>
      <c r="K341" s="38"/>
      <c r="L341" s="38"/>
      <c r="M341" s="38"/>
      <c r="N341" s="38"/>
      <c r="O341" s="38"/>
      <c r="P341" s="38"/>
      <c r="Q341" s="38"/>
      <c r="R341" s="38"/>
      <c r="S341" s="38"/>
    </row>
    <row r="342" spans="1:19" x14ac:dyDescent="0.25">
      <c r="A342" s="67">
        <v>41639</v>
      </c>
      <c r="B342" s="8">
        <v>4725.6570000000002</v>
      </c>
      <c r="C342" s="53">
        <f t="shared" si="11"/>
        <v>2.5208464784028051E-2</v>
      </c>
      <c r="D342" s="38"/>
      <c r="E342" s="8">
        <v>1497.6494</v>
      </c>
      <c r="F342" s="53">
        <f t="shared" si="10"/>
        <v>1.9685073680982601E-2</v>
      </c>
      <c r="G342" s="38"/>
      <c r="H342" s="70">
        <v>-1.63319187324866E-3</v>
      </c>
      <c r="I342" s="72"/>
      <c r="J342" s="53">
        <v>-9.0714948192517995E-3</v>
      </c>
      <c r="K342" s="38"/>
      <c r="L342" s="38"/>
      <c r="M342" s="38"/>
      <c r="N342" s="38"/>
      <c r="O342" s="38"/>
      <c r="P342" s="38"/>
      <c r="Q342" s="38"/>
      <c r="R342" s="38"/>
      <c r="S342" s="38"/>
    </row>
    <row r="343" spans="1:19" x14ac:dyDescent="0.25">
      <c r="A343" s="67">
        <v>41670</v>
      </c>
      <c r="B343" s="8">
        <v>4562.3813</v>
      </c>
      <c r="C343" s="53">
        <f t="shared" si="11"/>
        <v>-3.4550899483394626E-2</v>
      </c>
      <c r="D343" s="38"/>
      <c r="E343" s="8">
        <v>1456.2070000000001</v>
      </c>
      <c r="F343" s="53">
        <f t="shared" si="10"/>
        <v>-2.7671629955582366E-2</v>
      </c>
      <c r="G343" s="38"/>
      <c r="H343" s="70">
        <v>1.8124262477127298E-2</v>
      </c>
      <c r="I343" s="72"/>
      <c r="J343" s="53">
        <v>1.3568818027513901E-2</v>
      </c>
      <c r="K343" s="38"/>
      <c r="L343" s="38"/>
      <c r="M343" s="38"/>
      <c r="N343" s="38"/>
      <c r="O343" s="38"/>
      <c r="P343" s="38"/>
      <c r="Q343" s="38"/>
      <c r="R343" s="38"/>
      <c r="S343" s="38"/>
    </row>
    <row r="344" spans="1:19" x14ac:dyDescent="0.25">
      <c r="A344" s="67">
        <v>41698</v>
      </c>
      <c r="B344" s="8">
        <v>4770.7098999999998</v>
      </c>
      <c r="C344" s="53">
        <f t="shared" si="11"/>
        <v>4.5662250982836383E-2</v>
      </c>
      <c r="D344" s="38"/>
      <c r="E344" s="8">
        <v>1524.7698</v>
      </c>
      <c r="F344" s="53">
        <f t="shared" si="10"/>
        <v>4.7083141339109069E-2</v>
      </c>
      <c r="G344" s="38"/>
      <c r="H344" s="70">
        <v>1.0398839999999999E-2</v>
      </c>
      <c r="I344" s="72"/>
      <c r="J344" s="53">
        <v>2.7192100000000001E-3</v>
      </c>
      <c r="K344" s="38"/>
      <c r="L344" s="38"/>
      <c r="M344" s="38"/>
      <c r="N344" s="38"/>
      <c r="O344" s="38"/>
      <c r="P344" s="38"/>
      <c r="Q344" s="38"/>
      <c r="R344" s="38"/>
      <c r="S344" s="38"/>
    </row>
    <row r="345" spans="1:19" x14ac:dyDescent="0.25">
      <c r="A345" s="67">
        <v>41729</v>
      </c>
      <c r="B345" s="8">
        <v>4810.7897999999996</v>
      </c>
      <c r="C345" s="53">
        <f t="shared" si="11"/>
        <v>8.4012444353407378E-3</v>
      </c>
      <c r="D345" s="38"/>
      <c r="E345" s="8">
        <v>1514.4001000000001</v>
      </c>
      <c r="F345" s="53">
        <f t="shared" si="10"/>
        <v>-6.8008298695317881E-3</v>
      </c>
      <c r="G345" s="38"/>
      <c r="H345" s="70">
        <v>6.6415000000000007E-4</v>
      </c>
      <c r="I345" s="72"/>
      <c r="J345" s="53">
        <v>-2.8543700000000002E-3</v>
      </c>
      <c r="K345" s="38"/>
      <c r="L345" s="38"/>
      <c r="M345" s="38"/>
      <c r="N345" s="38"/>
      <c r="O345" s="38"/>
      <c r="P345" s="38"/>
      <c r="Q345" s="38"/>
      <c r="R345" s="38"/>
      <c r="S345" s="38"/>
    </row>
    <row r="346" spans="1:19" x14ac:dyDescent="0.25">
      <c r="A346" s="67">
        <v>41759</v>
      </c>
      <c r="B346" s="8">
        <v>4846.2781000000004</v>
      </c>
      <c r="C346" s="53">
        <f t="shared" si="11"/>
        <v>7.3768136782863536E-3</v>
      </c>
      <c r="D346" s="38"/>
      <c r="E346" s="8">
        <v>1455.6792</v>
      </c>
      <c r="F346" s="53">
        <f t="shared" si="10"/>
        <v>-3.8775023852679391E-2</v>
      </c>
      <c r="G346" s="38"/>
      <c r="H346" s="70">
        <v>1.197876E-2</v>
      </c>
      <c r="I346" s="72"/>
      <c r="J346" s="53">
        <v>5.5166899999999994E-3</v>
      </c>
      <c r="K346" s="38"/>
      <c r="L346" s="38"/>
      <c r="M346" s="38"/>
      <c r="N346" s="38"/>
      <c r="O346" s="38"/>
      <c r="P346" s="38"/>
      <c r="Q346" s="38"/>
      <c r="R346" s="38"/>
      <c r="S346" s="38"/>
    </row>
    <row r="347" spans="1:19" x14ac:dyDescent="0.25">
      <c r="A347" s="67">
        <v>41789</v>
      </c>
      <c r="B347" s="8">
        <v>4959.7613000000001</v>
      </c>
      <c r="C347" s="53">
        <f t="shared" si="11"/>
        <v>2.3416567860601978E-2</v>
      </c>
      <c r="D347" s="38"/>
      <c r="E347" s="8">
        <v>1467.3185000000001</v>
      </c>
      <c r="F347" s="53">
        <f t="shared" si="10"/>
        <v>7.9957864342639073E-3</v>
      </c>
      <c r="G347" s="38"/>
      <c r="H347" s="70">
        <v>1.367086E-2</v>
      </c>
      <c r="I347" s="72"/>
      <c r="J347" s="53">
        <v>9.4210700000000001E-3</v>
      </c>
      <c r="K347" s="38"/>
      <c r="L347" s="38"/>
      <c r="M347" s="38"/>
      <c r="N347" s="38"/>
      <c r="O347" s="38"/>
      <c r="P347" s="38"/>
      <c r="Q347" s="38"/>
      <c r="R347" s="38"/>
      <c r="S347" s="38"/>
    </row>
    <row r="348" spans="1:19" x14ac:dyDescent="0.25">
      <c r="A348" s="67">
        <v>41820</v>
      </c>
      <c r="B348" s="8">
        <v>5062.1459000000004</v>
      </c>
      <c r="C348" s="53">
        <f t="shared" si="11"/>
        <v>2.0643049898389387E-2</v>
      </c>
      <c r="D348" s="38"/>
      <c r="E348" s="8">
        <v>1545.3420000000001</v>
      </c>
      <c r="F348" s="53">
        <f t="shared" si="10"/>
        <v>5.3174208598882888E-2</v>
      </c>
      <c r="G348" s="38"/>
      <c r="H348" s="70">
        <v>7.7846000000000002E-4</v>
      </c>
      <c r="I348" s="72"/>
      <c r="J348" s="53">
        <v>-1.42413E-3</v>
      </c>
      <c r="K348" s="38"/>
      <c r="L348" s="38"/>
      <c r="M348" s="38"/>
      <c r="N348" s="38"/>
      <c r="O348" s="38"/>
      <c r="P348" s="38"/>
      <c r="Q348" s="38"/>
      <c r="R348" s="38"/>
      <c r="S348" s="38"/>
    </row>
    <row r="349" spans="1:19" x14ac:dyDescent="0.25">
      <c r="A349" s="67">
        <v>41851</v>
      </c>
      <c r="B349" s="8">
        <v>4992.4507999999996</v>
      </c>
      <c r="C349" s="53">
        <f t="shared" si="11"/>
        <v>-1.3767896338191421E-2</v>
      </c>
      <c r="D349" s="38"/>
      <c r="E349" s="8">
        <v>1451.8362999999999</v>
      </c>
      <c r="F349" s="53">
        <f t="shared" si="10"/>
        <v>-6.0508094648304533E-2</v>
      </c>
      <c r="G349" s="38"/>
      <c r="H349" s="70">
        <v>-5.5816999999999998E-4</v>
      </c>
      <c r="I349" s="72"/>
      <c r="J349" s="53">
        <v>-1.6292300000000002E-3</v>
      </c>
      <c r="K349" s="38"/>
      <c r="L349" s="38"/>
      <c r="M349" s="38"/>
      <c r="N349" s="38"/>
      <c r="O349" s="38"/>
      <c r="P349" s="38"/>
      <c r="Q349" s="38"/>
      <c r="R349" s="38"/>
      <c r="S349" s="38"/>
    </row>
    <row r="350" spans="1:19" x14ac:dyDescent="0.25">
      <c r="A350" s="67">
        <v>41880</v>
      </c>
      <c r="B350" s="8">
        <v>5191.8648999999996</v>
      </c>
      <c r="C350" s="53">
        <f t="shared" si="11"/>
        <v>3.9943127731974837E-2</v>
      </c>
      <c r="D350" s="38"/>
      <c r="E350" s="8">
        <v>1523.7900999999999</v>
      </c>
      <c r="F350" s="53">
        <f t="shared" si="10"/>
        <v>4.9560546185544396E-2</v>
      </c>
      <c r="G350" s="38"/>
      <c r="H350" s="70">
        <v>1.4423689999999999E-2</v>
      </c>
      <c r="I350" s="72"/>
      <c r="J350" s="53">
        <v>1.054712E-2</v>
      </c>
      <c r="K350" s="38"/>
      <c r="L350" s="38"/>
      <c r="M350" s="38"/>
      <c r="N350" s="38"/>
      <c r="O350" s="38"/>
      <c r="P350" s="38"/>
      <c r="Q350" s="38"/>
      <c r="R350" s="38"/>
      <c r="S350" s="38"/>
    </row>
    <row r="351" spans="1:19" x14ac:dyDescent="0.25">
      <c r="A351" s="67">
        <v>41912</v>
      </c>
      <c r="B351" s="8">
        <v>5119.1532999999999</v>
      </c>
      <c r="C351" s="53">
        <f t="shared" si="11"/>
        <v>-1.4004909873521432E-2</v>
      </c>
      <c r="D351" s="38"/>
      <c r="E351" s="8">
        <v>1431.6867</v>
      </c>
      <c r="F351" s="53">
        <f t="shared" si="10"/>
        <v>-6.044362671735426E-2</v>
      </c>
      <c r="G351" s="38"/>
      <c r="H351" s="70">
        <v>-1.4424699999999999E-2</v>
      </c>
      <c r="I351" s="72"/>
      <c r="J351" s="53">
        <v>-5.4708599999999993E-3</v>
      </c>
      <c r="K351" s="38"/>
      <c r="L351" s="38"/>
      <c r="M351" s="38"/>
      <c r="N351" s="38"/>
      <c r="O351" s="38"/>
      <c r="P351" s="38"/>
      <c r="Q351" s="38"/>
      <c r="R351" s="38"/>
      <c r="S351" s="38"/>
    </row>
    <row r="352" spans="1:19" x14ac:dyDescent="0.25">
      <c r="A352" s="67">
        <v>41943</v>
      </c>
      <c r="B352" s="8">
        <v>5243.9317000000001</v>
      </c>
      <c r="C352" s="53">
        <f t="shared" si="11"/>
        <v>2.4374812139343449E-2</v>
      </c>
      <c r="D352" s="38"/>
      <c r="E352" s="8">
        <v>1525.9966999999999</v>
      </c>
      <c r="F352" s="53">
        <f t="shared" si="10"/>
        <v>6.5873350642986273E-2</v>
      </c>
      <c r="G352" s="38"/>
      <c r="H352" s="70">
        <v>1.0237389999999999E-2</v>
      </c>
      <c r="I352" s="72"/>
      <c r="J352" s="53">
        <v>9.7379099999999989E-3</v>
      </c>
      <c r="K352" s="38"/>
      <c r="L352" s="38"/>
      <c r="M352" s="38"/>
      <c r="N352" s="38"/>
      <c r="O352" s="38"/>
      <c r="P352" s="38"/>
      <c r="Q352" s="38"/>
      <c r="R352" s="38"/>
      <c r="S352" s="38"/>
    </row>
    <row r="353" spans="1:19" x14ac:dyDescent="0.25">
      <c r="A353" s="67">
        <v>41971</v>
      </c>
      <c r="B353" s="8">
        <v>5384.7443000000003</v>
      </c>
      <c r="C353" s="53">
        <f t="shared" si="11"/>
        <v>2.6852485511968061E-2</v>
      </c>
      <c r="D353" s="38"/>
      <c r="E353" s="8">
        <v>1527.3807999999999</v>
      </c>
      <c r="F353" s="53">
        <f t="shared" si="10"/>
        <v>9.0701375697599396E-4</v>
      </c>
      <c r="G353" s="38"/>
      <c r="H353" s="70">
        <v>6.7365400000000001E-3</v>
      </c>
      <c r="I353" s="72"/>
      <c r="J353" s="53">
        <v>8.0684099999999998E-3</v>
      </c>
      <c r="K353" s="38"/>
      <c r="L353" s="38"/>
      <c r="M353" s="38"/>
      <c r="N353" s="38"/>
      <c r="O353" s="38"/>
      <c r="P353" s="38"/>
      <c r="Q353" s="38"/>
      <c r="R353" s="38"/>
      <c r="S353" s="38"/>
    </row>
    <row r="354" spans="1:19" x14ac:dyDescent="0.25">
      <c r="A354" s="67">
        <v>42004</v>
      </c>
      <c r="B354" s="8">
        <v>5370.8888999999999</v>
      </c>
      <c r="C354" s="53">
        <f t="shared" si="11"/>
        <v>-2.5730841109763425E-3</v>
      </c>
      <c r="D354" s="38"/>
      <c r="E354" s="8">
        <v>1570.8797</v>
      </c>
      <c r="F354" s="53">
        <f t="shared" si="10"/>
        <v>2.8479407361936326E-2</v>
      </c>
      <c r="G354" s="38"/>
      <c r="H354" s="70">
        <v>6.0846000000000001E-4</v>
      </c>
      <c r="I354" s="72"/>
      <c r="J354" s="53">
        <v>1.42354E-3</v>
      </c>
      <c r="K354" s="38"/>
      <c r="L354" s="38"/>
      <c r="M354" s="38"/>
      <c r="N354" s="38"/>
      <c r="O354" s="38"/>
      <c r="P354" s="38"/>
      <c r="Q354" s="38"/>
      <c r="R354" s="38"/>
      <c r="S354" s="38"/>
    </row>
    <row r="355" spans="1:19" x14ac:dyDescent="0.25">
      <c r="A355" s="67">
        <v>42034</v>
      </c>
      <c r="B355" s="8">
        <v>5209.7503999999999</v>
      </c>
      <c r="C355" s="53">
        <f t="shared" si="11"/>
        <v>-3.0002203173482123E-2</v>
      </c>
      <c r="D355" s="38"/>
      <c r="E355" s="8">
        <v>1520.3685</v>
      </c>
      <c r="F355" s="53">
        <f t="shared" si="10"/>
        <v>-3.2154721968843281E-2</v>
      </c>
      <c r="G355" s="38"/>
      <c r="H355" s="70">
        <v>3.0337529999999998E-2</v>
      </c>
      <c r="I355" s="72"/>
      <c r="J355" s="53">
        <v>2.5865119999999998E-2</v>
      </c>
      <c r="K355" s="38"/>
      <c r="L355" s="38"/>
      <c r="M355" s="38"/>
      <c r="N355" s="38"/>
      <c r="O355" s="38"/>
      <c r="P355" s="38"/>
      <c r="Q355" s="38"/>
      <c r="R355" s="38"/>
      <c r="S355" s="38"/>
    </row>
    <row r="356" spans="1:19" x14ac:dyDescent="0.25">
      <c r="A356" s="67">
        <v>42062</v>
      </c>
      <c r="B356" s="8">
        <v>5508.9750999999997</v>
      </c>
      <c r="C356" s="53">
        <f t="shared" si="11"/>
        <v>5.7435515528728498E-2</v>
      </c>
      <c r="D356" s="38"/>
      <c r="E356" s="8">
        <v>1610.6072999999999</v>
      </c>
      <c r="F356" s="53">
        <f t="shared" si="10"/>
        <v>5.9353242322502719E-2</v>
      </c>
      <c r="G356" s="38"/>
      <c r="H356" s="70">
        <v>-1.013291E-2</v>
      </c>
      <c r="I356" s="72"/>
      <c r="J356" s="53">
        <v>-1.5443439999999999E-2</v>
      </c>
      <c r="K356" s="38"/>
      <c r="L356" s="38"/>
      <c r="M356" s="38"/>
      <c r="N356" s="38"/>
      <c r="O356" s="38"/>
      <c r="P356" s="38"/>
      <c r="Q356" s="38"/>
      <c r="R356" s="38"/>
      <c r="S356" s="38"/>
    </row>
    <row r="357" spans="1:19" x14ac:dyDescent="0.25">
      <c r="A357" s="67">
        <v>42094</v>
      </c>
      <c r="B357" s="8">
        <v>5421.8865999999998</v>
      </c>
      <c r="C357" s="53">
        <f t="shared" si="11"/>
        <v>-1.5808475881475603E-2</v>
      </c>
      <c r="D357" s="38"/>
      <c r="E357" s="8">
        <v>1638.6276</v>
      </c>
      <c r="F357" s="53">
        <f t="shared" si="10"/>
        <v>1.7397350676356726E-2</v>
      </c>
      <c r="G357" s="38"/>
      <c r="H357" s="70">
        <v>3.1904199999999998E-3</v>
      </c>
      <c r="I357" s="72"/>
      <c r="J357" s="53">
        <v>6.3069699999999994E-3</v>
      </c>
      <c r="K357" s="38"/>
      <c r="L357" s="38"/>
      <c r="M357" s="38"/>
      <c r="N357" s="38"/>
      <c r="O357" s="38"/>
      <c r="P357" s="38"/>
      <c r="Q357" s="38"/>
      <c r="R357" s="38"/>
      <c r="S357" s="38"/>
    </row>
    <row r="358" spans="1:19" x14ac:dyDescent="0.25">
      <c r="A358" s="67">
        <v>42124</v>
      </c>
      <c r="B358" s="8">
        <v>5473.8917000000001</v>
      </c>
      <c r="C358" s="53">
        <f t="shared" si="11"/>
        <v>9.5916982107298043E-3</v>
      </c>
      <c r="D358" s="38"/>
      <c r="E358" s="8">
        <v>1596.8662999999999</v>
      </c>
      <c r="F358" s="53">
        <f t="shared" si="10"/>
        <v>-2.548553435814227E-2</v>
      </c>
      <c r="G358" s="38"/>
      <c r="H358" s="70">
        <v>-7.0022300000000008E-3</v>
      </c>
      <c r="I358" s="72"/>
      <c r="J358" s="53">
        <v>-5.2599600000000002E-3</v>
      </c>
      <c r="K358" s="38"/>
      <c r="L358" s="38"/>
      <c r="M358" s="38"/>
      <c r="N358" s="38"/>
      <c r="O358" s="38"/>
      <c r="P358" s="38"/>
      <c r="Q358" s="38"/>
      <c r="R358" s="38"/>
      <c r="S358" s="38"/>
    </row>
    <row r="359" spans="1:19" x14ac:dyDescent="0.25">
      <c r="A359" s="67">
        <v>42153</v>
      </c>
      <c r="B359" s="8">
        <v>5544.2776999999996</v>
      </c>
      <c r="C359" s="53">
        <f t="shared" si="11"/>
        <v>1.2858493345785371E-2</v>
      </c>
      <c r="D359" s="38"/>
      <c r="E359" s="8">
        <v>1633.3155999999999</v>
      </c>
      <c r="F359" s="53">
        <f t="shared" si="10"/>
        <v>2.2825517703016107E-2</v>
      </c>
      <c r="G359" s="38"/>
      <c r="H359" s="70">
        <v>-6.52756E-3</v>
      </c>
      <c r="I359" s="72"/>
      <c r="J359" s="53">
        <v>-1.80258E-3</v>
      </c>
      <c r="K359" s="38"/>
      <c r="L359" s="38"/>
      <c r="M359" s="38"/>
      <c r="N359" s="38"/>
      <c r="O359" s="38"/>
      <c r="P359" s="38"/>
      <c r="Q359" s="38"/>
      <c r="R359" s="38"/>
      <c r="S359" s="38"/>
    </row>
    <row r="360" spans="1:19" x14ac:dyDescent="0.25">
      <c r="A360" s="67">
        <v>42185</v>
      </c>
      <c r="B360" s="8">
        <v>5437.1106</v>
      </c>
      <c r="C360" s="53">
        <f t="shared" si="11"/>
        <v>-1.9329316783681216E-2</v>
      </c>
      <c r="D360" s="38"/>
      <c r="E360" s="8">
        <v>1645.5786000000001</v>
      </c>
      <c r="F360" s="53">
        <f t="shared" si="10"/>
        <v>7.5080406995440274E-3</v>
      </c>
      <c r="G360" s="38"/>
      <c r="H360" s="70">
        <v>-1.837896E-2</v>
      </c>
      <c r="I360" s="72"/>
      <c r="J360" s="53">
        <v>-8.8263000000000005E-3</v>
      </c>
      <c r="K360" s="38"/>
      <c r="L360" s="38"/>
      <c r="M360" s="38"/>
      <c r="N360" s="38"/>
      <c r="O360" s="38"/>
      <c r="P360" s="38"/>
      <c r="Q360" s="38"/>
      <c r="R360" s="38"/>
      <c r="S360" s="38"/>
    </row>
    <row r="361" spans="1:19" x14ac:dyDescent="0.25">
      <c r="A361" s="67">
        <v>42216</v>
      </c>
      <c r="B361" s="8">
        <v>5550.9804999999997</v>
      </c>
      <c r="C361" s="53">
        <f t="shared" si="11"/>
        <v>2.094309061875621E-2</v>
      </c>
      <c r="D361" s="38"/>
      <c r="E361" s="8">
        <v>1626.4646</v>
      </c>
      <c r="F361" s="53">
        <f t="shared" si="10"/>
        <v>-1.1615367385064412E-2</v>
      </c>
      <c r="G361" s="38"/>
      <c r="H361" s="70">
        <v>6.7492100000000003E-3</v>
      </c>
      <c r="I361" s="72"/>
      <c r="J361" s="53">
        <v>8.3377099999999999E-3</v>
      </c>
      <c r="K361" s="38"/>
      <c r="L361" s="38"/>
      <c r="M361" s="38"/>
      <c r="N361" s="38"/>
      <c r="O361" s="38"/>
      <c r="P361" s="38"/>
      <c r="Q361" s="38"/>
      <c r="R361" s="38"/>
      <c r="S361" s="38"/>
    </row>
    <row r="362" spans="1:19" x14ac:dyDescent="0.25">
      <c r="A362" s="67">
        <v>42247</v>
      </c>
      <c r="B362" s="8">
        <v>5216.5784000000003</v>
      </c>
      <c r="C362" s="53">
        <f t="shared" si="11"/>
        <v>-6.0241987879438463E-2</v>
      </c>
      <c r="D362" s="38"/>
      <c r="E362" s="8">
        <v>1524.3067000000001</v>
      </c>
      <c r="F362" s="53">
        <f t="shared" si="10"/>
        <v>-6.2809790019407674E-2</v>
      </c>
      <c r="G362" s="38"/>
      <c r="H362" s="70">
        <v>-5.9183600000000001E-3</v>
      </c>
      <c r="I362" s="72"/>
      <c r="J362" s="53">
        <v>4.3669999999999999E-4</v>
      </c>
      <c r="K362" s="38"/>
      <c r="L362" s="38"/>
      <c r="M362" s="38"/>
      <c r="N362" s="38"/>
      <c r="O362" s="38"/>
      <c r="P362" s="38"/>
      <c r="Q362" s="38"/>
      <c r="R362" s="38"/>
      <c r="S362" s="38"/>
    </row>
    <row r="363" spans="1:19" x14ac:dyDescent="0.25">
      <c r="A363" s="67">
        <v>42277</v>
      </c>
      <c r="B363" s="8">
        <v>5087.6106</v>
      </c>
      <c r="C363" s="53">
        <f t="shared" si="11"/>
        <v>-2.472268029174074E-2</v>
      </c>
      <c r="D363" s="38"/>
      <c r="E363" s="8">
        <v>1449.5772999999999</v>
      </c>
      <c r="F363" s="53">
        <f t="shared" si="10"/>
        <v>-4.9025173214813145E-2</v>
      </c>
      <c r="G363" s="38"/>
      <c r="H363" s="70">
        <v>7.4533999999999998E-3</v>
      </c>
      <c r="I363" s="72"/>
      <c r="J363" s="53">
        <v>8.7779199999999998E-3</v>
      </c>
      <c r="K363" s="38"/>
      <c r="L363" s="38"/>
      <c r="M363" s="38"/>
      <c r="N363" s="38"/>
      <c r="O363" s="38"/>
      <c r="P363" s="38"/>
      <c r="Q363" s="38"/>
      <c r="R363" s="38"/>
      <c r="S363" s="38"/>
    </row>
    <row r="364" spans="1:19" x14ac:dyDescent="0.25">
      <c r="A364" s="67">
        <v>42307</v>
      </c>
      <c r="B364" s="8">
        <v>5516.5306</v>
      </c>
      <c r="C364" s="53">
        <f t="shared" si="11"/>
        <v>8.4306766716776727E-2</v>
      </c>
      <c r="D364" s="38"/>
      <c r="E364" s="8">
        <v>1531.2334000000001</v>
      </c>
      <c r="F364" s="53">
        <f t="shared" si="10"/>
        <v>5.6330973174042009E-2</v>
      </c>
      <c r="G364" s="38"/>
      <c r="H364" s="70">
        <v>4.1808599999999998E-3</v>
      </c>
      <c r="I364" s="72"/>
      <c r="J364" s="53">
        <v>-3.6627399999999998E-3</v>
      </c>
      <c r="K364" s="38"/>
      <c r="L364" s="38"/>
      <c r="M364" s="38"/>
      <c r="N364" s="38"/>
      <c r="O364" s="38"/>
      <c r="P364" s="38"/>
      <c r="Q364" s="38"/>
      <c r="R364" s="38"/>
      <c r="S364" s="38"/>
    </row>
    <row r="365" spans="1:19" x14ac:dyDescent="0.25">
      <c r="A365" s="67">
        <v>42338</v>
      </c>
      <c r="B365" s="8">
        <v>5532.9322000000002</v>
      </c>
      <c r="C365" s="53">
        <f t="shared" si="11"/>
        <v>2.9731730301649772E-3</v>
      </c>
      <c r="D365" s="38"/>
      <c r="E365" s="8">
        <v>1581.0127</v>
      </c>
      <c r="F365" s="53">
        <f t="shared" si="10"/>
        <v>3.2509283039411141E-2</v>
      </c>
      <c r="G365" s="38"/>
      <c r="H365" s="70">
        <v>-2.1880099999999998E-3</v>
      </c>
      <c r="I365" s="72"/>
      <c r="J365" s="53">
        <v>-4.09101E-3</v>
      </c>
      <c r="K365" s="38"/>
      <c r="L365" s="38"/>
      <c r="M365" s="38"/>
      <c r="N365" s="38"/>
      <c r="O365" s="38"/>
      <c r="P365" s="38"/>
      <c r="Q365" s="38"/>
      <c r="R365" s="38"/>
      <c r="S365" s="38"/>
    </row>
    <row r="366" spans="1:19" ht="16.5" thickBot="1" x14ac:dyDescent="0.3">
      <c r="A366" s="67">
        <v>42369</v>
      </c>
      <c r="B366" s="21">
        <v>5445.2114000000001</v>
      </c>
      <c r="C366" s="54">
        <f t="shared" si="11"/>
        <v>-1.5854305968180826E-2</v>
      </c>
      <c r="D366" s="38"/>
      <c r="E366" s="21">
        <v>1501.6605</v>
      </c>
      <c r="F366" s="54">
        <f t="shared" si="10"/>
        <v>-5.0190741668299066E-2</v>
      </c>
      <c r="G366" s="38"/>
      <c r="H366" s="73">
        <v>-7.7965999999999999E-3</v>
      </c>
      <c r="I366" s="74"/>
      <c r="J366" s="54">
        <v>-1.6377500000000001E-3</v>
      </c>
      <c r="K366" s="38"/>
      <c r="L366" s="38"/>
      <c r="M366" s="38"/>
      <c r="N366" s="38"/>
      <c r="O366" s="38"/>
      <c r="P366" s="38"/>
      <c r="Q366" s="38"/>
      <c r="R366" s="38"/>
      <c r="S366" s="38"/>
    </row>
    <row r="367" spans="1:19" x14ac:dyDescent="0.25">
      <c r="A367" s="50"/>
      <c r="H367" s="51"/>
      <c r="J367" s="51"/>
    </row>
    <row r="368" spans="1:19" x14ac:dyDescent="0.25">
      <c r="A368" s="50"/>
      <c r="H368" s="51"/>
      <c r="J368" s="51"/>
    </row>
    <row r="369" spans="1:10" x14ac:dyDescent="0.25">
      <c r="A369" s="50"/>
      <c r="H369" s="51"/>
      <c r="J369" s="51"/>
    </row>
    <row r="370" spans="1:10" x14ac:dyDescent="0.25">
      <c r="A370" s="50"/>
      <c r="H370" s="51"/>
      <c r="J370" s="51"/>
    </row>
  </sheetData>
  <mergeCells count="5">
    <mergeCell ref="H3:J3"/>
    <mergeCell ref="E3:F3"/>
    <mergeCell ref="E4:F4"/>
    <mergeCell ref="B3:C3"/>
    <mergeCell ref="B4:C4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S128"/>
  <sheetViews>
    <sheetView zoomScale="70" zoomScaleNormal="70" workbookViewId="0">
      <selection activeCell="J53" sqref="J53:M53"/>
    </sheetView>
  </sheetViews>
  <sheetFormatPr defaultColWidth="11" defaultRowHeight="15.75" x14ac:dyDescent="0.25"/>
  <cols>
    <col min="1" max="1" width="12" bestFit="1" customWidth="1"/>
    <col min="2" max="2" width="36.375" bestFit="1" customWidth="1"/>
    <col min="3" max="3" width="21.125" bestFit="1" customWidth="1"/>
    <col min="4" max="4" width="19.5" customWidth="1"/>
    <col min="5" max="5" width="15.125" bestFit="1" customWidth="1"/>
    <col min="6" max="6" width="18.25" bestFit="1" customWidth="1"/>
    <col min="7" max="7" width="18.25" customWidth="1"/>
    <col min="11" max="11" width="16.125" bestFit="1" customWidth="1"/>
    <col min="12" max="12" width="14.25" bestFit="1" customWidth="1"/>
    <col min="13" max="13" width="12.25" bestFit="1" customWidth="1"/>
    <col min="14" max="14" width="2.25" customWidth="1"/>
    <col min="15" max="15" width="10.75" bestFit="1" customWidth="1"/>
    <col min="16" max="16" width="13.75" bestFit="1" customWidth="1"/>
    <col min="17" max="17" width="19.75" bestFit="1" customWidth="1"/>
    <col min="19" max="19" width="13.75" bestFit="1" customWidth="1"/>
  </cols>
  <sheetData>
    <row r="1" spans="1:7" ht="16.5" thickBot="1" x14ac:dyDescent="0.3"/>
    <row r="2" spans="1:7" ht="19.5" thickBot="1" x14ac:dyDescent="0.35">
      <c r="B2" s="98" t="s">
        <v>56</v>
      </c>
    </row>
    <row r="3" spans="1:7" ht="16.5" thickBot="1" x14ac:dyDescent="0.3"/>
    <row r="4" spans="1:7" ht="18.75" x14ac:dyDescent="0.3">
      <c r="B4" s="108" t="s">
        <v>86</v>
      </c>
      <c r="C4" s="109"/>
      <c r="D4" s="109"/>
      <c r="E4" s="109"/>
      <c r="F4" s="110"/>
      <c r="G4" s="77"/>
    </row>
    <row r="5" spans="1:7" x14ac:dyDescent="0.25">
      <c r="B5" s="8"/>
      <c r="C5" s="76" t="s">
        <v>68</v>
      </c>
      <c r="D5" s="76" t="s">
        <v>69</v>
      </c>
      <c r="E5" s="76" t="s">
        <v>73</v>
      </c>
      <c r="F5" s="5" t="s">
        <v>74</v>
      </c>
      <c r="G5" s="82"/>
    </row>
    <row r="6" spans="1:7" x14ac:dyDescent="0.25">
      <c r="A6" t="s">
        <v>78</v>
      </c>
      <c r="B6" s="10" t="s">
        <v>50</v>
      </c>
      <c r="C6" s="39">
        <v>0.05</v>
      </c>
      <c r="D6" s="39">
        <v>0.05</v>
      </c>
      <c r="E6" s="39">
        <v>0.05</v>
      </c>
      <c r="F6" s="40">
        <v>0.05</v>
      </c>
      <c r="G6" s="83"/>
    </row>
    <row r="7" spans="1:7" x14ac:dyDescent="0.25">
      <c r="A7" t="s">
        <v>85</v>
      </c>
      <c r="B7" s="10" t="s">
        <v>51</v>
      </c>
      <c r="C7" s="44">
        <v>0.5</v>
      </c>
      <c r="D7" s="44">
        <v>0.4</v>
      </c>
      <c r="E7" s="44">
        <v>0.05</v>
      </c>
      <c r="F7" s="78">
        <f>1-SUM(change3)</f>
        <v>4.9999999999999933E-2</v>
      </c>
      <c r="G7" s="84"/>
    </row>
    <row r="8" spans="1:7" ht="16.5" thickBot="1" x14ac:dyDescent="0.3">
      <c r="A8" t="s">
        <v>79</v>
      </c>
      <c r="B8" s="12" t="s">
        <v>52</v>
      </c>
      <c r="C8" s="41">
        <v>0.5</v>
      </c>
      <c r="D8" s="41">
        <v>0.5</v>
      </c>
      <c r="E8" s="41">
        <v>0.5</v>
      </c>
      <c r="F8" s="42">
        <v>0.5</v>
      </c>
      <c r="G8" s="83"/>
    </row>
    <row r="9" spans="1:7" x14ac:dyDescent="0.25">
      <c r="A9" s="44" t="s">
        <v>70</v>
      </c>
      <c r="B9" s="9"/>
      <c r="D9" s="24"/>
      <c r="E9" s="24"/>
      <c r="F9" s="24"/>
      <c r="G9" s="24"/>
    </row>
    <row r="10" spans="1:7" ht="16.5" thickBot="1" x14ac:dyDescent="0.3">
      <c r="D10" s="16"/>
      <c r="E10" s="16"/>
      <c r="F10" s="16"/>
      <c r="G10" s="16"/>
    </row>
    <row r="11" spans="1:7" ht="18.75" x14ac:dyDescent="0.3">
      <c r="B11" s="108" t="s">
        <v>87</v>
      </c>
      <c r="C11" s="110"/>
    </row>
    <row r="12" spans="1:7" x14ac:dyDescent="0.25">
      <c r="A12" t="s">
        <v>80</v>
      </c>
      <c r="B12" s="10" t="s">
        <v>48</v>
      </c>
      <c r="C12" s="25">
        <f>portfolioreturn(portwts1, C20:C23)</f>
        <v>8.5556415675374798E-3</v>
      </c>
    </row>
    <row r="13" spans="1:7" x14ac:dyDescent="0.25">
      <c r="A13" t="s">
        <v>81</v>
      </c>
      <c r="B13" s="10" t="s">
        <v>49</v>
      </c>
      <c r="C13" s="25">
        <f>SQRT(PortfolioVariance(portwts1,C28:F31))</f>
        <v>4.2443222128738321E-2</v>
      </c>
    </row>
    <row r="14" spans="1:7" x14ac:dyDescent="0.25">
      <c r="A14" t="s">
        <v>82</v>
      </c>
      <c r="B14" s="10" t="s">
        <v>46</v>
      </c>
      <c r="C14" s="43">
        <v>25</v>
      </c>
    </row>
    <row r="15" spans="1:7" ht="16.5" thickBot="1" x14ac:dyDescent="0.3">
      <c r="A15" t="s">
        <v>83</v>
      </c>
      <c r="B15" s="12" t="s">
        <v>47</v>
      </c>
      <c r="C15" s="95">
        <v>8.6633062965268525E-3</v>
      </c>
    </row>
    <row r="17" spans="2:17" ht="16.5" thickBot="1" x14ac:dyDescent="0.3"/>
    <row r="18" spans="2:17" ht="18.75" x14ac:dyDescent="0.3">
      <c r="B18" s="108" t="s">
        <v>76</v>
      </c>
      <c r="C18" s="109"/>
      <c r="D18" s="110"/>
    </row>
    <row r="19" spans="2:17" x14ac:dyDescent="0.25">
      <c r="B19" s="8"/>
      <c r="C19" s="76" t="s">
        <v>10</v>
      </c>
      <c r="D19" s="5" t="s">
        <v>11</v>
      </c>
    </row>
    <row r="20" spans="2:17" x14ac:dyDescent="0.25">
      <c r="B20" s="79" t="s">
        <v>68</v>
      </c>
      <c r="C20" s="85">
        <f>AVERAGE('Index Data 30 yrs'!$C$7:$C$366)</f>
        <v>9.2220446689186969E-3</v>
      </c>
      <c r="D20" s="87">
        <f>STDEV('Index Data 30 yrs'!$C$7:$C$366)</f>
        <v>4.3917009392956001E-2</v>
      </c>
    </row>
    <row r="21" spans="2:17" x14ac:dyDescent="0.25">
      <c r="B21" s="79" t="s">
        <v>69</v>
      </c>
      <c r="C21" s="85">
        <f>AVERAGE('Index Data 30 yrs'!$F$7:$F$366)</f>
        <v>8.4378844040412185E-3</v>
      </c>
      <c r="D21" s="87">
        <f>STDEV('Index Data 30 yrs'!$F$7:$F$366)</f>
        <v>5.5942386286297205E-2</v>
      </c>
    </row>
    <row r="22" spans="2:17" x14ac:dyDescent="0.25">
      <c r="B22" s="79" t="s">
        <v>75</v>
      </c>
      <c r="C22" s="85">
        <f>AVERAGE('Index Data 30 yrs'!$H$7:$H$366)</f>
        <v>6.0596309647212385E-3</v>
      </c>
      <c r="D22" s="87">
        <f>STDEV('Index Data 30 yrs'!$H$7:$H$366)</f>
        <v>1.5427738335514137E-2</v>
      </c>
    </row>
    <row r="23" spans="2:17" ht="16.5" thickBot="1" x14ac:dyDescent="0.3">
      <c r="B23" s="80" t="s">
        <v>74</v>
      </c>
      <c r="C23" s="86">
        <f>AVERAGE('Index Data 30 yrs'!$J$7:$J$366)</f>
        <v>5.329678464511654E-3</v>
      </c>
      <c r="D23" s="88">
        <f>STDEV('Index Data 30 yrs'!$J$7:$J$366)</f>
        <v>1.3478989272714586E-2</v>
      </c>
    </row>
    <row r="24" spans="2:17" x14ac:dyDescent="0.25">
      <c r="B24" s="9"/>
      <c r="C24" s="3"/>
      <c r="D24" s="3"/>
    </row>
    <row r="25" spans="2:17" ht="16.5" thickBot="1" x14ac:dyDescent="0.3"/>
    <row r="26" spans="2:17" ht="18.75" x14ac:dyDescent="0.3">
      <c r="B26" s="108" t="s">
        <v>15</v>
      </c>
      <c r="C26" s="109"/>
      <c r="D26" s="109"/>
      <c r="E26" s="109"/>
      <c r="F26" s="110"/>
      <c r="G26" s="77"/>
      <c r="J26" s="108" t="s">
        <v>55</v>
      </c>
      <c r="K26" s="109"/>
      <c r="L26" s="109"/>
      <c r="M26" s="109"/>
      <c r="N26" s="109"/>
      <c r="O26" s="109"/>
      <c r="P26" s="110"/>
      <c r="Q26" s="77"/>
    </row>
    <row r="27" spans="2:17" x14ac:dyDescent="0.25">
      <c r="B27" s="8"/>
      <c r="C27" s="76" t="s">
        <v>68</v>
      </c>
      <c r="D27" s="76" t="s">
        <v>69</v>
      </c>
      <c r="E27" s="76" t="s">
        <v>73</v>
      </c>
      <c r="F27" s="5" t="s">
        <v>74</v>
      </c>
      <c r="G27" s="76"/>
      <c r="J27" s="4" t="s">
        <v>71</v>
      </c>
      <c r="K27" s="76" t="s">
        <v>72</v>
      </c>
      <c r="L27" s="76" t="s">
        <v>73</v>
      </c>
      <c r="M27" s="5" t="s">
        <v>74</v>
      </c>
      <c r="N27" s="3"/>
      <c r="O27" s="27" t="s">
        <v>44</v>
      </c>
      <c r="P27" s="30" t="s">
        <v>45</v>
      </c>
    </row>
    <row r="28" spans="2:17" x14ac:dyDescent="0.25">
      <c r="B28" s="4" t="s">
        <v>68</v>
      </c>
      <c r="C28" s="3">
        <f>D20^2</f>
        <v>1.9287037140209857E-3</v>
      </c>
      <c r="D28" s="3">
        <f>C29</f>
        <v>2.015995950353552E-3</v>
      </c>
      <c r="E28" s="3">
        <f>C30</f>
        <v>1.8610554959786697E-4</v>
      </c>
      <c r="F28" s="11">
        <f>C31</f>
        <v>-1.8622729695280222E-5</v>
      </c>
      <c r="G28" s="3"/>
      <c r="I28" t="s">
        <v>84</v>
      </c>
      <c r="J28" s="8"/>
      <c r="K28" s="3"/>
      <c r="L28" s="3"/>
      <c r="M28" s="11"/>
      <c r="N28" s="3"/>
      <c r="O28" s="8"/>
      <c r="P28" s="11"/>
    </row>
    <row r="29" spans="2:17" x14ac:dyDescent="0.25">
      <c r="B29" s="4" t="s">
        <v>69</v>
      </c>
      <c r="C29" s="3">
        <f>COVAR('Index Data 30 yrs'!$C$7:$C$366, 'Index Data 30 yrs'!$F$7:$F$366 )</f>
        <v>2.015995950353552E-3</v>
      </c>
      <c r="D29" s="3">
        <f>D21^2</f>
        <v>3.1295505834052937E-3</v>
      </c>
      <c r="E29" s="3">
        <f>D30</f>
        <v>1.5531941383124573E-4</v>
      </c>
      <c r="F29" s="11">
        <f>D31</f>
        <v>-1.0698421079173867E-4</v>
      </c>
      <c r="G29" s="3"/>
      <c r="J29" s="31">
        <v>0.05</v>
      </c>
      <c r="K29" s="32">
        <v>0.05</v>
      </c>
      <c r="L29" s="32">
        <v>0.39999999999999991</v>
      </c>
      <c r="M29" s="29">
        <v>0.50000000000000011</v>
      </c>
      <c r="N29" s="3"/>
      <c r="O29" s="28">
        <f t="shared" ref="O29:O53" si="0">portfolioreturn(J29:M29,$C$20:$C$23)</f>
        <v>5.9716880717923179E-3</v>
      </c>
      <c r="P29" s="33">
        <f t="shared" ref="P29:P46" si="1">SQRT(PortfolioVariance(J29:M29,$C$28:$F$31))</f>
        <v>1.3230196713910109E-2</v>
      </c>
    </row>
    <row r="30" spans="2:17" x14ac:dyDescent="0.25">
      <c r="B30" s="4" t="s">
        <v>73</v>
      </c>
      <c r="C30" s="3">
        <f>COVAR('Index Data 30 yrs'!$C$7:$C$366, 'Index Data 30 yrs'!$H$7:$H$366 )</f>
        <v>1.8610554959786697E-4</v>
      </c>
      <c r="D30" s="3">
        <f>COVAR('Index Data 30 yrs'!$F$7:$F$366, 'Index Data 30 yrs'!$H$7:$H$366 )</f>
        <v>1.5531941383124573E-4</v>
      </c>
      <c r="E30" s="3">
        <f>D22^2</f>
        <v>2.3801511014909251E-4</v>
      </c>
      <c r="F30" s="11">
        <f>E31</f>
        <v>1.5358158125816835E-4</v>
      </c>
      <c r="G30" s="3"/>
      <c r="J30" s="31">
        <v>8.4048273934139883E-2</v>
      </c>
      <c r="K30" s="32">
        <v>0.05</v>
      </c>
      <c r="L30" s="32">
        <v>0.36595172606586013</v>
      </c>
      <c r="M30" s="29">
        <v>0.5</v>
      </c>
      <c r="N30" s="3"/>
      <c r="O30" s="28">
        <f t="shared" si="0"/>
        <v>6.0793627998859115E-3</v>
      </c>
      <c r="P30" s="33">
        <f t="shared" si="1"/>
        <v>1.3494805482369069E-2</v>
      </c>
    </row>
    <row r="31" spans="2:17" ht="16.5" thickBot="1" x14ac:dyDescent="0.3">
      <c r="B31" s="81" t="s">
        <v>74</v>
      </c>
      <c r="C31" s="7">
        <f>COVAR('Index Data 30 yrs'!$C$7:$C$366, 'Index Data 30 yrs'!$J$7:$J$366 )</f>
        <v>-1.8622729695280222E-5</v>
      </c>
      <c r="D31" s="7">
        <f>COVAR('Index Data 30 yrs'!$F$7:$F$366, 'Index Data 30 yrs'!$J$7:$J$366 )</f>
        <v>-1.0698421079173867E-4</v>
      </c>
      <c r="E31" s="7">
        <f>COVAR('Index Data 30 yrs'!$H$7:$H$366, 'Index Data 30 yrs'!$J$7:$J$366 )</f>
        <v>1.5358158125816835E-4</v>
      </c>
      <c r="F31" s="13">
        <f>D23^2</f>
        <v>1.8168315181395488E-4</v>
      </c>
      <c r="G31" s="3"/>
      <c r="J31" s="31">
        <v>0.11809338629317956</v>
      </c>
      <c r="K31" s="32">
        <v>0.05</v>
      </c>
      <c r="L31" s="32">
        <v>0.33190661370682045</v>
      </c>
      <c r="M31" s="29">
        <v>0.5</v>
      </c>
      <c r="N31" s="3"/>
      <c r="O31" s="28">
        <f t="shared" si="0"/>
        <v>6.1870275297710806E-3</v>
      </c>
      <c r="P31" s="33">
        <f t="shared" si="1"/>
        <v>1.3904707850495234E-2</v>
      </c>
    </row>
    <row r="32" spans="2:17" x14ac:dyDescent="0.25">
      <c r="J32" s="31">
        <v>0.14629160985983883</v>
      </c>
      <c r="K32" s="32">
        <v>0.05</v>
      </c>
      <c r="L32" s="32">
        <v>0.32902548807215787</v>
      </c>
      <c r="M32" s="29">
        <v>0.47468290206800323</v>
      </c>
      <c r="N32" s="3"/>
      <c r="O32" s="28">
        <f t="shared" si="0"/>
        <v>6.2946822573458194E-3</v>
      </c>
      <c r="P32" s="33">
        <f t="shared" si="1"/>
        <v>1.4444116618998436E-2</v>
      </c>
    </row>
    <row r="33" spans="7:19" x14ac:dyDescent="0.25">
      <c r="J33" s="31">
        <v>0.16520218538449993</v>
      </c>
      <c r="K33" s="32">
        <v>0.05</v>
      </c>
      <c r="L33" s="32">
        <v>0.37568310610528355</v>
      </c>
      <c r="M33" s="29">
        <v>0.40911470851021647</v>
      </c>
      <c r="N33" s="3"/>
      <c r="O33" s="28">
        <f t="shared" si="0"/>
        <v>6.4023469873610017E-3</v>
      </c>
      <c r="P33" s="33">
        <f t="shared" si="1"/>
        <v>1.5067193290108093E-2</v>
      </c>
    </row>
    <row r="34" spans="7:19" x14ac:dyDescent="0.25">
      <c r="J34" s="31">
        <v>0.18411276062869428</v>
      </c>
      <c r="K34" s="32">
        <v>0.05</v>
      </c>
      <c r="L34" s="32">
        <v>0.42234072422866004</v>
      </c>
      <c r="M34" s="29">
        <v>0.34354651514264567</v>
      </c>
      <c r="N34" s="3"/>
      <c r="O34" s="28">
        <f t="shared" si="0"/>
        <v>6.5100117163503831E-3</v>
      </c>
      <c r="P34" s="33">
        <f t="shared" si="1"/>
        <v>1.5756136518031309E-2</v>
      </c>
    </row>
    <row r="35" spans="7:19" ht="18.75" x14ac:dyDescent="0.3">
      <c r="G35" s="77"/>
      <c r="J35" s="31">
        <v>0.20302333607311987</v>
      </c>
      <c r="K35" s="32">
        <v>0.05</v>
      </c>
      <c r="L35" s="32">
        <v>0.46899834128433238</v>
      </c>
      <c r="M35" s="29">
        <v>0.27797832264254774</v>
      </c>
      <c r="N35" s="3"/>
      <c r="O35" s="28">
        <f t="shared" si="0"/>
        <v>6.6176764453397636E-3</v>
      </c>
      <c r="P35" s="33">
        <f t="shared" si="1"/>
        <v>1.6502699114536962E-2</v>
      </c>
    </row>
    <row r="36" spans="7:19" x14ac:dyDescent="0.25">
      <c r="G36" s="82"/>
      <c r="J36" s="31">
        <v>0.22487117581765045</v>
      </c>
      <c r="K36" s="32">
        <v>0.05</v>
      </c>
      <c r="L36" s="32">
        <v>0.5</v>
      </c>
      <c r="M36" s="29">
        <v>0.22512882418234947</v>
      </c>
      <c r="N36" s="3"/>
      <c r="O36" s="28">
        <f t="shared" si="0"/>
        <v>6.7253459766908217E-3</v>
      </c>
      <c r="P36" s="33">
        <f t="shared" si="1"/>
        <v>1.7300173331438316E-2</v>
      </c>
    </row>
    <row r="37" spans="7:19" x14ac:dyDescent="0.25">
      <c r="G37" s="3"/>
      <c r="J37" s="31">
        <v>0.25253299419811032</v>
      </c>
      <c r="K37" s="32">
        <v>0.05</v>
      </c>
      <c r="L37" s="32">
        <v>0.5</v>
      </c>
      <c r="M37" s="29">
        <v>0.19746700580188969</v>
      </c>
      <c r="N37" s="3"/>
      <c r="O37" s="28">
        <f t="shared" si="0"/>
        <v>6.8330159037073689E-3</v>
      </c>
      <c r="P37" s="33">
        <f t="shared" si="1"/>
        <v>1.8150559879838341E-2</v>
      </c>
    </row>
    <row r="38" spans="7:19" x14ac:dyDescent="0.25">
      <c r="G38" s="3"/>
      <c r="J38" s="31">
        <v>0.28019347713712073</v>
      </c>
      <c r="K38" s="32">
        <v>0.05</v>
      </c>
      <c r="L38" s="32">
        <v>0.5</v>
      </c>
      <c r="M38" s="29">
        <v>0.16980652286287934</v>
      </c>
      <c r="N38" s="3"/>
      <c r="O38" s="28">
        <f t="shared" si="0"/>
        <v>6.9406806326967503E-3</v>
      </c>
      <c r="P38" s="33">
        <f t="shared" si="1"/>
        <v>1.9049267478281569E-2</v>
      </c>
    </row>
    <row r="39" spans="7:19" x14ac:dyDescent="0.25">
      <c r="G39" s="3"/>
      <c r="J39" s="31">
        <v>0.30785396007613097</v>
      </c>
      <c r="K39" s="32">
        <v>0.05</v>
      </c>
      <c r="L39" s="32">
        <v>0.5</v>
      </c>
      <c r="M39" s="29">
        <v>0.14214603992386898</v>
      </c>
      <c r="N39" s="3"/>
      <c r="O39" s="28">
        <f t="shared" si="0"/>
        <v>7.0483453616861317E-3</v>
      </c>
      <c r="P39" s="33">
        <f t="shared" si="1"/>
        <v>1.998981430379802E-2</v>
      </c>
    </row>
    <row r="40" spans="7:19" x14ac:dyDescent="0.25">
      <c r="G40" s="3"/>
      <c r="J40" s="31">
        <v>0.33551444301514133</v>
      </c>
      <c r="K40" s="32">
        <v>0.05</v>
      </c>
      <c r="L40" s="32">
        <v>0.5</v>
      </c>
      <c r="M40" s="29">
        <v>0.11448555698485863</v>
      </c>
      <c r="N40" s="3"/>
      <c r="O40" s="28">
        <f t="shared" si="0"/>
        <v>7.1560100906755131E-3</v>
      </c>
      <c r="P40" s="33">
        <f t="shared" si="1"/>
        <v>2.0966570470041933E-2</v>
      </c>
    </row>
    <row r="41" spans="7:19" x14ac:dyDescent="0.25">
      <c r="G41" s="3"/>
      <c r="J41" s="31">
        <v>0.36317492595415157</v>
      </c>
      <c r="K41" s="32">
        <v>0.05</v>
      </c>
      <c r="L41" s="32">
        <v>0.5</v>
      </c>
      <c r="M41" s="29">
        <v>8.6825074045848494E-2</v>
      </c>
      <c r="N41" s="3"/>
      <c r="O41" s="28">
        <f t="shared" si="0"/>
        <v>7.2636748196648945E-3</v>
      </c>
      <c r="P41" s="33">
        <f t="shared" si="1"/>
        <v>2.1974708088705851E-2</v>
      </c>
    </row>
    <row r="42" spans="7:19" x14ac:dyDescent="0.25">
      <c r="J42" s="31">
        <v>0.39083540889316182</v>
      </c>
      <c r="K42" s="32">
        <v>0.05</v>
      </c>
      <c r="L42" s="32">
        <v>0.5</v>
      </c>
      <c r="M42" s="29">
        <v>5.9164591106838138E-2</v>
      </c>
      <c r="N42" s="3"/>
      <c r="O42" s="28">
        <f t="shared" si="0"/>
        <v>7.371339548654275E-3</v>
      </c>
      <c r="P42" s="33">
        <f t="shared" si="1"/>
        <v>2.3010102799121263E-2</v>
      </c>
    </row>
    <row r="43" spans="7:19" x14ac:dyDescent="0.25">
      <c r="J43" s="31">
        <v>0.42276513565977614</v>
      </c>
      <c r="K43" s="32">
        <v>0.05</v>
      </c>
      <c r="L43" s="32">
        <v>0.47723487434022382</v>
      </c>
      <c r="M43" s="29">
        <v>4.9999990000000105E-2</v>
      </c>
      <c r="N43" s="3"/>
      <c r="O43" s="28">
        <f t="shared" si="0"/>
        <v>7.4790042776436572E-3</v>
      </c>
      <c r="P43" s="33">
        <f t="shared" si="1"/>
        <v>2.4102909181873012E-2</v>
      </c>
      <c r="S43" s="57"/>
    </row>
    <row r="44" spans="7:19" x14ac:dyDescent="0.25">
      <c r="J44" s="31">
        <v>0.45681024773555484</v>
      </c>
      <c r="K44" s="32">
        <v>0.05</v>
      </c>
      <c r="L44" s="32">
        <v>0.44318976226444512</v>
      </c>
      <c r="M44" s="29">
        <v>4.9999990000000105E-2</v>
      </c>
      <c r="N44" s="3"/>
      <c r="O44" s="28">
        <f t="shared" si="0"/>
        <v>7.5866690066330377E-3</v>
      </c>
      <c r="P44" s="33">
        <f t="shared" si="1"/>
        <v>2.5243901094712713E-2</v>
      </c>
    </row>
    <row r="45" spans="7:19" x14ac:dyDescent="0.25">
      <c r="J45" s="31">
        <v>0.49085536138300206</v>
      </c>
      <c r="K45" s="32">
        <v>0.05</v>
      </c>
      <c r="L45" s="32">
        <v>0.40914464180797377</v>
      </c>
      <c r="M45" s="29">
        <v>4.9999996809024116E-2</v>
      </c>
      <c r="N45" s="3"/>
      <c r="O45" s="28">
        <f t="shared" si="0"/>
        <v>7.69433373562242E-3</v>
      </c>
      <c r="P45" s="33">
        <f t="shared" si="1"/>
        <v>2.6414366805252134E-2</v>
      </c>
    </row>
    <row r="46" spans="7:19" x14ac:dyDescent="0.25">
      <c r="J46" s="31">
        <v>0.5</v>
      </c>
      <c r="K46" s="32">
        <v>8.3106480383805387E-2</v>
      </c>
      <c r="L46" s="32">
        <v>0.36689351961619465</v>
      </c>
      <c r="M46" s="29">
        <v>4.9999999999999933E-2</v>
      </c>
      <c r="N46" s="3"/>
      <c r="O46" s="28">
        <f t="shared" si="0"/>
        <v>7.8019884646120512E-3</v>
      </c>
      <c r="P46" s="33">
        <f t="shared" si="1"/>
        <v>2.8024880947906797E-2</v>
      </c>
    </row>
    <row r="47" spans="7:19" x14ac:dyDescent="0.25">
      <c r="J47" s="31">
        <v>0.5</v>
      </c>
      <c r="K47" s="32">
        <v>0.12838118795236364</v>
      </c>
      <c r="L47" s="32">
        <v>0.32161881204763643</v>
      </c>
      <c r="M47" s="29">
        <v>4.9999999999999933E-2</v>
      </c>
      <c r="N47" s="3"/>
      <c r="O47" s="28">
        <f t="shared" si="0"/>
        <v>7.9096631936011828E-3</v>
      </c>
      <c r="P47" s="33">
        <f t="shared" ref="P47:P53" si="2">SQRT(PortfolioVariance(J47:M47,$C$28:$F$31))</f>
        <v>2.988247954842585E-2</v>
      </c>
    </row>
    <row r="48" spans="7:19" x14ac:dyDescent="0.25">
      <c r="J48" s="31">
        <v>0.5</v>
      </c>
      <c r="K48" s="32">
        <v>0.17365169075469164</v>
      </c>
      <c r="L48" s="32">
        <v>0.2763483092453084</v>
      </c>
      <c r="M48" s="29">
        <v>4.9999999999999933E-2</v>
      </c>
      <c r="N48" s="3"/>
      <c r="O48" s="28">
        <f t="shared" si="0"/>
        <v>8.0173279225905624E-3</v>
      </c>
      <c r="P48" s="33">
        <f t="shared" si="2"/>
        <v>3.1828472347958492E-2</v>
      </c>
    </row>
    <row r="49" spans="10:16" x14ac:dyDescent="0.25">
      <c r="J49" s="31">
        <v>0.5</v>
      </c>
      <c r="K49" s="32">
        <v>0.21892219355702039</v>
      </c>
      <c r="L49" s="32">
        <v>0.23107780644297965</v>
      </c>
      <c r="M49" s="29">
        <v>5.0000000000000044E-2</v>
      </c>
      <c r="N49" s="3"/>
      <c r="O49" s="28">
        <f t="shared" si="0"/>
        <v>8.1249926515799455E-3</v>
      </c>
      <c r="P49" s="33">
        <f t="shared" si="2"/>
        <v>3.3847755679318525E-2</v>
      </c>
    </row>
    <row r="50" spans="10:16" x14ac:dyDescent="0.25">
      <c r="J50" s="31">
        <v>0.5</v>
      </c>
      <c r="K50" s="32">
        <v>0.26419269635934778</v>
      </c>
      <c r="L50" s="32">
        <v>0.18580730364065229</v>
      </c>
      <c r="M50" s="29">
        <v>5.0000000000000044E-2</v>
      </c>
      <c r="N50" s="3"/>
      <c r="O50" s="28">
        <f t="shared" si="0"/>
        <v>8.2326573805693269E-3</v>
      </c>
      <c r="P50" s="33">
        <f t="shared" si="2"/>
        <v>3.5927974080489512E-2</v>
      </c>
    </row>
    <row r="51" spans="10:16" x14ac:dyDescent="0.25">
      <c r="J51" s="31">
        <v>0.5</v>
      </c>
      <c r="K51" s="32">
        <v>0.30946319916167575</v>
      </c>
      <c r="L51" s="32">
        <v>0.14053680083832429</v>
      </c>
      <c r="M51" s="29">
        <v>4.9999999999999933E-2</v>
      </c>
      <c r="N51" s="3"/>
      <c r="O51" s="28">
        <f t="shared" si="0"/>
        <v>8.3403221095587083E-3</v>
      </c>
      <c r="P51" s="33">
        <f t="shared" si="2"/>
        <v>3.8059137181618088E-2</v>
      </c>
    </row>
    <row r="52" spans="10:16" x14ac:dyDescent="0.25">
      <c r="J52" s="31">
        <v>0.5</v>
      </c>
      <c r="K52" s="32">
        <v>0.35473370196400439</v>
      </c>
      <c r="L52" s="32">
        <v>9.5266298035995609E-2</v>
      </c>
      <c r="M52" s="29">
        <v>4.9999999999999933E-2</v>
      </c>
      <c r="N52" s="3"/>
      <c r="O52" s="28">
        <f t="shared" si="0"/>
        <v>8.4479868385480897E-3</v>
      </c>
      <c r="P52" s="33">
        <f t="shared" si="2"/>
        <v>4.0233150124860152E-2</v>
      </c>
    </row>
    <row r="53" spans="10:16" ht="16.5" thickBot="1" x14ac:dyDescent="0.3">
      <c r="J53" s="34">
        <v>0.5</v>
      </c>
      <c r="K53" s="35">
        <v>0.4</v>
      </c>
      <c r="L53" s="35">
        <v>0.05</v>
      </c>
      <c r="M53" s="36">
        <v>4.9999999999999933E-2</v>
      </c>
      <c r="N53" s="7"/>
      <c r="O53" s="37">
        <f t="shared" si="0"/>
        <v>8.5556415675374798E-3</v>
      </c>
      <c r="P53" s="26">
        <f t="shared" si="2"/>
        <v>4.2443222128738321E-2</v>
      </c>
    </row>
    <row r="54" spans="10:16" x14ac:dyDescent="0.25">
      <c r="O54" s="100"/>
      <c r="P54" s="100"/>
    </row>
    <row r="55" spans="10:16" x14ac:dyDescent="0.25">
      <c r="O55" s="100"/>
      <c r="P55" s="100"/>
    </row>
    <row r="56" spans="10:16" x14ac:dyDescent="0.25">
      <c r="O56" s="100"/>
      <c r="P56" s="100"/>
    </row>
    <row r="57" spans="10:16" x14ac:dyDescent="0.25">
      <c r="O57" s="100"/>
      <c r="P57" s="100"/>
    </row>
    <row r="58" spans="10:16" x14ac:dyDescent="0.25">
      <c r="O58" s="100"/>
      <c r="P58" s="100"/>
    </row>
    <row r="59" spans="10:16" x14ac:dyDescent="0.25">
      <c r="O59" s="100"/>
      <c r="P59" s="100"/>
    </row>
    <row r="60" spans="10:16" x14ac:dyDescent="0.25">
      <c r="O60" s="100"/>
      <c r="P60" s="100"/>
    </row>
    <row r="61" spans="10:16" x14ac:dyDescent="0.25">
      <c r="O61" s="100"/>
      <c r="P61" s="100"/>
    </row>
    <row r="62" spans="10:16" x14ac:dyDescent="0.25">
      <c r="O62" s="100"/>
      <c r="P62" s="100"/>
    </row>
    <row r="63" spans="10:16" x14ac:dyDescent="0.25">
      <c r="O63" s="100"/>
      <c r="P63" s="100"/>
    </row>
    <row r="64" spans="10:16" x14ac:dyDescent="0.25">
      <c r="O64" s="100"/>
      <c r="P64" s="100"/>
    </row>
    <row r="65" spans="15:16" x14ac:dyDescent="0.25">
      <c r="O65" s="100"/>
      <c r="P65" s="100"/>
    </row>
    <row r="66" spans="15:16" x14ac:dyDescent="0.25">
      <c r="O66" s="100"/>
      <c r="P66" s="100"/>
    </row>
    <row r="67" spans="15:16" x14ac:dyDescent="0.25">
      <c r="O67" s="100"/>
      <c r="P67" s="100"/>
    </row>
    <row r="68" spans="15:16" x14ac:dyDescent="0.25">
      <c r="O68" s="100"/>
      <c r="P68" s="100"/>
    </row>
    <row r="69" spans="15:16" x14ac:dyDescent="0.25">
      <c r="O69" s="100"/>
      <c r="P69" s="100"/>
    </row>
    <row r="70" spans="15:16" x14ac:dyDescent="0.25">
      <c r="O70" s="100"/>
      <c r="P70" s="100"/>
    </row>
    <row r="71" spans="15:16" x14ac:dyDescent="0.25">
      <c r="O71" s="100"/>
      <c r="P71" s="100"/>
    </row>
    <row r="72" spans="15:16" x14ac:dyDescent="0.25">
      <c r="O72" s="100"/>
      <c r="P72" s="100"/>
    </row>
    <row r="73" spans="15:16" x14ac:dyDescent="0.25">
      <c r="O73" s="100"/>
      <c r="P73" s="100"/>
    </row>
    <row r="74" spans="15:16" x14ac:dyDescent="0.25">
      <c r="O74" s="100"/>
      <c r="P74" s="100"/>
    </row>
    <row r="75" spans="15:16" x14ac:dyDescent="0.25">
      <c r="O75" s="100"/>
      <c r="P75" s="100"/>
    </row>
    <row r="76" spans="15:16" x14ac:dyDescent="0.25">
      <c r="O76" s="100"/>
      <c r="P76" s="100"/>
    </row>
    <row r="77" spans="15:16" x14ac:dyDescent="0.25">
      <c r="O77" s="100"/>
      <c r="P77" s="100"/>
    </row>
    <row r="78" spans="15:16" x14ac:dyDescent="0.25">
      <c r="O78" s="100"/>
      <c r="P78" s="100"/>
    </row>
    <row r="79" spans="15:16" x14ac:dyDescent="0.25">
      <c r="O79" s="100"/>
      <c r="P79" s="100"/>
    </row>
    <row r="80" spans="15:16" x14ac:dyDescent="0.25">
      <c r="O80" s="100"/>
      <c r="P80" s="100"/>
    </row>
    <row r="81" spans="15:16" x14ac:dyDescent="0.25">
      <c r="O81" s="100"/>
      <c r="P81" s="100"/>
    </row>
    <row r="82" spans="15:16" x14ac:dyDescent="0.25">
      <c r="O82" s="100"/>
      <c r="P82" s="100"/>
    </row>
    <row r="83" spans="15:16" x14ac:dyDescent="0.25">
      <c r="O83" s="100"/>
      <c r="P83" s="100"/>
    </row>
    <row r="84" spans="15:16" x14ac:dyDescent="0.25">
      <c r="O84" s="100"/>
      <c r="P84" s="100"/>
    </row>
    <row r="85" spans="15:16" x14ac:dyDescent="0.25">
      <c r="O85" s="100"/>
      <c r="P85" s="100"/>
    </row>
    <row r="86" spans="15:16" x14ac:dyDescent="0.25">
      <c r="O86" s="100"/>
      <c r="P86" s="100"/>
    </row>
    <row r="87" spans="15:16" x14ac:dyDescent="0.25">
      <c r="O87" s="100"/>
      <c r="P87" s="100"/>
    </row>
    <row r="88" spans="15:16" x14ac:dyDescent="0.25">
      <c r="O88" s="100"/>
      <c r="P88" s="100"/>
    </row>
    <row r="89" spans="15:16" x14ac:dyDescent="0.25">
      <c r="O89" s="100"/>
      <c r="P89" s="100"/>
    </row>
    <row r="90" spans="15:16" x14ac:dyDescent="0.25">
      <c r="O90" s="100"/>
      <c r="P90" s="100"/>
    </row>
    <row r="91" spans="15:16" x14ac:dyDescent="0.25">
      <c r="O91" s="100"/>
      <c r="P91" s="100"/>
    </row>
    <row r="92" spans="15:16" x14ac:dyDescent="0.25">
      <c r="O92" s="100"/>
      <c r="P92" s="100"/>
    </row>
    <row r="93" spans="15:16" x14ac:dyDescent="0.25">
      <c r="O93" s="100"/>
      <c r="P93" s="100"/>
    </row>
    <row r="94" spans="15:16" x14ac:dyDescent="0.25">
      <c r="O94" s="100"/>
      <c r="P94" s="100"/>
    </row>
    <row r="95" spans="15:16" x14ac:dyDescent="0.25">
      <c r="O95" s="100"/>
      <c r="P95" s="100"/>
    </row>
    <row r="96" spans="15:16" x14ac:dyDescent="0.25">
      <c r="O96" s="100"/>
      <c r="P96" s="100"/>
    </row>
    <row r="97" spans="15:16" x14ac:dyDescent="0.25">
      <c r="O97" s="100"/>
      <c r="P97" s="100"/>
    </row>
    <row r="98" spans="15:16" x14ac:dyDescent="0.25">
      <c r="O98" s="100"/>
      <c r="P98" s="100"/>
    </row>
    <row r="99" spans="15:16" x14ac:dyDescent="0.25">
      <c r="O99" s="100"/>
      <c r="P99" s="100"/>
    </row>
    <row r="100" spans="15:16" x14ac:dyDescent="0.25">
      <c r="O100" s="100"/>
      <c r="P100" s="100"/>
    </row>
    <row r="101" spans="15:16" x14ac:dyDescent="0.25">
      <c r="O101" s="100"/>
      <c r="P101" s="100"/>
    </row>
    <row r="102" spans="15:16" x14ac:dyDescent="0.25">
      <c r="O102" s="100"/>
      <c r="P102" s="100"/>
    </row>
    <row r="103" spans="15:16" x14ac:dyDescent="0.25">
      <c r="O103" s="100"/>
      <c r="P103" s="100"/>
    </row>
    <row r="104" spans="15:16" x14ac:dyDescent="0.25">
      <c r="O104" s="100"/>
      <c r="P104" s="100"/>
    </row>
    <row r="105" spans="15:16" x14ac:dyDescent="0.25">
      <c r="O105" s="100"/>
      <c r="P105" s="100"/>
    </row>
    <row r="106" spans="15:16" x14ac:dyDescent="0.25">
      <c r="O106" s="100"/>
      <c r="P106" s="100"/>
    </row>
    <row r="107" spans="15:16" x14ac:dyDescent="0.25">
      <c r="O107" s="100"/>
      <c r="P107" s="100"/>
    </row>
    <row r="108" spans="15:16" x14ac:dyDescent="0.25">
      <c r="O108" s="100"/>
      <c r="P108" s="100"/>
    </row>
    <row r="109" spans="15:16" x14ac:dyDescent="0.25">
      <c r="O109" s="100"/>
      <c r="P109" s="100"/>
    </row>
    <row r="110" spans="15:16" x14ac:dyDescent="0.25">
      <c r="O110" s="100"/>
      <c r="P110" s="100"/>
    </row>
    <row r="111" spans="15:16" x14ac:dyDescent="0.25">
      <c r="O111" s="100"/>
      <c r="P111" s="100"/>
    </row>
    <row r="112" spans="15:16" x14ac:dyDescent="0.25">
      <c r="O112" s="100"/>
      <c r="P112" s="100"/>
    </row>
    <row r="113" spans="15:16" x14ac:dyDescent="0.25">
      <c r="O113" s="100"/>
      <c r="P113" s="100"/>
    </row>
    <row r="114" spans="15:16" x14ac:dyDescent="0.25">
      <c r="O114" s="100"/>
      <c r="P114" s="100"/>
    </row>
    <row r="115" spans="15:16" x14ac:dyDescent="0.25">
      <c r="O115" s="100"/>
      <c r="P115" s="100"/>
    </row>
    <row r="116" spans="15:16" x14ac:dyDescent="0.25">
      <c r="O116" s="100"/>
      <c r="P116" s="100"/>
    </row>
    <row r="117" spans="15:16" x14ac:dyDescent="0.25">
      <c r="O117" s="100"/>
      <c r="P117" s="100"/>
    </row>
    <row r="118" spans="15:16" x14ac:dyDescent="0.25">
      <c r="O118" s="100"/>
      <c r="P118" s="100"/>
    </row>
    <row r="119" spans="15:16" x14ac:dyDescent="0.25">
      <c r="O119" s="100"/>
      <c r="P119" s="100"/>
    </row>
    <row r="120" spans="15:16" x14ac:dyDescent="0.25">
      <c r="O120" s="100"/>
      <c r="P120" s="100"/>
    </row>
    <row r="121" spans="15:16" x14ac:dyDescent="0.25">
      <c r="O121" s="100"/>
      <c r="P121" s="100"/>
    </row>
    <row r="122" spans="15:16" x14ac:dyDescent="0.25">
      <c r="O122" s="100"/>
      <c r="P122" s="100"/>
    </row>
    <row r="123" spans="15:16" x14ac:dyDescent="0.25">
      <c r="O123" s="100"/>
      <c r="P123" s="100"/>
    </row>
    <row r="124" spans="15:16" x14ac:dyDescent="0.25">
      <c r="O124" s="100"/>
      <c r="P124" s="100"/>
    </row>
    <row r="125" spans="15:16" x14ac:dyDescent="0.25">
      <c r="O125" s="100"/>
      <c r="P125" s="100"/>
    </row>
    <row r="126" spans="15:16" x14ac:dyDescent="0.25">
      <c r="O126" s="100"/>
      <c r="P126" s="100"/>
    </row>
    <row r="127" spans="15:16" x14ac:dyDescent="0.25">
      <c r="O127" s="100"/>
      <c r="P127" s="100"/>
    </row>
    <row r="128" spans="15:16" x14ac:dyDescent="0.25">
      <c r="O128" s="100"/>
      <c r="P128" s="100"/>
    </row>
  </sheetData>
  <mergeCells count="5">
    <mergeCell ref="B11:C11"/>
    <mergeCell ref="B18:D18"/>
    <mergeCell ref="B26:F26"/>
    <mergeCell ref="B4:F4"/>
    <mergeCell ref="J26:P26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EffFrontier3">
                <anchor moveWithCells="1" sizeWithCells="1">
                  <from>
                    <xdr:col>7</xdr:col>
                    <xdr:colOff>0</xdr:colOff>
                    <xdr:row>3</xdr:row>
                    <xdr:rowOff>19050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B2:I11"/>
  <sheetViews>
    <sheetView topLeftCell="B1" workbookViewId="0">
      <selection activeCell="D7" sqref="D7"/>
    </sheetView>
  </sheetViews>
  <sheetFormatPr defaultRowHeight="15.75" x14ac:dyDescent="0.25"/>
  <cols>
    <col min="2" max="2" width="9.625" bestFit="1" customWidth="1"/>
    <col min="3" max="3" width="22.25" bestFit="1" customWidth="1"/>
    <col min="4" max="4" width="9.25" customWidth="1"/>
    <col min="6" max="6" width="18.625" customWidth="1"/>
    <col min="7" max="7" width="25.75" bestFit="1" customWidth="1"/>
    <col min="8" max="8" width="14.875" customWidth="1"/>
  </cols>
  <sheetData>
    <row r="2" spans="2:9" ht="16.5" thickBot="1" x14ac:dyDescent="0.3"/>
    <row r="3" spans="2:9" x14ac:dyDescent="0.25">
      <c r="C3" s="122" t="s">
        <v>92</v>
      </c>
      <c r="D3" s="123"/>
      <c r="E3" s="123"/>
      <c r="F3" s="123"/>
      <c r="G3" s="123"/>
      <c r="H3" s="111"/>
    </row>
    <row r="4" spans="2:9" x14ac:dyDescent="0.25">
      <c r="C4" s="124"/>
      <c r="D4" s="125"/>
      <c r="E4" s="125"/>
      <c r="F4" s="125"/>
      <c r="G4" s="125"/>
      <c r="H4" s="126"/>
    </row>
    <row r="5" spans="2:9" ht="16.5" thickBot="1" x14ac:dyDescent="0.3">
      <c r="C5" s="103"/>
      <c r="D5" s="48"/>
      <c r="E5" s="48"/>
      <c r="F5" s="48"/>
      <c r="G5" s="48"/>
      <c r="H5" s="43"/>
    </row>
    <row r="6" spans="2:9" ht="18.75" x14ac:dyDescent="0.3">
      <c r="C6" s="108" t="s">
        <v>17</v>
      </c>
      <c r="D6" s="110"/>
      <c r="E6" s="48"/>
      <c r="F6" s="3"/>
      <c r="G6" s="108" t="s">
        <v>19</v>
      </c>
      <c r="H6" s="110"/>
    </row>
    <row r="7" spans="2:9" ht="16.5" thickBot="1" x14ac:dyDescent="0.3">
      <c r="B7" t="s">
        <v>88</v>
      </c>
      <c r="C7" s="12" t="s">
        <v>18</v>
      </c>
      <c r="D7" s="106">
        <v>0.03</v>
      </c>
      <c r="E7" s="48"/>
      <c r="F7" s="3"/>
      <c r="G7" s="79" t="s">
        <v>68</v>
      </c>
      <c r="H7" s="102">
        <v>4.350789350631004</v>
      </c>
    </row>
    <row r="8" spans="2:9" ht="16.5" thickBot="1" x14ac:dyDescent="0.3">
      <c r="C8" s="105"/>
      <c r="D8" s="48"/>
      <c r="E8" s="48"/>
      <c r="F8" s="3"/>
      <c r="G8" s="79" t="s">
        <v>69</v>
      </c>
      <c r="H8" s="102">
        <v>0</v>
      </c>
      <c r="I8" t="s">
        <v>91</v>
      </c>
    </row>
    <row r="9" spans="2:9" ht="18.75" x14ac:dyDescent="0.3">
      <c r="C9" s="108" t="s">
        <v>58</v>
      </c>
      <c r="D9" s="110"/>
      <c r="E9" s="48"/>
      <c r="F9" s="3"/>
      <c r="G9" s="79" t="s">
        <v>75</v>
      </c>
      <c r="H9" s="102">
        <v>10.597203272492884</v>
      </c>
    </row>
    <row r="10" spans="2:9" ht="16.5" thickBot="1" x14ac:dyDescent="0.3">
      <c r="B10" s="15" t="s">
        <v>89</v>
      </c>
      <c r="C10" s="10" t="s">
        <v>10</v>
      </c>
      <c r="D10" s="33">
        <f>portfolioreturn(H7:H10,'EF 30 Yr Index'!C20:C23)</f>
        <v>2.9999998919387219E-2</v>
      </c>
      <c r="E10" s="48"/>
      <c r="F10" s="3"/>
      <c r="G10" s="80" t="s">
        <v>74</v>
      </c>
      <c r="H10" s="101">
        <f>1-SUM(H7:H9)</f>
        <v>-13.947992623123888</v>
      </c>
    </row>
    <row r="11" spans="2:9" ht="16.5" thickBot="1" x14ac:dyDescent="0.3">
      <c r="B11" s="19" t="s">
        <v>90</v>
      </c>
      <c r="C11" s="45" t="s">
        <v>23</v>
      </c>
      <c r="D11" s="46">
        <f>SQRT(PortfolioVariance(H7:H10,'EF 30 Yr Index'!C28:F31))</f>
        <v>0.26945130066566692</v>
      </c>
      <c r="E11" s="52"/>
      <c r="F11" s="52"/>
      <c r="G11" s="52"/>
      <c r="H11" s="104"/>
    </row>
  </sheetData>
  <mergeCells count="4">
    <mergeCell ref="C3:H4"/>
    <mergeCell ref="C6:D6"/>
    <mergeCell ref="G6:H6"/>
    <mergeCell ref="C9:D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EffFrontier5">
                <anchor moveWithCells="1" sizeWithCells="1">
                  <from>
                    <xdr:col>5</xdr:col>
                    <xdr:colOff>9525</xdr:colOff>
                    <xdr:row>5</xdr:row>
                    <xdr:rowOff>9525</xdr:rowOff>
                  </from>
                  <to>
                    <xdr:col>5</xdr:col>
                    <xdr:colOff>1924050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78</vt:i4>
      </vt:variant>
    </vt:vector>
  </HeadingPairs>
  <TitlesOfParts>
    <vt:vector size="98" baseType="lpstr">
      <vt:lpstr>Q1 (and raw data)</vt:lpstr>
      <vt:lpstr>Q2</vt:lpstr>
      <vt:lpstr>Q3</vt:lpstr>
      <vt:lpstr>Q4</vt:lpstr>
      <vt:lpstr>Q4 Unconstrained Diagram</vt:lpstr>
      <vt:lpstr>Q5</vt:lpstr>
      <vt:lpstr>Q6</vt:lpstr>
      <vt:lpstr>Q7-8 (Right)</vt:lpstr>
      <vt:lpstr>Index Data 3 yrs</vt:lpstr>
      <vt:lpstr>EF 3 Yr Index </vt:lpstr>
      <vt:lpstr>Optimized 3 yr</vt:lpstr>
      <vt:lpstr>Index Data 5 yrs</vt:lpstr>
      <vt:lpstr>EF 5 Yr Index</vt:lpstr>
      <vt:lpstr>Optimized 5 yr </vt:lpstr>
      <vt:lpstr>Index Data 15 yrs</vt:lpstr>
      <vt:lpstr>EF 15 Yr Index</vt:lpstr>
      <vt:lpstr>Optimized 15 yr </vt:lpstr>
      <vt:lpstr>Index Data 30 yrs</vt:lpstr>
      <vt:lpstr>EF 30 Yr Index</vt:lpstr>
      <vt:lpstr>Optimized 30 yr  </vt:lpstr>
      <vt:lpstr>'Q4 Unconstrained Diagram'!change2</vt:lpstr>
      <vt:lpstr>change2</vt:lpstr>
      <vt:lpstr>'EF 15 Yr Index'!change3</vt:lpstr>
      <vt:lpstr>'EF 3 Yr Index '!change3</vt:lpstr>
      <vt:lpstr>'EF 5 Yr Index'!change3</vt:lpstr>
      <vt:lpstr>change3</vt:lpstr>
      <vt:lpstr>'Q4 Unconstrained Diagram'!effwts2</vt:lpstr>
      <vt:lpstr>effwts2</vt:lpstr>
      <vt:lpstr>'EF 15 Yr Index'!effwts3</vt:lpstr>
      <vt:lpstr>'EF 3 Yr Index '!effwts3</vt:lpstr>
      <vt:lpstr>'EF 5 Yr Index'!effwts3</vt:lpstr>
      <vt:lpstr>effwts3</vt:lpstr>
      <vt:lpstr>'Q4 Unconstrained Diagram'!niter2</vt:lpstr>
      <vt:lpstr>niter2</vt:lpstr>
      <vt:lpstr>'EF 15 Yr Index'!niter3</vt:lpstr>
      <vt:lpstr>'EF 3 Yr Index '!niter3</vt:lpstr>
      <vt:lpstr>'EF 5 Yr Index'!niter3</vt:lpstr>
      <vt:lpstr>niter3</vt:lpstr>
      <vt:lpstr>PExreturn1</vt:lpstr>
      <vt:lpstr>'Q4 Unconstrained Diagram'!PExreturn2</vt:lpstr>
      <vt:lpstr>PExreturn2</vt:lpstr>
      <vt:lpstr>'EF 15 Yr Index'!PExreturn3</vt:lpstr>
      <vt:lpstr>'EF 3 Yr Index '!PExreturn3</vt:lpstr>
      <vt:lpstr>'EF 5 Yr Index'!PExreturn3</vt:lpstr>
      <vt:lpstr>PExreturn3</vt:lpstr>
      <vt:lpstr>'Optimized 15 yr '!PExreturn5</vt:lpstr>
      <vt:lpstr>'Optimized 30 yr  '!PExreturn5</vt:lpstr>
      <vt:lpstr>'Optimized 5 yr '!PExreturn5</vt:lpstr>
      <vt:lpstr>PExreturn5</vt:lpstr>
      <vt:lpstr>'Q4 Unconstrained Diagram'!portmax1</vt:lpstr>
      <vt:lpstr>portmax1</vt:lpstr>
      <vt:lpstr>'EF 15 Yr Index'!portmax3</vt:lpstr>
      <vt:lpstr>'EF 3 Yr Index '!portmax3</vt:lpstr>
      <vt:lpstr>'EF 5 Yr Index'!portmax3</vt:lpstr>
      <vt:lpstr>portmax3</vt:lpstr>
      <vt:lpstr>'Q4 Unconstrained Diagram'!portmin1</vt:lpstr>
      <vt:lpstr>portmin1</vt:lpstr>
      <vt:lpstr>'EF 15 Yr Index'!portmin3</vt:lpstr>
      <vt:lpstr>'EF 3 Yr Index '!portmin3</vt:lpstr>
      <vt:lpstr>'EF 5 Yr Index'!portmin3</vt:lpstr>
      <vt:lpstr>portmin3</vt:lpstr>
      <vt:lpstr>portsd1</vt:lpstr>
      <vt:lpstr>'Q4 Unconstrained Diagram'!portsd2</vt:lpstr>
      <vt:lpstr>portsd2</vt:lpstr>
      <vt:lpstr>'EF 15 Yr Index'!portsd3</vt:lpstr>
      <vt:lpstr>'EF 3 Yr Index '!portsd3</vt:lpstr>
      <vt:lpstr>'EF 5 Yr Index'!portsd3</vt:lpstr>
      <vt:lpstr>portsd3</vt:lpstr>
      <vt:lpstr>'Optimized 15 yr '!portsd5</vt:lpstr>
      <vt:lpstr>'Optimized 30 yr  '!portsd5</vt:lpstr>
      <vt:lpstr>'Optimized 5 yr '!portsd5</vt:lpstr>
      <vt:lpstr>portsd5</vt:lpstr>
      <vt:lpstr>'EF 15 Yr Index'!portwts1</vt:lpstr>
      <vt:lpstr>'EF 3 Yr Index '!portwts1</vt:lpstr>
      <vt:lpstr>'EF 30 Yr Index'!portwts1</vt:lpstr>
      <vt:lpstr>'EF 5 Yr Index'!portwts1</vt:lpstr>
      <vt:lpstr>'Q4 Unconstrained Diagram'!portwts1</vt:lpstr>
      <vt:lpstr>portwts1</vt:lpstr>
      <vt:lpstr>'EF 15 Yr Index'!portwts3</vt:lpstr>
      <vt:lpstr>'EF 3 Yr Index '!portwts3</vt:lpstr>
      <vt:lpstr>'EF 5 Yr Index'!portwts3</vt:lpstr>
      <vt:lpstr>portwts3</vt:lpstr>
      <vt:lpstr>'Q4 Unconstrained Diagram'!priter2</vt:lpstr>
      <vt:lpstr>priter2</vt:lpstr>
      <vt:lpstr>'EF 15 Yr Index'!priter3</vt:lpstr>
      <vt:lpstr>'EF 3 Yr Index '!priter3</vt:lpstr>
      <vt:lpstr>'EF 5 Yr Index'!priter3</vt:lpstr>
      <vt:lpstr>priter3</vt:lpstr>
      <vt:lpstr>target1</vt:lpstr>
      <vt:lpstr>'Optimized 15 yr '!target5</vt:lpstr>
      <vt:lpstr>'Optimized 30 yr  '!target5</vt:lpstr>
      <vt:lpstr>'Optimized 5 yr '!target5</vt:lpstr>
      <vt:lpstr>target5</vt:lpstr>
      <vt:lpstr>weights1</vt:lpstr>
      <vt:lpstr>'Optimized 15 yr '!weights5</vt:lpstr>
      <vt:lpstr>'Optimized 30 yr  '!weights5</vt:lpstr>
      <vt:lpstr>'Optimized 5 yr '!weights5</vt:lpstr>
      <vt:lpstr>weights5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 Robert Showalter</dc:creator>
  <cp:lastModifiedBy>Depauw</cp:lastModifiedBy>
  <cp:lastPrinted>2016-02-29T18:34:23Z</cp:lastPrinted>
  <dcterms:created xsi:type="dcterms:W3CDTF">2016-02-25T18:22:03Z</dcterms:created>
  <dcterms:modified xsi:type="dcterms:W3CDTF">2016-03-16T00:22:48Z</dcterms:modified>
</cp:coreProperties>
</file>